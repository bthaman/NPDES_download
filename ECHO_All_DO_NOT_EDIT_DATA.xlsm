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59925AD7-1524-4E7E-BAEC-1325D1E22C92}" xr6:coauthVersionLast="47" xr6:coauthVersionMax="47" xr10:uidLastSave="{00000000-0000-0000-0000-000000000000}"/>
  <bookViews>
    <workbookView xWindow="3120" yWindow="3120" windowWidth="28800" windowHeight="11385" activeTab="1" xr2:uid="{00000000-000D-0000-FFFF-FFFF00000000}"/>
  </bookViews>
  <sheets>
    <sheet name="Data" sheetId="1" r:id="rId1"/>
    <sheet name="Outfalls" sheetId="2" r:id="rId2"/>
    <sheet name="Outfalls_lookup" sheetId="5" r:id="rId3"/>
    <sheet name="TCEQ_Outfalls" sheetId="4" r:id="rId4"/>
  </sheets>
  <definedNames>
    <definedName name="_xlnm._FilterDatabase" localSheetId="1" hidden="1">Outfalls!$A$1:$D$2919</definedName>
    <definedName name="_xlnm._FilterDatabase" localSheetId="2" hidden="1">Outfalls_lookup!$A$1:$D$2919</definedName>
    <definedName name="_xlnm._FilterDatabase" localSheetId="3" hidden="1">TCEQ_Outfalls!$A$1:$D$3812</definedName>
    <definedName name="_xlnm.Database" localSheetId="2">#REF!</definedName>
    <definedName name="_xlnm.Database" localSheetId="3">TCEQ_Outfalls!$A$1:$D$3812</definedName>
    <definedName name="_xlnm.Database">#REF!</definedName>
    <definedName name="PERMITTEES">TCEQ_Outfalls!$C$2:$D$3812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ZC65" i="1" l="1"/>
  <c r="C3" i="4"/>
  <c r="C4" i="4"/>
  <c r="C5" i="4"/>
  <c r="C6" i="4"/>
  <c r="C7" i="4"/>
  <c r="C8" i="4"/>
  <c r="C9" i="4"/>
  <c r="C2452" i="5" s="1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2" i="4"/>
  <c r="C920" i="5" s="1"/>
  <c r="C2919" i="5" l="1"/>
  <c r="C1712" i="5"/>
  <c r="C2031" i="5"/>
  <c r="C304" i="5"/>
  <c r="C1662" i="5"/>
  <c r="C1942" i="5"/>
  <c r="C1910" i="5"/>
  <c r="C1974" i="5"/>
  <c r="C2171" i="5"/>
  <c r="C2245" i="5"/>
  <c r="C2254" i="5"/>
  <c r="C1675" i="5"/>
  <c r="C1256" i="5"/>
  <c r="C2847" i="5"/>
  <c r="C2604" i="5"/>
  <c r="C1152" i="5"/>
  <c r="C2521" i="5"/>
  <c r="C2820" i="5"/>
  <c r="C1989" i="5"/>
  <c r="C1861" i="5"/>
  <c r="C2906" i="5"/>
  <c r="C2136" i="5"/>
  <c r="C2747" i="5"/>
  <c r="C2640" i="5"/>
  <c r="C845" i="5"/>
  <c r="C1612" i="5"/>
  <c r="C514" i="5"/>
  <c r="C2479" i="5"/>
  <c r="C2750" i="5"/>
  <c r="C908" i="5"/>
  <c r="C2321" i="5"/>
  <c r="C2000" i="5"/>
  <c r="C2836" i="5"/>
  <c r="C2183" i="5"/>
  <c r="C2525" i="5"/>
  <c r="C1234" i="5"/>
  <c r="C1798" i="5"/>
  <c r="C2275" i="5"/>
  <c r="C2613" i="5"/>
  <c r="C1246" i="5"/>
  <c r="C2400" i="5"/>
  <c r="C1880" i="5"/>
  <c r="C2565" i="5"/>
  <c r="C2743" i="5"/>
  <c r="C1221" i="5"/>
  <c r="C2591" i="5"/>
  <c r="C1835" i="5"/>
  <c r="C2746" i="5"/>
  <c r="C2818" i="5"/>
  <c r="C1815" i="5"/>
  <c r="C591" i="5"/>
  <c r="C2466" i="5"/>
  <c r="C1396" i="5"/>
  <c r="C2822" i="5"/>
  <c r="C2163" i="5"/>
  <c r="C2474" i="5"/>
  <c r="C1607" i="5"/>
  <c r="C2253" i="5"/>
  <c r="C2882" i="5"/>
  <c r="C666" i="5"/>
  <c r="C2077" i="5"/>
  <c r="C2370" i="5"/>
  <c r="C775" i="5"/>
  <c r="C1687" i="5"/>
  <c r="C104" i="5"/>
  <c r="C1330" i="5"/>
  <c r="C2840" i="5"/>
  <c r="C2091" i="5"/>
  <c r="C1627" i="5"/>
  <c r="C2234" i="5"/>
  <c r="C2749" i="5"/>
  <c r="C2856" i="5"/>
  <c r="C2857" i="5"/>
  <c r="C2602" i="5"/>
  <c r="C1370" i="5"/>
  <c r="C848" i="5"/>
  <c r="C1454" i="5"/>
  <c r="C2017" i="5"/>
  <c r="C1184" i="5"/>
  <c r="C818" i="5"/>
  <c r="C755" i="5"/>
  <c r="C2141" i="5"/>
  <c r="C1630" i="5"/>
  <c r="C2737" i="5"/>
  <c r="C2488" i="5"/>
  <c r="C842" i="5"/>
  <c r="C622" i="5"/>
  <c r="C34" i="5"/>
  <c r="C640" i="5"/>
  <c r="C1592" i="5"/>
  <c r="C1376" i="5"/>
  <c r="C2199" i="5"/>
  <c r="C2118" i="5"/>
  <c r="C2496" i="5"/>
  <c r="C2549" i="5"/>
  <c r="C1921" i="5"/>
  <c r="C595" i="5"/>
  <c r="C2117" i="5"/>
  <c r="C1492" i="5"/>
  <c r="C1506" i="5"/>
  <c r="C1465" i="5"/>
  <c r="C303" i="5"/>
  <c r="C1451" i="5"/>
  <c r="C678" i="5"/>
  <c r="C1253" i="5"/>
  <c r="C2311" i="5"/>
  <c r="C2694" i="5"/>
  <c r="C873" i="5"/>
  <c r="C374" i="5"/>
  <c r="C351" i="5"/>
  <c r="C1332" i="5"/>
  <c r="C1751" i="5"/>
  <c r="C1245" i="5"/>
  <c r="C2152" i="5"/>
  <c r="C907" i="5"/>
  <c r="C289" i="5"/>
  <c r="C116" i="5"/>
  <c r="C150" i="5"/>
  <c r="C874" i="5"/>
  <c r="C2084" i="5"/>
  <c r="C97" i="5"/>
  <c r="C154" i="5"/>
  <c r="C1871" i="5"/>
  <c r="C35" i="5"/>
  <c r="C2261" i="5"/>
  <c r="C362" i="5"/>
  <c r="C2207" i="5"/>
  <c r="C1799" i="5"/>
  <c r="C382" i="5"/>
  <c r="C1670" i="5"/>
  <c r="C615" i="5"/>
  <c r="C2862" i="5"/>
  <c r="C527" i="5"/>
  <c r="C33" i="5"/>
  <c r="C951" i="5"/>
  <c r="C293" i="5"/>
  <c r="C1303" i="5"/>
  <c r="C484" i="5"/>
  <c r="C637" i="5"/>
  <c r="C1575" i="5"/>
  <c r="C1211" i="5"/>
  <c r="C677" i="5"/>
  <c r="C538" i="5"/>
  <c r="C649" i="5"/>
  <c r="C1316" i="5"/>
  <c r="C1660" i="5"/>
  <c r="C246" i="5"/>
  <c r="C1646" i="5"/>
  <c r="C1409" i="5"/>
  <c r="C443" i="5"/>
  <c r="C1440" i="5"/>
  <c r="C1548" i="5"/>
  <c r="C869" i="5"/>
  <c r="C627" i="5"/>
  <c r="C1704" i="5"/>
  <c r="C1542" i="5"/>
  <c r="C673" i="5"/>
  <c r="C475" i="5"/>
  <c r="C1876" i="5"/>
  <c r="C1577" i="5"/>
  <c r="C607" i="5"/>
  <c r="C768" i="5"/>
  <c r="C98" i="5"/>
  <c r="C838" i="5"/>
  <c r="C1050" i="5"/>
  <c r="C83" i="5"/>
  <c r="C327" i="5"/>
  <c r="C398" i="5"/>
  <c r="C1177" i="5"/>
  <c r="C1623" i="5"/>
  <c r="C983" i="5"/>
  <c r="C127" i="5"/>
  <c r="C137" i="5"/>
  <c r="C698" i="5"/>
  <c r="C1058" i="5"/>
  <c r="C1537" i="5"/>
  <c r="C1397" i="5"/>
  <c r="C1801" i="5"/>
  <c r="C2879" i="5"/>
  <c r="C2242" i="5"/>
  <c r="C2523" i="5"/>
  <c r="C1393" i="5"/>
  <c r="C758" i="5"/>
  <c r="C121" i="5"/>
  <c r="C40" i="5"/>
  <c r="C2167" i="5"/>
  <c r="C2099" i="5"/>
  <c r="C380" i="5"/>
  <c r="C396" i="5"/>
  <c r="C660" i="5"/>
  <c r="C1417" i="5"/>
  <c r="C2043" i="5"/>
  <c r="C2379" i="5"/>
  <c r="C1088" i="5"/>
  <c r="C406" i="5"/>
  <c r="C276" i="5"/>
  <c r="C397" i="5"/>
  <c r="C203" i="5"/>
  <c r="C1922" i="5"/>
  <c r="C1418" i="5"/>
  <c r="C2796" i="5"/>
  <c r="C368" i="5"/>
  <c r="C56" i="5"/>
  <c r="C1051" i="5"/>
  <c r="C361" i="5"/>
  <c r="C506" i="5"/>
  <c r="C619" i="5"/>
  <c r="C440" i="5"/>
  <c r="C20" i="5"/>
  <c r="C47" i="5"/>
  <c r="C2912" i="5"/>
  <c r="C197" i="5"/>
  <c r="C750" i="5"/>
  <c r="C659" i="5"/>
  <c r="C826" i="5"/>
  <c r="C1856" i="5"/>
  <c r="C979" i="5"/>
  <c r="C558" i="5"/>
  <c r="C1901" i="5"/>
  <c r="C217" i="5"/>
  <c r="C492" i="5"/>
  <c r="C2225" i="5"/>
  <c r="C2249" i="5"/>
  <c r="C1085" i="5"/>
  <c r="C629" i="5"/>
  <c r="C1647" i="5"/>
  <c r="C1275" i="5"/>
  <c r="C489" i="5"/>
  <c r="C1502" i="5"/>
  <c r="C144" i="5"/>
  <c r="C763" i="5"/>
  <c r="C2291" i="5"/>
  <c r="C1322" i="5"/>
  <c r="C1074" i="5"/>
  <c r="C1668" i="5"/>
  <c r="C2177" i="5"/>
  <c r="C1075" i="5"/>
  <c r="C1793" i="5"/>
  <c r="C1682" i="5"/>
  <c r="C2221" i="5"/>
  <c r="C1004" i="5"/>
  <c r="C651" i="5"/>
  <c r="C1043" i="5"/>
  <c r="C253" i="5"/>
  <c r="C606" i="5"/>
  <c r="C749" i="5"/>
  <c r="C1448" i="5"/>
  <c r="C752" i="5"/>
  <c r="C135" i="5"/>
  <c r="C1092" i="5"/>
  <c r="C990" i="5"/>
  <c r="C1986" i="5"/>
  <c r="C891" i="5"/>
  <c r="C174" i="5"/>
  <c r="C731" i="5"/>
  <c r="C926" i="5"/>
  <c r="C180" i="5"/>
  <c r="C86" i="5"/>
  <c r="C36" i="5"/>
  <c r="C562" i="5"/>
  <c r="C1709" i="5"/>
  <c r="C1505" i="5"/>
  <c r="C1079" i="5"/>
  <c r="C1292" i="5"/>
  <c r="C2861" i="5"/>
  <c r="C2648" i="5"/>
  <c r="C2269" i="5"/>
  <c r="C114" i="5"/>
  <c r="C148" i="5"/>
  <c r="C2158" i="5"/>
  <c r="C2559" i="5"/>
  <c r="C1553" i="5"/>
  <c r="C88" i="5"/>
  <c r="C381" i="5"/>
  <c r="C1736" i="5"/>
  <c r="C1048" i="5"/>
  <c r="C244" i="5"/>
  <c r="C2517" i="5"/>
  <c r="C1825" i="5"/>
  <c r="C553" i="5"/>
  <c r="C418" i="5"/>
  <c r="C211" i="5"/>
  <c r="C618" i="5"/>
  <c r="C1870" i="5"/>
  <c r="C2421" i="5"/>
  <c r="C2220" i="5"/>
  <c r="C1021" i="5"/>
  <c r="C338" i="5"/>
  <c r="C642" i="5"/>
  <c r="C770" i="5"/>
  <c r="C932" i="5"/>
  <c r="C401" i="5"/>
  <c r="C2705" i="5"/>
  <c r="C1666" i="5"/>
  <c r="C2917" i="5"/>
  <c r="C16" i="5"/>
  <c r="C94" i="5"/>
  <c r="C241" i="5"/>
  <c r="C1055" i="5"/>
  <c r="C760" i="5"/>
  <c r="C1022" i="5"/>
  <c r="C634" i="5"/>
  <c r="C426" i="5"/>
  <c r="C358" i="5"/>
  <c r="C1106" i="5"/>
  <c r="C1496" i="5"/>
  <c r="C1489" i="5"/>
  <c r="C1011" i="5"/>
  <c r="C609" i="5"/>
  <c r="C1208" i="5"/>
  <c r="C1956" i="5"/>
  <c r="C730" i="5"/>
  <c r="C623" i="5"/>
  <c r="C1263" i="5"/>
  <c r="C807" i="5"/>
  <c r="C394" i="5"/>
  <c r="C661" i="5"/>
  <c r="C1480" i="5"/>
  <c r="C502" i="5"/>
  <c r="C294" i="5"/>
  <c r="C1390" i="5"/>
  <c r="C2036" i="5"/>
  <c r="C2001" i="5"/>
  <c r="C516" i="5"/>
  <c r="C1771" i="5"/>
  <c r="C839" i="5"/>
  <c r="C1401" i="5"/>
  <c r="C1131" i="5"/>
  <c r="C1783" i="5"/>
  <c r="C1059" i="5"/>
  <c r="C1086" i="5"/>
  <c r="C1416" i="5"/>
  <c r="C354" i="5"/>
  <c r="C803" i="5"/>
  <c r="C809" i="5"/>
  <c r="C335" i="5"/>
  <c r="C242" i="5"/>
  <c r="C928" i="5"/>
  <c r="C493" i="5"/>
  <c r="C1841" i="5"/>
  <c r="C1168" i="5"/>
  <c r="C1521" i="5"/>
  <c r="C66" i="5"/>
  <c r="C49" i="5"/>
  <c r="C275" i="5"/>
  <c r="C2070" i="5"/>
  <c r="C2153" i="5"/>
  <c r="C662" i="5"/>
  <c r="C1377" i="5"/>
  <c r="C2617" i="5"/>
  <c r="C448" i="5"/>
  <c r="C947" i="5"/>
  <c r="C136" i="5"/>
  <c r="C1743" i="5"/>
  <c r="C350" i="5"/>
  <c r="C555" i="5"/>
  <c r="C2619" i="5"/>
  <c r="C2219" i="5"/>
  <c r="C641" i="5"/>
  <c r="C191" i="5"/>
  <c r="C1523" i="5"/>
  <c r="C181" i="5"/>
  <c r="C1475" i="5"/>
  <c r="C1413" i="5"/>
  <c r="C931" i="5"/>
  <c r="C444" i="5"/>
  <c r="C212" i="5"/>
  <c r="C162" i="5"/>
  <c r="C125" i="5"/>
  <c r="C1012" i="5"/>
  <c r="C565" i="5"/>
  <c r="C2801" i="5"/>
  <c r="C344" i="5"/>
  <c r="C305" i="5"/>
  <c r="C711" i="5"/>
  <c r="C387" i="5"/>
  <c r="C801" i="5"/>
  <c r="C909" i="5"/>
  <c r="C1985" i="5"/>
  <c r="C2285" i="5"/>
  <c r="C464" i="5"/>
  <c r="C1251" i="5"/>
  <c r="C614" i="5"/>
  <c r="C793" i="5"/>
  <c r="C689" i="5"/>
  <c r="C551" i="5"/>
  <c r="C1127" i="5"/>
  <c r="C2568" i="5"/>
  <c r="C416" i="5"/>
  <c r="C470" i="5"/>
  <c r="C1428" i="5"/>
  <c r="C2012" i="5"/>
  <c r="C298" i="5"/>
  <c r="C566" i="5"/>
  <c r="C288" i="5"/>
  <c r="C2176" i="5"/>
  <c r="C1635" i="5"/>
  <c r="C1291" i="5"/>
  <c r="C1265" i="5"/>
  <c r="C592" i="5"/>
  <c r="C389" i="5"/>
  <c r="C1003" i="5"/>
  <c r="C2065" i="5"/>
  <c r="C1923" i="5"/>
  <c r="C46" i="5"/>
  <c r="C915" i="5"/>
  <c r="C2273" i="5"/>
  <c r="C1082" i="5"/>
  <c r="C2045" i="5"/>
  <c r="C1094" i="5"/>
  <c r="C950" i="5"/>
  <c r="C1758" i="5"/>
  <c r="C1564" i="5"/>
  <c r="C1302" i="5"/>
  <c r="C2120" i="5"/>
  <c r="C1280" i="5"/>
  <c r="C1531" i="5"/>
  <c r="C1049" i="5"/>
  <c r="C2677" i="5"/>
  <c r="C1120" i="5"/>
  <c r="C507" i="5"/>
  <c r="C1348" i="5"/>
  <c r="C1225" i="5"/>
  <c r="C870" i="5"/>
  <c r="C525" i="5"/>
  <c r="C1273" i="5"/>
  <c r="C727" i="5"/>
  <c r="C54" i="5"/>
  <c r="C25" i="5"/>
  <c r="C681" i="5"/>
  <c r="C1659" i="5"/>
  <c r="C261" i="5"/>
  <c r="C834" i="5"/>
  <c r="C1267" i="5"/>
  <c r="C2387" i="5"/>
  <c r="C243" i="5"/>
  <c r="C544" i="5"/>
  <c r="C2198" i="5"/>
  <c r="C89" i="5"/>
  <c r="C2428" i="5"/>
  <c r="C183" i="5"/>
  <c r="C2888" i="5"/>
  <c r="C432" i="5"/>
  <c r="C392" i="5"/>
  <c r="C880" i="5"/>
  <c r="C1237" i="5"/>
  <c r="C515" i="5"/>
  <c r="C2191" i="5"/>
  <c r="C1362" i="5"/>
  <c r="C75" i="5"/>
  <c r="C230" i="5"/>
  <c r="C213" i="5"/>
  <c r="C1122" i="5"/>
  <c r="C2164" i="5"/>
  <c r="C533" i="5"/>
  <c r="C2119" i="5"/>
  <c r="C993" i="5"/>
  <c r="C626" i="5"/>
  <c r="C420" i="5"/>
  <c r="C1354" i="5"/>
  <c r="C941" i="5"/>
  <c r="C445" i="5"/>
  <c r="C1278" i="5"/>
  <c r="C1279" i="5"/>
  <c r="C728" i="5"/>
  <c r="C601" i="5"/>
  <c r="C1744" i="5"/>
  <c r="C369" i="5"/>
  <c r="C320" i="5"/>
  <c r="C827" i="5"/>
  <c r="C2144" i="5"/>
  <c r="C1775" i="5"/>
  <c r="C540" i="5"/>
  <c r="C170" i="5"/>
  <c r="C155" i="5"/>
  <c r="C1498" i="5"/>
  <c r="C1893" i="5"/>
  <c r="C692" i="5"/>
  <c r="C1311" i="5"/>
  <c r="C512" i="5"/>
  <c r="C1183" i="5"/>
  <c r="C1697" i="5"/>
  <c r="C668" i="5"/>
  <c r="C1503" i="5"/>
  <c r="C189" i="5"/>
  <c r="C783" i="5"/>
  <c r="C1182" i="5"/>
  <c r="C872" i="5"/>
  <c r="C2765" i="5"/>
  <c r="C112" i="5"/>
  <c r="C1226" i="5"/>
  <c r="C974" i="5"/>
  <c r="C1641" i="5"/>
  <c r="C1966" i="5"/>
  <c r="C1683" i="5"/>
  <c r="C343" i="5"/>
  <c r="C509" i="5"/>
  <c r="C708" i="5"/>
  <c r="C1597" i="5"/>
  <c r="C1733" i="5"/>
  <c r="C1281" i="5"/>
  <c r="C799" i="5"/>
  <c r="C683" i="5"/>
  <c r="C1911" i="5"/>
  <c r="C762" i="5"/>
  <c r="C1795" i="5"/>
  <c r="C1832" i="5"/>
  <c r="C1433" i="5"/>
  <c r="C810" i="5"/>
  <c r="C1848" i="5"/>
  <c r="C1723" i="5"/>
  <c r="C12" i="5"/>
  <c r="C85" i="5"/>
  <c r="C37" i="5"/>
  <c r="C1536" i="5"/>
  <c r="C1310" i="5"/>
  <c r="C39" i="5"/>
  <c r="C408" i="5"/>
  <c r="C1690" i="5"/>
  <c r="C2284" i="5"/>
  <c r="C669" i="5"/>
  <c r="C435" i="5"/>
  <c r="C469" i="5"/>
  <c r="C149" i="5"/>
  <c r="C2558" i="5"/>
  <c r="C663" i="5"/>
  <c r="C7" i="5"/>
  <c r="C1035" i="5"/>
  <c r="C1563" i="5"/>
  <c r="C652" i="5"/>
  <c r="C1732" i="5"/>
  <c r="C238" i="5"/>
  <c r="C699" i="5"/>
  <c r="C1398" i="5"/>
  <c r="C249" i="5"/>
  <c r="C173" i="5"/>
  <c r="C214" i="5"/>
  <c r="C1295" i="5"/>
  <c r="C2068" i="5"/>
  <c r="C837" i="5"/>
  <c r="C128" i="5"/>
  <c r="C588" i="5"/>
  <c r="C631" i="5"/>
  <c r="C286" i="5"/>
  <c r="C290" i="5"/>
  <c r="C650" i="5"/>
  <c r="C301" i="5"/>
  <c r="C318" i="5"/>
  <c r="C2706" i="5"/>
  <c r="C1014" i="5"/>
  <c r="C935" i="5"/>
  <c r="C1964" i="5"/>
  <c r="C216" i="5"/>
  <c r="C1063" i="5"/>
  <c r="C875" i="5"/>
  <c r="C1884" i="5"/>
  <c r="C1145" i="5"/>
  <c r="C2181" i="5"/>
  <c r="C431" i="5"/>
  <c r="C365" i="5"/>
  <c r="C1673" i="5"/>
  <c r="C568" i="5"/>
  <c r="C1819" i="5"/>
  <c r="C1461" i="5"/>
  <c r="C862" i="5"/>
  <c r="C980" i="5"/>
  <c r="C697" i="5"/>
  <c r="C200" i="5"/>
  <c r="C1018" i="5"/>
  <c r="C1722" i="5"/>
  <c r="C840" i="5"/>
  <c r="C1879" i="5"/>
  <c r="C896" i="5"/>
  <c r="C1375" i="5"/>
  <c r="C1890" i="5"/>
  <c r="C918" i="5"/>
  <c r="C1386" i="5"/>
  <c r="C1443" i="5"/>
  <c r="C1363" i="5"/>
  <c r="C1056" i="5"/>
  <c r="C710" i="5"/>
  <c r="C1019" i="5"/>
  <c r="C325" i="5"/>
  <c r="C549" i="5"/>
  <c r="C1347" i="5"/>
  <c r="C646" i="5"/>
  <c r="C412" i="5"/>
  <c r="C139" i="5"/>
  <c r="C2074" i="5"/>
  <c r="C1547" i="5"/>
  <c r="C141" i="5"/>
  <c r="C1306" i="5"/>
  <c r="C1318" i="5"/>
  <c r="C616" i="5"/>
  <c r="C311" i="5"/>
  <c r="C995" i="5"/>
  <c r="C1151" i="5"/>
  <c r="C295" i="5"/>
  <c r="C1121" i="5"/>
  <c r="C1642" i="5"/>
  <c r="C1846" i="5"/>
  <c r="C849" i="5"/>
  <c r="C505" i="5"/>
  <c r="C262" i="5"/>
  <c r="C2313" i="5"/>
  <c r="C956" i="5"/>
  <c r="C825" i="5"/>
  <c r="C682" i="5"/>
  <c r="C277" i="5"/>
  <c r="C2618" i="5"/>
  <c r="C1669" i="5"/>
  <c r="C709" i="5"/>
  <c r="C654" i="5"/>
  <c r="C310" i="5"/>
  <c r="C635" i="5"/>
  <c r="C1238" i="5"/>
  <c r="C657" i="5"/>
  <c r="C996" i="5"/>
  <c r="C300" i="5"/>
  <c r="C735" i="5"/>
  <c r="C656" i="5"/>
  <c r="C215" i="5"/>
  <c r="C487" i="5"/>
  <c r="C2064" i="5"/>
  <c r="C777" i="5"/>
  <c r="C309" i="5"/>
  <c r="C879" i="5"/>
  <c r="C463" i="5"/>
  <c r="C129" i="5"/>
  <c r="C423" i="5"/>
  <c r="C315" i="5"/>
  <c r="C897" i="5"/>
  <c r="C11" i="5"/>
  <c r="C1625" i="5"/>
  <c r="C1255" i="5"/>
  <c r="C835" i="5"/>
  <c r="C2471" i="5"/>
  <c r="C367" i="5"/>
  <c r="C1745" i="5"/>
  <c r="C1905" i="5"/>
  <c r="C252" i="5"/>
  <c r="C778" i="5"/>
  <c r="C356" i="5"/>
  <c r="C602" i="5"/>
  <c r="C312" i="5"/>
  <c r="C1761" i="5"/>
  <c r="C2306" i="5"/>
  <c r="C884" i="5"/>
  <c r="C1345" i="5"/>
  <c r="C1078" i="5"/>
  <c r="C1392" i="5"/>
  <c r="C723" i="5"/>
  <c r="C1165" i="5"/>
  <c r="C1158" i="5"/>
  <c r="C1654" i="5"/>
  <c r="C1721" i="5"/>
  <c r="C1333" i="5"/>
  <c r="C1223" i="5"/>
  <c r="C1174" i="5"/>
  <c r="C690" i="5"/>
  <c r="C1677" i="5"/>
  <c r="C720" i="5"/>
  <c r="C1009" i="5"/>
  <c r="C1620" i="5"/>
  <c r="C914" i="5"/>
  <c r="C1757" i="5"/>
  <c r="C1030" i="5"/>
  <c r="C223" i="5"/>
  <c r="C209" i="5"/>
  <c r="C546" i="5"/>
  <c r="C264" i="5"/>
  <c r="C500" i="5"/>
  <c r="C2240" i="5"/>
  <c r="C2351" i="5"/>
  <c r="C453" i="5"/>
  <c r="C172" i="5"/>
  <c r="C2295" i="5"/>
  <c r="C738" i="5"/>
  <c r="C751" i="5"/>
  <c r="C226" i="5"/>
  <c r="C41" i="5"/>
  <c r="C2484" i="5"/>
  <c r="C82" i="5"/>
  <c r="C1634" i="5"/>
  <c r="C103" i="5"/>
  <c r="C1965" i="5"/>
  <c r="C436" i="5"/>
  <c r="C1746" i="5"/>
  <c r="C1593" i="5"/>
  <c r="C1609" i="5"/>
  <c r="C1297" i="5"/>
  <c r="C567" i="5"/>
  <c r="C1041" i="5"/>
  <c r="C2039" i="5"/>
  <c r="C153" i="5"/>
  <c r="C1349" i="5"/>
  <c r="C1334" i="5"/>
  <c r="C2258" i="5"/>
  <c r="C1941" i="5"/>
  <c r="C1981" i="5"/>
  <c r="C260" i="5"/>
  <c r="C741" i="5"/>
  <c r="C2007" i="5"/>
  <c r="C2080" i="5"/>
  <c r="C1149" i="5"/>
  <c r="C2867" i="5"/>
  <c r="C882" i="5"/>
  <c r="C773" i="5"/>
  <c r="C1187" i="5"/>
  <c r="C1933" i="5"/>
  <c r="C1978" i="5"/>
  <c r="C485" i="5"/>
  <c r="C2135" i="5"/>
  <c r="C496" i="5"/>
  <c r="C1383" i="5"/>
  <c r="C1762" i="5"/>
  <c r="C780" i="5"/>
  <c r="C201" i="5"/>
  <c r="C224" i="5"/>
  <c r="C721" i="5"/>
  <c r="C65" i="5"/>
  <c r="C157" i="5"/>
  <c r="C1057" i="5"/>
  <c r="C789" i="5"/>
  <c r="C969" i="5"/>
  <c r="C992" i="5"/>
  <c r="C927" i="5"/>
  <c r="C866" i="5"/>
  <c r="C1314" i="5"/>
  <c r="C1407" i="5"/>
  <c r="C703" i="5"/>
  <c r="C1626" i="5"/>
  <c r="C2301" i="5"/>
  <c r="C620" i="5"/>
  <c r="C1504" i="5"/>
  <c r="C2891" i="5"/>
  <c r="C1189" i="5"/>
  <c r="C732" i="5"/>
  <c r="C1586" i="5"/>
  <c r="C2414" i="5"/>
  <c r="C199" i="5"/>
  <c r="C363" i="5"/>
  <c r="C122" i="5"/>
  <c r="C323" i="5"/>
  <c r="C460" i="5"/>
  <c r="C395" i="5"/>
  <c r="C2008" i="5"/>
  <c r="C1076" i="5"/>
  <c r="C1382" i="5"/>
  <c r="C1115" i="5"/>
  <c r="C2373" i="5"/>
  <c r="C2094" i="5"/>
  <c r="C2826" i="5"/>
  <c r="C2124" i="5"/>
  <c r="C2793" i="5"/>
  <c r="C239" i="5"/>
  <c r="C1212" i="5"/>
  <c r="C2061" i="5"/>
  <c r="C379" i="5"/>
  <c r="C759" i="5"/>
  <c r="C541" i="5"/>
  <c r="C313" i="5"/>
  <c r="C978" i="5"/>
  <c r="C786" i="5"/>
  <c r="C1688" i="5"/>
  <c r="C1554" i="5"/>
  <c r="C1025" i="5"/>
  <c r="C385" i="5"/>
  <c r="C2346" i="5"/>
  <c r="C1930" i="5"/>
  <c r="C1481" i="5"/>
  <c r="C1541" i="5"/>
  <c r="C1213" i="5"/>
  <c r="C248" i="5"/>
  <c r="C1715" i="5"/>
  <c r="C2429" i="5"/>
  <c r="C399" i="5"/>
  <c r="C1665" i="5"/>
  <c r="C1479" i="5"/>
  <c r="C916" i="5"/>
  <c r="C1583" i="5"/>
  <c r="C1317" i="5"/>
  <c r="C499" i="5"/>
  <c r="C719" i="5"/>
  <c r="C1257" i="5"/>
  <c r="C486" i="5"/>
  <c r="C138" i="5"/>
  <c r="C2237" i="5"/>
  <c r="C748" i="5"/>
  <c r="C480" i="5"/>
  <c r="C800" i="5"/>
  <c r="C425" i="5"/>
  <c r="C250" i="5"/>
  <c r="C454" i="5"/>
  <c r="C195" i="5"/>
  <c r="C589" i="5"/>
  <c r="C91" i="5"/>
  <c r="C179" i="5"/>
  <c r="C390" i="5"/>
  <c r="C1629" i="5"/>
  <c r="C1724" i="5"/>
  <c r="C774" i="5"/>
  <c r="C1141" i="5"/>
  <c r="C13" i="5"/>
  <c r="C386" i="5"/>
  <c r="C1784" i="5"/>
  <c r="C679" i="5"/>
  <c r="C187" i="5"/>
  <c r="C234" i="5"/>
  <c r="C2108" i="5"/>
  <c r="C1276" i="5"/>
  <c r="C2016" i="5"/>
  <c r="C929" i="5"/>
  <c r="C42" i="5"/>
  <c r="C557" i="5"/>
  <c r="C794" i="5"/>
  <c r="C336" i="5"/>
  <c r="C28" i="5"/>
  <c r="C1270" i="5"/>
  <c r="C1652" i="5"/>
  <c r="C266" i="5"/>
  <c r="C913" i="5"/>
  <c r="C1872" i="5"/>
  <c r="C2396" i="5"/>
  <c r="C2121" i="5"/>
  <c r="C2872" i="5"/>
  <c r="C885" i="5"/>
  <c r="C901" i="5"/>
  <c r="C2855" i="5"/>
  <c r="C2322" i="5"/>
  <c r="C844" i="5"/>
  <c r="C2337" i="5"/>
  <c r="C1570" i="5"/>
  <c r="C726" i="5"/>
  <c r="C2079" i="5"/>
  <c r="C1988" i="5"/>
  <c r="C1249" i="5"/>
  <c r="C982" i="5"/>
  <c r="C1582" i="5"/>
  <c r="C457" i="5"/>
  <c r="C23" i="5"/>
  <c r="C691" i="5"/>
  <c r="C263" i="5"/>
  <c r="C2057" i="5"/>
  <c r="C316" i="5"/>
  <c r="C145" i="5"/>
  <c r="C2388" i="5"/>
  <c r="C1455" i="5"/>
  <c r="C795" i="5"/>
  <c r="C176" i="5"/>
  <c r="C1357" i="5"/>
  <c r="C1948" i="5"/>
  <c r="C1364" i="5"/>
  <c r="C1651" i="5"/>
  <c r="C1197" i="5"/>
  <c r="C1157" i="5"/>
  <c r="C2472" i="5"/>
  <c r="C2048" i="5"/>
  <c r="C1335" i="5"/>
  <c r="C1774" i="5"/>
  <c r="C1400" i="5"/>
  <c r="C779" i="5"/>
  <c r="C2722" i="5"/>
  <c r="C1837" i="5"/>
  <c r="C1262" i="5"/>
  <c r="C456" i="5"/>
  <c r="C2821" i="5"/>
  <c r="C473" i="5"/>
  <c r="C2270" i="5"/>
  <c r="C1170" i="5"/>
  <c r="C1622" i="5"/>
  <c r="C317" i="5"/>
  <c r="C1598" i="5"/>
  <c r="C1000" i="5"/>
  <c r="C1391" i="5"/>
  <c r="C1809" i="5"/>
  <c r="C165" i="5"/>
  <c r="C146" i="5"/>
  <c r="C639" i="5"/>
  <c r="C450" i="5"/>
  <c r="C123" i="5"/>
  <c r="C693" i="5"/>
  <c r="C967" i="5"/>
  <c r="C2166" i="5"/>
  <c r="C1987" i="5"/>
  <c r="C1934" i="5"/>
  <c r="C1456" i="5"/>
  <c r="C911" i="5"/>
  <c r="C1490" i="5"/>
  <c r="C1053" i="5"/>
  <c r="C1419" i="5"/>
  <c r="C1748" i="5"/>
  <c r="C736" i="5"/>
  <c r="C1585" i="5"/>
  <c r="C1031" i="5"/>
  <c r="C2216" i="5"/>
  <c r="C1231" i="5"/>
  <c r="C2085" i="5"/>
  <c r="C529" i="5"/>
  <c r="C227" i="5"/>
  <c r="C1636" i="5"/>
  <c r="C2371" i="5"/>
  <c r="C2416" i="5"/>
  <c r="C479" i="5"/>
  <c r="C2508" i="5"/>
  <c r="C267" i="5"/>
  <c r="C1064" i="5"/>
  <c r="C1967" i="5"/>
  <c r="C17" i="5"/>
  <c r="C1859" i="5"/>
  <c r="C21" i="5"/>
  <c r="C1664" i="5"/>
  <c r="C9" i="5"/>
  <c r="C1300" i="5"/>
  <c r="C2029" i="5"/>
  <c r="C402" i="5"/>
  <c r="C1517" i="5"/>
  <c r="C742" i="5"/>
  <c r="C960" i="5"/>
  <c r="C1258" i="5"/>
  <c r="C1438" i="5"/>
  <c r="C504" i="5"/>
  <c r="C2913" i="5"/>
  <c r="C733" i="5"/>
  <c r="C1674" i="5"/>
  <c r="C1379" i="5"/>
  <c r="C1385" i="5"/>
  <c r="C2236" i="5"/>
  <c r="C2257" i="5"/>
  <c r="C1254" i="5"/>
  <c r="C1764" i="5"/>
  <c r="C1084" i="5"/>
  <c r="C964" i="5"/>
  <c r="C1604" i="5"/>
  <c r="C1466" i="5"/>
  <c r="C680" i="5"/>
  <c r="C1140" i="5"/>
  <c r="C333" i="5"/>
  <c r="C1449" i="5"/>
  <c r="C1083" i="5"/>
  <c r="C1894" i="5"/>
  <c r="C1093" i="5"/>
  <c r="C1977" i="5"/>
  <c r="C672" i="5"/>
  <c r="C1602" i="5"/>
  <c r="C2154" i="5"/>
  <c r="C2814" i="5"/>
  <c r="C2560" i="5"/>
  <c r="C1932" i="5"/>
  <c r="C1486" i="5"/>
  <c r="C427" i="5"/>
  <c r="C2649" i="5"/>
  <c r="C2444" i="5"/>
  <c r="C2239" i="5"/>
  <c r="C716" i="5"/>
  <c r="C1698" i="5"/>
  <c r="C270" i="5"/>
  <c r="C411" i="5"/>
  <c r="C1699" i="5"/>
  <c r="C497" i="5"/>
  <c r="C1403" i="5"/>
  <c r="C299" i="5"/>
  <c r="C511" i="5"/>
  <c r="C111" i="5"/>
  <c r="C164" i="5"/>
  <c r="C269" i="5"/>
  <c r="C462" i="5"/>
  <c r="C886" i="5"/>
  <c r="C285" i="5"/>
  <c r="C1017" i="5"/>
  <c r="C2013" i="5"/>
  <c r="C1137" i="5"/>
  <c r="C1143" i="5"/>
  <c r="C1568" i="5"/>
  <c r="C1365" i="5"/>
  <c r="C10" i="5"/>
  <c r="C2865" i="5"/>
  <c r="C1828" i="5"/>
  <c r="C2202" i="5"/>
  <c r="C1703" i="5"/>
  <c r="C2378" i="5"/>
  <c r="C1169" i="5"/>
  <c r="C2009" i="5"/>
  <c r="C1719" i="5"/>
  <c r="C2807" i="5"/>
  <c r="C31" i="5"/>
  <c r="C1868" i="5"/>
  <c r="C904" i="5"/>
  <c r="C1487" i="5"/>
  <c r="C87" i="5"/>
  <c r="C378" i="5"/>
  <c r="C587" i="5"/>
  <c r="C2431" i="5"/>
  <c r="C550" i="5"/>
  <c r="C1539" i="5"/>
  <c r="C1410" i="5"/>
  <c r="C2173" i="5"/>
  <c r="C2243" i="5"/>
  <c r="C2347" i="5"/>
  <c r="C2593" i="5"/>
  <c r="C1067" i="5"/>
  <c r="C1854" i="5"/>
  <c r="C569" i="5"/>
  <c r="C1095" i="5"/>
  <c r="C1080" i="5"/>
  <c r="C1759" i="5"/>
  <c r="C718" i="5"/>
  <c r="C787" i="5"/>
  <c r="C865" i="5"/>
  <c r="C1903" i="5"/>
  <c r="C346" i="5"/>
  <c r="C2402" i="5"/>
  <c r="C1406" i="5"/>
  <c r="C833" i="5"/>
  <c r="C1897" i="5"/>
  <c r="C2588" i="5"/>
  <c r="C388" i="5"/>
  <c r="C2107" i="5"/>
  <c r="C922" i="5"/>
  <c r="C534" i="5"/>
  <c r="C1371" i="5"/>
  <c r="C93" i="5"/>
  <c r="C1028" i="5"/>
  <c r="C938" i="5"/>
  <c r="C1993" i="5"/>
  <c r="C459" i="5"/>
  <c r="C2033" i="5"/>
  <c r="C1369" i="5"/>
  <c r="C1937" i="5"/>
  <c r="C2656" i="5"/>
  <c r="C2719" i="5"/>
  <c r="C1274" i="5"/>
  <c r="C1206" i="5"/>
  <c r="C384" i="5"/>
  <c r="C1958" i="5"/>
  <c r="C1691" i="5"/>
  <c r="C2423" i="5"/>
  <c r="C2034" i="5"/>
  <c r="C1286" i="5"/>
  <c r="C1824" i="5"/>
  <c r="C802" i="5"/>
  <c r="C987" i="5"/>
  <c r="C1192" i="5"/>
  <c r="C655" i="5"/>
  <c r="C67" i="5"/>
  <c r="C265" i="5"/>
  <c r="C1576" i="5"/>
  <c r="C297" i="5"/>
  <c r="C206" i="5"/>
  <c r="C278" i="5"/>
  <c r="C508" i="5"/>
  <c r="C851" i="5"/>
  <c r="C1107" i="5"/>
  <c r="C1368" i="5"/>
  <c r="C2062" i="5"/>
  <c r="C422" i="5"/>
  <c r="C563" i="5"/>
  <c r="C1134" i="5"/>
  <c r="C832" i="5"/>
  <c r="C1603" i="5"/>
  <c r="C2262" i="5"/>
  <c r="C1885" i="5"/>
  <c r="C2172" i="5"/>
  <c r="C433" i="5"/>
  <c r="C1220" i="5"/>
  <c r="C771" i="5"/>
  <c r="C2849" i="5"/>
  <c r="C1858" i="5"/>
  <c r="C2898" i="5"/>
  <c r="C860" i="5"/>
  <c r="C2415" i="5"/>
  <c r="C1816" i="5"/>
  <c r="C2338" i="5"/>
  <c r="C168" i="5"/>
  <c r="C319" i="5"/>
  <c r="C1033" i="5"/>
  <c r="C2178" i="5"/>
  <c r="C15" i="5"/>
  <c r="C868" i="5"/>
  <c r="C441" i="5"/>
  <c r="C1132" i="5"/>
  <c r="C1072" i="5"/>
  <c r="C1445" i="5"/>
  <c r="C1619" i="5"/>
  <c r="C2093" i="5"/>
  <c r="C510" i="5"/>
  <c r="C132" i="5"/>
  <c r="C43" i="5"/>
  <c r="C817" i="5"/>
  <c r="C1071" i="5"/>
  <c r="C306" i="5"/>
  <c r="C1718" i="5"/>
  <c r="C2071" i="5"/>
  <c r="C1549" i="5"/>
  <c r="C1562" i="5"/>
  <c r="C1512" i="5"/>
  <c r="C1737" i="5"/>
  <c r="C1493" i="5"/>
  <c r="C1260" i="5"/>
  <c r="C1621" i="5"/>
  <c r="C1159" i="5"/>
  <c r="C2727" i="5"/>
  <c r="C705" i="5"/>
  <c r="C177" i="5"/>
  <c r="C1924" i="5"/>
  <c r="C2567" i="5"/>
  <c r="C625" i="5"/>
  <c r="C1304" i="5"/>
  <c r="C1350" i="5"/>
  <c r="C1153" i="5"/>
  <c r="C564" i="5"/>
  <c r="C1850" i="5"/>
  <c r="C1201" i="5"/>
  <c r="C1605" i="5"/>
  <c r="C2680" i="5"/>
  <c r="C1749" i="5"/>
  <c r="C1005" i="5"/>
  <c r="C958" i="5"/>
  <c r="C100" i="5"/>
  <c r="C446" i="5"/>
  <c r="C321" i="5"/>
  <c r="C530" i="5"/>
  <c r="C488" i="5"/>
  <c r="C229" i="5"/>
  <c r="C1250" i="5"/>
  <c r="C1299" i="5"/>
  <c r="C2075" i="5"/>
  <c r="C1959" i="5"/>
  <c r="C2334" i="5"/>
  <c r="C1026" i="5"/>
  <c r="C769" i="5"/>
  <c r="C2314" i="5"/>
  <c r="C1507" i="5"/>
  <c r="C1494" i="5"/>
  <c r="C754" i="5"/>
  <c r="C1752" i="5"/>
  <c r="C322" i="5"/>
  <c r="C854" i="5"/>
  <c r="C1829" i="5"/>
  <c r="C1949" i="5"/>
  <c r="C442" i="5"/>
  <c r="C687" i="5"/>
  <c r="C889" i="5"/>
  <c r="C1214" i="5"/>
  <c r="C2762" i="5"/>
  <c r="C38" i="5"/>
  <c r="C142" i="5"/>
  <c r="C161" i="5"/>
  <c r="C1361" i="5"/>
  <c r="C2734" i="5"/>
  <c r="C2355" i="5"/>
  <c r="C517" i="5"/>
  <c r="C1089" i="5"/>
  <c r="C1686" i="5"/>
  <c r="C1765" i="5"/>
  <c r="C2058" i="5"/>
  <c r="C2866" i="5"/>
  <c r="C989" i="5"/>
  <c r="C2620" i="5"/>
  <c r="C1478" i="5"/>
  <c r="C1860" i="5"/>
  <c r="C348" i="5"/>
  <c r="C2112" i="5"/>
  <c r="C1351" i="5"/>
  <c r="C233" i="5"/>
  <c r="C608" i="5"/>
  <c r="C859" i="5"/>
  <c r="C2356" i="5"/>
  <c r="C696" i="5"/>
  <c r="C1430" i="5"/>
  <c r="C1435" i="5"/>
  <c r="C1776" i="5"/>
  <c r="C341" i="5"/>
  <c r="C864" i="5"/>
  <c r="C1460" i="5"/>
  <c r="C590" i="5"/>
  <c r="C513" i="5"/>
  <c r="C57" i="5"/>
  <c r="C746" i="5"/>
  <c r="C1926" i="5"/>
  <c r="C1895" i="5"/>
  <c r="C373" i="5"/>
  <c r="C2386" i="5"/>
  <c r="C2247" i="5"/>
  <c r="C1138" i="5"/>
  <c r="C124" i="5"/>
  <c r="C1077" i="5"/>
  <c r="C1569" i="5"/>
  <c r="C1640" i="5"/>
  <c r="C439" i="5"/>
  <c r="C1766" i="5"/>
  <c r="C1232" i="5"/>
  <c r="C1769" i="5"/>
  <c r="C2155" i="5"/>
  <c r="C1968" i="5"/>
  <c r="C2348" i="5"/>
  <c r="C850" i="5"/>
  <c r="C695" i="5"/>
  <c r="C274" i="5"/>
  <c r="C2002" i="5"/>
  <c r="C410" i="5"/>
  <c r="C1558" i="5"/>
  <c r="C1154" i="5"/>
  <c r="C1243" i="5"/>
  <c r="C821" i="5"/>
  <c r="C2323" i="5"/>
  <c r="C2227" i="5"/>
  <c r="C1355" i="5"/>
  <c r="C1032" i="5"/>
  <c r="C2324" i="5"/>
  <c r="C796" i="5"/>
  <c r="C342" i="5"/>
  <c r="C1849" i="5"/>
  <c r="C598" i="5"/>
  <c r="C1639" i="5"/>
  <c r="C2878" i="5"/>
  <c r="C2456" i="5"/>
  <c r="C2789" i="5"/>
  <c r="C1266" i="5"/>
  <c r="C2055" i="5"/>
  <c r="C946" i="5"/>
  <c r="C1105" i="5"/>
  <c r="C858" i="5"/>
  <c r="C798" i="5"/>
  <c r="C603" i="5"/>
  <c r="C424" i="5"/>
  <c r="C2589" i="5"/>
  <c r="C1434" i="5"/>
  <c r="C1532" i="5"/>
  <c r="C522" i="5"/>
  <c r="C163" i="5"/>
  <c r="C1857" i="5"/>
  <c r="C2354" i="5"/>
  <c r="C468" i="5"/>
  <c r="C856" i="5"/>
  <c r="C924" i="5"/>
  <c r="C421" i="5"/>
  <c r="C22" i="5"/>
  <c r="C1380" i="5"/>
  <c r="C29" i="5"/>
  <c r="C282" i="5"/>
  <c r="C1865" i="5"/>
  <c r="C2817" i="5"/>
  <c r="C2482" i="5"/>
  <c r="C2140" i="5"/>
  <c r="C1618" i="5"/>
  <c r="C2881" i="5"/>
  <c r="C472" i="5"/>
  <c r="C1060" i="5"/>
  <c r="C284" i="5"/>
  <c r="C633" i="5"/>
  <c r="C2127" i="5"/>
  <c r="C815" i="5"/>
  <c r="C2639" i="5"/>
  <c r="C1935" i="5"/>
  <c r="C644" i="5"/>
  <c r="C675" i="5"/>
  <c r="C2200" i="5"/>
  <c r="C2010" i="5"/>
  <c r="C757" i="5"/>
  <c r="C2432" i="5"/>
  <c r="C1963" i="5"/>
  <c r="C952" i="5"/>
  <c r="C251" i="5"/>
  <c r="C1010" i="5"/>
  <c r="C106" i="5"/>
  <c r="C2497" i="5"/>
  <c r="C2915" i="5"/>
  <c r="C2403" i="5"/>
  <c r="C1960" i="5"/>
  <c r="C934" i="5"/>
  <c r="C1906" i="5"/>
  <c r="C2674" i="5"/>
  <c r="C2056" i="5"/>
  <c r="C182" i="5"/>
  <c r="C147" i="5"/>
  <c r="C366" i="5"/>
  <c r="C1908" i="5"/>
  <c r="C24" i="5"/>
  <c r="C1952" i="5"/>
  <c r="C1313" i="5"/>
  <c r="C1789" i="5"/>
  <c r="C518" i="5"/>
  <c r="C2430" i="5"/>
  <c r="C1185" i="5"/>
  <c r="C790" i="5"/>
  <c r="C2473" i="5"/>
  <c r="C2203" i="5"/>
  <c r="C2286" i="5"/>
  <c r="C268" i="5"/>
  <c r="C528" i="5"/>
  <c r="C988" i="5"/>
  <c r="C14" i="5"/>
  <c r="C2082" i="5"/>
  <c r="C495" i="5"/>
  <c r="C26" i="5"/>
  <c r="C1574" i="5"/>
  <c r="C2175" i="5"/>
  <c r="C2439" i="5"/>
  <c r="C688" i="5"/>
  <c r="C2276" i="5"/>
  <c r="C1268" i="5"/>
  <c r="C2092" i="5"/>
  <c r="C2146" i="5"/>
  <c r="C900" i="5"/>
  <c r="C2914" i="5"/>
  <c r="C1638" i="5"/>
  <c r="C2389" i="5"/>
  <c r="C1388" i="5"/>
  <c r="C2086" i="5"/>
  <c r="C1996" i="5"/>
  <c r="C1459" i="5"/>
  <c r="C1692" i="5"/>
  <c r="C1927" i="5"/>
  <c r="C1046" i="5"/>
  <c r="C2550" i="5"/>
  <c r="C1840" i="5"/>
  <c r="C2720" i="5"/>
  <c r="C1356" i="5"/>
  <c r="C2802" i="5"/>
  <c r="C684" i="5"/>
  <c r="C1788" i="5"/>
  <c r="C2896" i="5"/>
  <c r="C2404" i="5"/>
  <c r="C2688" i="5"/>
  <c r="C2701" i="5"/>
  <c r="C465" i="5"/>
  <c r="C1637" i="5"/>
  <c r="C1068" i="5"/>
  <c r="C2535" i="5"/>
  <c r="C1103" i="5"/>
  <c r="C292" i="5"/>
  <c r="C2493" i="5"/>
  <c r="C1044" i="5"/>
  <c r="C1305" i="5"/>
  <c r="C2457" i="5"/>
  <c r="C2812" i="5"/>
  <c r="C27" i="5"/>
  <c r="C2251" i="5"/>
  <c r="C2505" i="5"/>
  <c r="C939" i="5"/>
  <c r="C140" i="5"/>
  <c r="C73" i="5"/>
  <c r="C407" i="5"/>
  <c r="C1957" i="5"/>
  <c r="C2049" i="5"/>
  <c r="C1038" i="5"/>
  <c r="C1444" i="5"/>
  <c r="C1931" i="5"/>
  <c r="C2707" i="5"/>
  <c r="C1881" i="5"/>
  <c r="C824" i="5"/>
  <c r="C753" i="5"/>
  <c r="C494" i="5"/>
  <c r="C1750" i="5"/>
  <c r="C1678" i="5"/>
  <c r="C1346" i="5"/>
  <c r="C823" i="5"/>
  <c r="C471" i="5"/>
  <c r="C1513" i="5"/>
  <c r="C171" i="5"/>
  <c r="C1886" i="5"/>
  <c r="C2372" i="5"/>
  <c r="C2911" i="5"/>
  <c r="C2760" i="5"/>
  <c r="C474" i="5"/>
  <c r="C393" i="5"/>
  <c r="C1707" i="5"/>
  <c r="C852" i="5"/>
  <c r="C887" i="5"/>
  <c r="C2522" i="5"/>
  <c r="C1308" i="5"/>
  <c r="C1242" i="5"/>
  <c r="C1102" i="5"/>
  <c r="C2590" i="5"/>
  <c r="C2145" i="5"/>
  <c r="C811" i="5"/>
  <c r="C1820" i="5"/>
  <c r="C611" i="5"/>
  <c r="C1148" i="5"/>
  <c r="C953" i="5"/>
  <c r="C1114" i="5"/>
  <c r="C1518" i="5"/>
  <c r="C2250" i="5"/>
  <c r="C1580" i="5"/>
  <c r="C1331" i="5"/>
  <c r="C621" i="5"/>
  <c r="C2681" i="5"/>
  <c r="C1803" i="5"/>
  <c r="C1508" i="5"/>
  <c r="C831" i="5"/>
  <c r="C2637" i="5"/>
  <c r="C1919" i="5"/>
  <c r="C1412" i="5"/>
  <c r="C1741" i="5"/>
  <c r="C2902" i="5"/>
  <c r="C1210" i="5"/>
  <c r="C2892" i="5"/>
  <c r="C2748" i="5"/>
  <c r="C1613" i="5"/>
  <c r="C2095" i="5"/>
  <c r="C2834" i="5"/>
  <c r="C52" i="5"/>
  <c r="C2787" i="5"/>
  <c r="C2869" i="5"/>
  <c r="C2333" i="5"/>
  <c r="C1499" i="5"/>
  <c r="C2509" i="5"/>
  <c r="C1283" i="5"/>
  <c r="C1360" i="5"/>
  <c r="C2090" i="5"/>
  <c r="C1042" i="5"/>
  <c r="C355" i="5"/>
  <c r="C105" i="5"/>
  <c r="C340" i="5"/>
  <c r="C694" i="5"/>
  <c r="C92" i="5"/>
  <c r="C1427" i="5"/>
  <c r="C813" i="5"/>
  <c r="C2723" i="5"/>
  <c r="C2487" i="5"/>
  <c r="C2109" i="5"/>
  <c r="C1543" i="5"/>
  <c r="C1045" i="5"/>
  <c r="C855" i="5"/>
  <c r="C84" i="5"/>
  <c r="C1544" i="5"/>
  <c r="C997" i="5"/>
  <c r="C449" i="5"/>
  <c r="C892" i="5"/>
  <c r="C334" i="5"/>
  <c r="C1842" i="5"/>
  <c r="C50" i="5"/>
  <c r="C1810" i="5"/>
  <c r="C1700" i="5"/>
  <c r="C1734" i="5"/>
  <c r="C2052" i="5"/>
  <c r="C1994" i="5"/>
  <c r="C72" i="5"/>
  <c r="C19" i="5"/>
  <c r="C2081" i="5"/>
  <c r="C2159" i="5"/>
  <c r="C2783" i="5"/>
  <c r="C1293" i="5"/>
  <c r="C643" i="5"/>
  <c r="C1731" i="5"/>
  <c r="C1882" i="5"/>
  <c r="C2194" i="5"/>
  <c r="C1896" i="5"/>
  <c r="C2647" i="5"/>
  <c r="C1110" i="5"/>
  <c r="C1961" i="5"/>
  <c r="C332" i="5"/>
  <c r="C2485" i="5"/>
  <c r="C2784" i="5"/>
  <c r="C2638" i="5"/>
  <c r="C968" i="5"/>
  <c r="C2026" i="5"/>
  <c r="C610" i="5"/>
  <c r="C1023" i="5"/>
  <c r="C2132" i="5"/>
  <c r="C2165" i="5"/>
  <c r="C1321" i="5"/>
  <c r="C1852" i="5"/>
  <c r="C1524" i="5"/>
  <c r="C665" i="5"/>
  <c r="C2908" i="5"/>
  <c r="C64" i="5"/>
  <c r="C2260" i="5"/>
  <c r="C2305" i="5"/>
  <c r="C2411" i="5"/>
  <c r="C917" i="5"/>
  <c r="C2255" i="5"/>
  <c r="C1191" i="5"/>
  <c r="C2208" i="5"/>
  <c r="C1912" i="5"/>
  <c r="C2797" i="5"/>
  <c r="C4" i="5"/>
  <c r="C1904" i="5"/>
  <c r="C2815" i="5"/>
  <c r="C255" i="5"/>
  <c r="C60" i="5"/>
  <c r="C490" i="5"/>
  <c r="C2304" i="5"/>
  <c r="C1658" i="5"/>
  <c r="C196" i="5"/>
  <c r="C998" i="5"/>
  <c r="C745" i="5"/>
  <c r="C2518" i="5"/>
  <c r="C2803" i="5"/>
  <c r="C2209" i="5"/>
  <c r="C101" i="5"/>
  <c r="C45" i="5"/>
  <c r="C829" i="5"/>
  <c r="C383" i="5"/>
  <c r="C109" i="5"/>
  <c r="C1402" i="5"/>
  <c r="C482" i="5"/>
  <c r="C2424" i="5"/>
  <c r="C2729" i="5"/>
  <c r="C2060" i="5"/>
  <c r="C1800" i="5"/>
  <c r="C1352" i="5"/>
  <c r="C2623" i="5"/>
  <c r="C1209" i="5"/>
  <c r="C1902" i="5"/>
  <c r="C1928" i="5"/>
  <c r="C2682" i="5"/>
  <c r="C455" i="5"/>
  <c r="C1188" i="5"/>
  <c r="C1307" i="5"/>
  <c r="C912" i="5"/>
  <c r="C2028" i="5"/>
  <c r="C2483" i="5"/>
  <c r="C1925" i="5"/>
  <c r="C846" i="5"/>
  <c r="C1437" i="5"/>
  <c r="C291" i="5"/>
  <c r="C1645" i="5"/>
  <c r="C543" i="5"/>
  <c r="C1938" i="5"/>
  <c r="C375" i="5"/>
  <c r="C1874" i="5"/>
  <c r="C204" i="5"/>
  <c r="C599" i="5"/>
  <c r="C1491" i="5"/>
  <c r="C2263" i="5"/>
  <c r="C1224" i="5"/>
  <c r="C1753" i="5"/>
  <c r="C2631" i="5"/>
  <c r="C521" i="5"/>
  <c r="C2380" i="5"/>
  <c r="C2179" i="5"/>
  <c r="C1446" i="5"/>
  <c r="C1447" i="5"/>
  <c r="C2125" i="5"/>
  <c r="C337" i="5"/>
  <c r="C1118" i="5"/>
  <c r="C18" i="5"/>
  <c r="C68" i="5"/>
  <c r="C1240" i="5"/>
  <c r="C605" i="5"/>
  <c r="C1969" i="5"/>
  <c r="C937" i="5"/>
  <c r="C700" i="5"/>
  <c r="C1287" i="5"/>
  <c r="C1205" i="5"/>
  <c r="C561" i="5"/>
  <c r="C2718" i="5"/>
  <c r="C871" i="5"/>
  <c r="C254" i="5"/>
  <c r="C2229" i="5"/>
  <c r="C376" i="5"/>
  <c r="C2156" i="5"/>
  <c r="C1146" i="5"/>
  <c r="C2486" i="5"/>
  <c r="C1204" i="5"/>
  <c r="C1395" i="5"/>
  <c r="C1320" i="5"/>
  <c r="C2900" i="5"/>
  <c r="C1468" i="5"/>
  <c r="C1917" i="5"/>
  <c r="C5" i="5"/>
  <c r="C2698" i="5"/>
  <c r="C1073" i="5"/>
  <c r="C80" i="5"/>
  <c r="C1216" i="5"/>
  <c r="C2794" i="5"/>
  <c r="C2003" i="5"/>
  <c r="C1943" i="5"/>
  <c r="C1546" i="5"/>
  <c r="C198" i="5"/>
  <c r="C2766" i="5"/>
  <c r="C804" i="5"/>
  <c r="C1101" i="5"/>
  <c r="C1341" i="5"/>
  <c r="C1909" i="5"/>
  <c r="C2027" i="5"/>
  <c r="C2307" i="5"/>
  <c r="C2507" i="5"/>
  <c r="C744" i="5"/>
  <c r="C55" i="5"/>
  <c r="C2455" i="5"/>
  <c r="C1997" i="5"/>
  <c r="C2710" i="5"/>
  <c r="C1873" i="5"/>
  <c r="C828" i="5"/>
  <c r="C63" i="5"/>
  <c r="C193" i="5"/>
  <c r="C571" i="5"/>
  <c r="C51" i="5"/>
  <c r="C1679" i="5"/>
  <c r="C1135" i="5"/>
  <c r="C2621" i="5"/>
  <c r="C2575" i="5"/>
  <c r="C976" i="5"/>
  <c r="C1241" i="5"/>
  <c r="C1298" i="5"/>
  <c r="C1754" i="5"/>
  <c r="C2458" i="5"/>
  <c r="C1982" i="5"/>
  <c r="C1578" i="5"/>
  <c r="C2256" i="5"/>
  <c r="C2660" i="5"/>
  <c r="C2252" i="5"/>
  <c r="C2413" i="5"/>
  <c r="C1980" i="5"/>
  <c r="C2335" i="5"/>
  <c r="C2069" i="5"/>
  <c r="C2728" i="5"/>
  <c r="C1439" i="5"/>
  <c r="C2606" i="5"/>
  <c r="C638" i="5"/>
  <c r="C772" i="5"/>
  <c r="C2073" i="5"/>
  <c r="C2277" i="5"/>
  <c r="C2909" i="5"/>
  <c r="C1027" i="5"/>
  <c r="C175" i="5"/>
  <c r="C2585" i="5"/>
  <c r="C1763" i="5"/>
  <c r="C152" i="5"/>
  <c r="C2469" i="5"/>
  <c r="C81" i="5"/>
  <c r="C535" i="5"/>
  <c r="C785" i="5"/>
  <c r="C225" i="5"/>
  <c r="C2235" i="5"/>
  <c r="C1614" i="5"/>
  <c r="C2406" i="5"/>
  <c r="C2138" i="5"/>
  <c r="C816" i="5"/>
  <c r="C2448" i="5"/>
  <c r="C280" i="5"/>
  <c r="C2611" i="5"/>
  <c r="C2440" i="5"/>
  <c r="C2041" i="5"/>
  <c r="C962" i="5"/>
  <c r="C2339" i="5"/>
  <c r="C2651" i="5"/>
  <c r="C867" i="5"/>
  <c r="C1556" i="5"/>
  <c r="C405" i="5"/>
  <c r="C1431" i="5"/>
  <c r="C2664" i="5"/>
  <c r="C2283" i="5"/>
  <c r="C2873" i="5"/>
  <c r="C734" i="5"/>
  <c r="C1791" i="5"/>
  <c r="C1186" i="5"/>
  <c r="C1694" i="5"/>
  <c r="C617" i="5"/>
  <c r="C1467" i="5"/>
  <c r="C2445" i="5"/>
  <c r="C1648" i="5"/>
  <c r="C971" i="5"/>
  <c r="C791" i="5"/>
  <c r="C156" i="5"/>
  <c r="C812" i="5"/>
  <c r="C1054" i="5"/>
  <c r="C1312" i="5"/>
  <c r="C2" i="5"/>
  <c r="C231" i="5"/>
  <c r="C208" i="5"/>
  <c r="C2597" i="5"/>
  <c r="C77" i="5"/>
  <c r="C1710" i="5"/>
  <c r="C2274" i="5"/>
  <c r="C1119" i="5"/>
  <c r="C166" i="5"/>
  <c r="C414" i="5"/>
  <c r="C596" i="5"/>
  <c r="C437" i="5"/>
  <c r="C2699" i="5"/>
  <c r="C2504" i="5"/>
  <c r="C2777" i="5"/>
  <c r="C2622" i="5"/>
  <c r="C377" i="5"/>
  <c r="C2889" i="5"/>
  <c r="C1235" i="5"/>
  <c r="C2357" i="5"/>
  <c r="C1515" i="5"/>
  <c r="C2226" i="5"/>
  <c r="C714" i="5"/>
  <c r="C2770" i="5"/>
  <c r="C498" i="5"/>
  <c r="C2288" i="5"/>
  <c r="C2498" i="5"/>
  <c r="C1024" i="5"/>
  <c r="C219" i="5"/>
  <c r="C572" i="5"/>
  <c r="C1194" i="5"/>
  <c r="C2129" i="5"/>
  <c r="C235" i="5"/>
  <c r="C1950" i="5"/>
  <c r="C2489" i="5"/>
  <c r="C1411" i="5"/>
  <c r="C2417" i="5"/>
  <c r="C1029" i="5"/>
  <c r="C1755" i="5"/>
  <c r="C240" i="5"/>
  <c r="C1160" i="5"/>
  <c r="C2490" i="5"/>
  <c r="C894" i="5"/>
  <c r="C2381" i="5"/>
  <c r="C2795" i="5"/>
  <c r="C1500" i="5"/>
  <c r="C1663" i="5"/>
  <c r="C194" i="5"/>
  <c r="C977" i="5"/>
  <c r="C1272" i="5"/>
  <c r="C2436" i="5"/>
  <c r="C1920" i="5"/>
  <c r="C593" i="5"/>
  <c r="C2904" i="5"/>
  <c r="C228" i="5"/>
  <c r="C1889" i="5"/>
  <c r="C2051" i="5"/>
  <c r="C2635" i="5"/>
  <c r="C1847" i="5"/>
  <c r="C781" i="5"/>
  <c r="C1087" i="5"/>
  <c r="C2625" i="5"/>
  <c r="C1530" i="5"/>
  <c r="C428" i="5"/>
  <c r="C2180" i="5"/>
  <c r="C2684" i="5"/>
  <c r="C532" i="5"/>
  <c r="C2459" i="5"/>
  <c r="C765" i="5"/>
  <c r="C2771" i="5"/>
  <c r="C2078" i="5"/>
  <c r="C2438" i="5"/>
  <c r="C1729" i="5"/>
  <c r="C2214" i="5"/>
  <c r="C409" i="5"/>
  <c r="C1838" i="5"/>
  <c r="C1862" i="5"/>
  <c r="C963" i="5"/>
  <c r="C1667" i="5"/>
  <c r="C1100" i="5"/>
  <c r="C1983" i="5"/>
  <c r="C2880" i="5"/>
  <c r="C2616" i="5"/>
  <c r="C2393" i="5"/>
  <c r="C1821" i="5"/>
  <c r="C2894" i="5"/>
  <c r="C2130" i="5"/>
  <c r="C1181" i="5"/>
  <c r="C2224" i="5"/>
  <c r="C954" i="5"/>
  <c r="C2594" i="5"/>
  <c r="C2581" i="5"/>
  <c r="C1442" i="5"/>
  <c r="C1782" i="5"/>
  <c r="C2659" i="5"/>
  <c r="C2552" i="5"/>
  <c r="C2759" i="5"/>
  <c r="C903" i="5"/>
  <c r="C1111" i="5"/>
  <c r="C575" i="5"/>
  <c r="C2426" i="5"/>
  <c r="C478" i="5"/>
  <c r="C1528" i="5"/>
  <c r="C2462" i="5"/>
  <c r="C2499" i="5"/>
  <c r="C542" i="5"/>
  <c r="C1616" i="5"/>
  <c r="C537" i="5"/>
  <c r="C2827" i="5"/>
  <c r="C2634" i="5"/>
  <c r="C2149" i="5"/>
  <c r="C1339" i="5"/>
  <c r="C2137" i="5"/>
  <c r="C2675" i="5"/>
  <c r="C1954" i="5"/>
  <c r="C1104" i="5"/>
  <c r="C1601" i="5"/>
  <c r="C1566" i="5"/>
  <c r="C2151" i="5"/>
  <c r="C2610" i="5"/>
  <c r="C2021" i="5"/>
  <c r="C1973" i="5"/>
  <c r="C1473" i="5"/>
  <c r="C722" i="5"/>
  <c r="C1717" i="5"/>
  <c r="C481" i="5"/>
  <c r="C1606" i="5"/>
  <c r="C1802" i="5"/>
  <c r="C1123" i="5"/>
  <c r="C1108" i="5"/>
  <c r="C1065" i="5"/>
  <c r="C1421" i="5"/>
  <c r="C357" i="5"/>
  <c r="C2248" i="5"/>
  <c r="C674" i="5"/>
  <c r="C792" i="5"/>
  <c r="C2222" i="5"/>
  <c r="C2709" i="5"/>
  <c r="C79" i="5"/>
  <c r="C847" i="5"/>
  <c r="C32" i="5"/>
  <c r="C2650" i="5"/>
  <c r="C2786" i="5"/>
  <c r="C943" i="5"/>
  <c r="C2264" i="5"/>
  <c r="C841" i="5"/>
  <c r="C658" i="5"/>
  <c r="C1164" i="5"/>
  <c r="C76" i="5"/>
  <c r="C1069" i="5"/>
  <c r="C339" i="5"/>
  <c r="C2076" i="5"/>
  <c r="C1483" i="5"/>
  <c r="C2510" i="5"/>
  <c r="C30" i="5"/>
  <c r="C70" i="5"/>
  <c r="C237" i="5"/>
  <c r="C296" i="5"/>
  <c r="C2468" i="5"/>
  <c r="C118" i="5"/>
  <c r="C2753" i="5"/>
  <c r="C2843" i="5"/>
  <c r="C2050" i="5"/>
  <c r="C2087" i="5"/>
  <c r="C2014" i="5"/>
  <c r="C2359" i="5"/>
  <c r="C2641" i="5"/>
  <c r="C1239" i="5"/>
  <c r="C2054" i="5"/>
  <c r="C2169" i="5"/>
  <c r="C2147" i="5"/>
  <c r="C2584" i="5"/>
  <c r="C1090" i="5"/>
  <c r="C434" i="5"/>
  <c r="C2592" i="5"/>
  <c r="C347" i="5"/>
  <c r="C1525" i="5"/>
  <c r="C2780" i="5"/>
  <c r="C1288" i="5"/>
  <c r="C1150" i="5"/>
  <c r="C477" i="5"/>
  <c r="C417" i="5"/>
  <c r="C1477" i="5"/>
  <c r="C1342" i="5"/>
  <c r="C712" i="5"/>
  <c r="C108" i="5"/>
  <c r="C2890" i="5"/>
  <c r="C2763" i="5"/>
  <c r="C1081" i="5"/>
  <c r="C2845" i="5"/>
  <c r="C1529" i="5"/>
  <c r="C220" i="5"/>
  <c r="C2443" i="5"/>
  <c r="C2363" i="5"/>
  <c r="C1062" i="5"/>
  <c r="C548" i="5"/>
  <c r="C2382" i="5"/>
  <c r="C2571" i="5"/>
  <c r="C715" i="5"/>
  <c r="C2210" i="5"/>
  <c r="C349" i="5"/>
  <c r="C1180" i="5"/>
  <c r="C2800" i="5"/>
  <c r="C1735" i="5"/>
  <c r="C207" i="5"/>
  <c r="C2542" i="5"/>
  <c r="C2442" i="5"/>
  <c r="C524" i="5"/>
  <c r="C2437" i="5"/>
  <c r="C1535" i="5"/>
  <c r="C743" i="5"/>
  <c r="C1147" i="5"/>
  <c r="C2491" i="5"/>
  <c r="C554" i="5"/>
  <c r="C940" i="5"/>
  <c r="C1070" i="5"/>
  <c r="C2907" i="5"/>
  <c r="C218" i="5"/>
  <c r="C966" i="5"/>
  <c r="C404" i="5"/>
  <c r="C1420" i="5"/>
  <c r="C210" i="5"/>
  <c r="C271" i="5"/>
  <c r="C767" i="5"/>
  <c r="C430" i="5"/>
  <c r="C1233" i="5"/>
  <c r="C2100" i="5"/>
  <c r="C1394" i="5"/>
  <c r="C936" i="5"/>
  <c r="C1426" i="5"/>
  <c r="C2569" i="5"/>
  <c r="C2405" i="5"/>
  <c r="C830" i="5"/>
  <c r="C1190" i="5"/>
  <c r="C604" i="5"/>
  <c r="C1883" i="5"/>
  <c r="C1998" i="5"/>
  <c r="C2040" i="5"/>
  <c r="C1142" i="5"/>
  <c r="C126" i="5"/>
  <c r="C371" i="5"/>
  <c r="C143" i="5"/>
  <c r="C102" i="5"/>
  <c r="C413" i="5"/>
  <c r="C1319" i="5"/>
  <c r="C2410" i="5"/>
  <c r="C1198" i="5"/>
  <c r="C2769" i="5"/>
  <c r="C2736" i="5"/>
  <c r="C2657" i="5"/>
  <c r="C2360" i="5"/>
  <c r="C2294" i="5"/>
  <c r="C1037" i="5"/>
  <c r="C739" i="5"/>
  <c r="C2712" i="5"/>
  <c r="C2206" i="5"/>
  <c r="C1178" i="5"/>
  <c r="C1309" i="5"/>
  <c r="C944" i="5"/>
  <c r="C61" i="5"/>
  <c r="C1453" i="5"/>
  <c r="C2511" i="5"/>
  <c r="C159" i="5"/>
  <c r="C2614" i="5"/>
  <c r="C1671" i="5"/>
  <c r="C2446" i="5"/>
  <c r="C2713" i="5"/>
  <c r="C1559" i="5"/>
  <c r="C2546" i="5"/>
  <c r="C556" i="5"/>
  <c r="C2624" i="5"/>
  <c r="C808" i="5"/>
  <c r="C2011" i="5"/>
  <c r="C1785" i="5"/>
  <c r="C2910" i="5"/>
  <c r="C2578" i="5"/>
  <c r="C573" i="5"/>
  <c r="C403" i="5"/>
  <c r="C2704" i="5"/>
  <c r="C1284" i="5"/>
  <c r="C2281" i="5"/>
  <c r="C279" i="5"/>
  <c r="C1353" i="5"/>
  <c r="C2721" i="5"/>
  <c r="C1643" i="5"/>
  <c r="C972" i="5"/>
  <c r="C2733" i="5"/>
  <c r="C391" i="5"/>
  <c r="C531" i="5"/>
  <c r="C205" i="5"/>
  <c r="C1728" i="5"/>
  <c r="C1595" i="5"/>
  <c r="C612" i="5"/>
  <c r="C2580" i="5"/>
  <c r="C2385" i="5"/>
  <c r="C2673" i="5"/>
  <c r="C1047" i="5"/>
  <c r="C372" i="5"/>
  <c r="C2397" i="5"/>
  <c r="C2425" i="5"/>
  <c r="C2212" i="5"/>
  <c r="C636" i="5"/>
  <c r="C2067" i="5"/>
  <c r="C1230" i="5"/>
  <c r="C2646" i="5"/>
  <c r="C822" i="5"/>
  <c r="C2519" i="5"/>
  <c r="C2665" i="5"/>
  <c r="C2280" i="5"/>
  <c r="C2534" i="5"/>
  <c r="C905" i="5"/>
  <c r="C2691" i="5"/>
  <c r="C2530" i="5"/>
  <c r="C2586" i="5"/>
  <c r="C2271" i="5"/>
  <c r="C890" i="5"/>
  <c r="C202" i="5"/>
  <c r="C2441" i="5"/>
  <c r="C2461" i="5"/>
  <c r="C707" i="5"/>
  <c r="C1875" i="5"/>
  <c r="C1359" i="5"/>
  <c r="C2266" i="5"/>
  <c r="C1457" i="5"/>
  <c r="C2548" i="5"/>
  <c r="C1830" i="5"/>
  <c r="C991" i="5"/>
  <c r="C536" i="5"/>
  <c r="C1633" i="5"/>
  <c r="C1649" i="5"/>
  <c r="C2864" i="5"/>
  <c r="C2364" i="5"/>
  <c r="C2377" i="5"/>
  <c r="C2830" i="5"/>
  <c r="C2772" i="5"/>
  <c r="C1096" i="5"/>
  <c r="C1984" i="5"/>
  <c r="C737" i="5"/>
  <c r="C1113" i="5"/>
  <c r="C2858" i="5"/>
  <c r="C2600" i="5"/>
  <c r="C2554" i="5"/>
  <c r="C1117" i="5"/>
  <c r="C1200" i="5"/>
  <c r="C1907" i="5"/>
  <c r="C2697" i="5"/>
  <c r="C2408" i="5"/>
  <c r="C2218" i="5"/>
  <c r="C1540" i="5"/>
  <c r="C1708" i="5"/>
  <c r="C2115" i="5"/>
  <c r="C2303" i="5"/>
  <c r="C1650" i="5"/>
  <c r="C2018" i="5"/>
  <c r="C1655" i="5"/>
  <c r="C1760" i="5"/>
  <c r="C671" i="5"/>
  <c r="C115" i="5"/>
  <c r="C2636" i="5"/>
  <c r="C2022" i="5"/>
  <c r="C90" i="5"/>
  <c r="C78" i="5"/>
  <c r="C1290" i="5"/>
  <c r="C99" i="5"/>
  <c r="C415" i="5"/>
  <c r="C2190" i="5"/>
  <c r="C1587" i="5"/>
  <c r="C1126" i="5"/>
  <c r="C1826" i="5"/>
  <c r="C1344" i="5"/>
  <c r="C2170" i="5"/>
  <c r="C2128" i="5"/>
  <c r="C2192" i="5"/>
  <c r="C2918" i="5"/>
  <c r="C2506" i="5"/>
  <c r="C1193" i="5"/>
  <c r="C2844" i="5"/>
  <c r="C2350" i="5"/>
  <c r="C667" i="5"/>
  <c r="C2102" i="5"/>
  <c r="C259" i="5"/>
  <c r="C1175" i="5"/>
  <c r="C359" i="5"/>
  <c r="C188" i="5"/>
  <c r="C539" i="5"/>
  <c r="C1176" i="5"/>
  <c r="C272" i="5"/>
  <c r="C2327" i="5"/>
  <c r="C1843" i="5"/>
  <c r="C878" i="5"/>
  <c r="C2449" i="5"/>
  <c r="C2185" i="5"/>
  <c r="C2004" i="5"/>
  <c r="C670" i="5"/>
  <c r="C1326" i="5"/>
  <c r="C2103" i="5"/>
  <c r="C2106" i="5"/>
  <c r="C2392" i="5"/>
  <c r="C1373" i="5"/>
  <c r="C2754" i="5"/>
  <c r="C2764" i="5"/>
  <c r="C2693" i="5"/>
  <c r="C1739" i="5"/>
  <c r="C130" i="5"/>
  <c r="C1510" i="5"/>
  <c r="C1833" i="5"/>
  <c r="C2231" i="5"/>
  <c r="C2686" i="5"/>
  <c r="C71" i="5"/>
  <c r="C1979" i="5"/>
  <c r="C1822" i="5"/>
  <c r="C1289" i="5"/>
  <c r="C1914" i="5"/>
  <c r="C1631" i="5"/>
  <c r="C776" i="5"/>
  <c r="C2599" i="5"/>
  <c r="C1173" i="5"/>
  <c r="C1034" i="5"/>
  <c r="C2627" i="5"/>
  <c r="C1552" i="5"/>
  <c r="C1836" i="5"/>
  <c r="C53" i="5"/>
  <c r="C2326" i="5"/>
  <c r="C2573" i="5"/>
  <c r="C2752" i="5"/>
  <c r="C1747" i="5"/>
  <c r="C2309" i="5"/>
  <c r="C2006" i="5"/>
  <c r="C1839" i="5"/>
  <c r="C2293" i="5"/>
  <c r="C2714" i="5"/>
  <c r="C906" i="5"/>
  <c r="C717" i="5"/>
  <c r="C1040" i="5"/>
  <c r="C959" i="5"/>
  <c r="C2605" i="5"/>
  <c r="C577" i="5"/>
  <c r="C2030" i="5"/>
  <c r="C1778" i="5"/>
  <c r="C1452" i="5"/>
  <c r="C1264" i="5"/>
  <c r="C2883" i="5"/>
  <c r="C600" i="5"/>
  <c r="C69" i="5"/>
  <c r="C863" i="5"/>
  <c r="C1172" i="5"/>
  <c r="C192" i="5"/>
  <c r="C1727" i="5"/>
  <c r="C167" i="5"/>
  <c r="C307" i="5"/>
  <c r="C308" i="5"/>
  <c r="C1501" i="5"/>
  <c r="C1432" i="5"/>
  <c r="C2846" i="5"/>
  <c r="C2570" i="5"/>
  <c r="C843" i="5"/>
  <c r="C628" i="5"/>
  <c r="C883" i="5"/>
  <c r="C1271" i="5"/>
  <c r="C48" i="5"/>
  <c r="C2695" i="5"/>
  <c r="C2903" i="5"/>
  <c r="C1282" i="5"/>
  <c r="C2401" i="5"/>
  <c r="C185" i="5"/>
  <c r="C133" i="5"/>
  <c r="C2871" i="5"/>
  <c r="C2536" i="5"/>
  <c r="C1469" i="5"/>
  <c r="C2537" i="5"/>
  <c r="C364" i="5"/>
  <c r="C2447" i="5"/>
  <c r="C131" i="5"/>
  <c r="C2113" i="5"/>
  <c r="C2272" i="5"/>
  <c r="C1792" i="5"/>
  <c r="C1408" i="5"/>
  <c r="C877" i="5"/>
  <c r="C747" i="5"/>
  <c r="C1229" i="5"/>
  <c r="C647" i="5"/>
  <c r="C2042" i="5"/>
  <c r="C2685" i="5"/>
  <c r="C1474" i="5"/>
  <c r="C2083" i="5"/>
  <c r="C2661" i="5"/>
  <c r="C2724" i="5"/>
  <c r="C1584" i="5"/>
  <c r="C861" i="5"/>
  <c r="C2398" i="5"/>
  <c r="C2524" i="5"/>
  <c r="C2835" i="5"/>
  <c r="C933" i="5"/>
  <c r="C2316" i="5"/>
  <c r="C701" i="5"/>
  <c r="C2663" i="5"/>
  <c r="C1124" i="5"/>
  <c r="C2104" i="5"/>
  <c r="C2098" i="5"/>
  <c r="C1590" i="5"/>
  <c r="C2317" i="5"/>
  <c r="C1915" i="5"/>
  <c r="C1844" i="5"/>
  <c r="C1770" i="5"/>
  <c r="C2024" i="5"/>
  <c r="C1867" i="5"/>
  <c r="C1695" i="5"/>
  <c r="C1786" i="5"/>
  <c r="C1711" i="5"/>
  <c r="C713" i="5"/>
  <c r="C2114" i="5"/>
  <c r="C1777" i="5"/>
  <c r="C2126" i="5"/>
  <c r="C1130" i="5"/>
  <c r="C1424" i="5"/>
  <c r="C1773" i="5"/>
  <c r="C1972" i="5"/>
  <c r="C919" i="5"/>
  <c r="C2464" i="5"/>
  <c r="C2409" i="5"/>
  <c r="C2715" i="5"/>
  <c r="C2895" i="5"/>
  <c r="C578" i="5"/>
  <c r="C2874" i="5"/>
  <c r="C1261" i="5"/>
  <c r="C2810" i="5"/>
  <c r="C2823" i="5"/>
  <c r="C1337" i="5"/>
  <c r="C2032" i="5"/>
  <c r="C1557" i="5"/>
  <c r="C1039" i="5"/>
  <c r="C2816" i="5"/>
  <c r="C1136" i="5"/>
  <c r="C1387" i="5"/>
  <c r="C2850" i="5"/>
  <c r="C2596" i="5"/>
  <c r="C1202" i="5"/>
  <c r="C2703" i="5"/>
  <c r="C1109" i="5"/>
  <c r="C452" i="5"/>
  <c r="C447" i="5"/>
  <c r="C120" i="5"/>
  <c r="C2819" i="5"/>
  <c r="C1458" i="5"/>
  <c r="C1294" i="5"/>
  <c r="C2778" i="5"/>
  <c r="C467" i="5"/>
  <c r="C1888" i="5"/>
  <c r="C893" i="5"/>
  <c r="C2875" i="5"/>
  <c r="C62" i="5"/>
  <c r="C2645" i="5"/>
  <c r="C970" i="5"/>
  <c r="C345" i="5"/>
  <c r="C560" i="5"/>
  <c r="C526" i="5"/>
  <c r="C2160" i="5"/>
  <c r="C1581" i="5"/>
  <c r="C724" i="5"/>
  <c r="C819" i="5"/>
  <c r="C2708" i="5"/>
  <c r="C653" i="5"/>
  <c r="C1555" i="5"/>
  <c r="C820" i="5"/>
  <c r="C930" i="5"/>
  <c r="C1285" i="5"/>
  <c r="C1887" i="5"/>
  <c r="C1656" i="5"/>
  <c r="C74" i="5"/>
  <c r="C370" i="5"/>
  <c r="C117" i="5"/>
  <c r="C1900" i="5"/>
  <c r="C1374" i="5"/>
  <c r="C1738" i="5"/>
  <c r="C2358" i="5"/>
  <c r="C1571" i="5"/>
  <c r="C1007" i="5"/>
  <c r="C2495" i="5"/>
  <c r="C1632" i="5"/>
  <c r="C2852" i="5"/>
  <c r="C2799" i="5"/>
  <c r="C476" i="5"/>
  <c r="C985" i="5"/>
  <c r="C624" i="5"/>
  <c r="C110" i="5"/>
  <c r="C2390" i="5"/>
  <c r="C2655" i="5"/>
  <c r="C1527" i="5"/>
  <c r="C247" i="5"/>
  <c r="C1565" i="5"/>
  <c r="C1429" i="5"/>
  <c r="C1853" i="5"/>
  <c r="C2755" i="5"/>
  <c r="C169" i="5"/>
  <c r="C2110" i="5"/>
  <c r="C1378" i="5"/>
  <c r="C330" i="5"/>
  <c r="C1259" i="5"/>
  <c r="C630" i="5"/>
  <c r="C2162" i="5"/>
  <c r="C1725" i="5"/>
  <c r="C2779" i="5"/>
  <c r="C2315" i="5"/>
  <c r="C2265" i="5"/>
  <c r="C2025" i="5"/>
  <c r="C281" i="5"/>
  <c r="C594" i="5"/>
  <c r="C1129" i="5"/>
  <c r="C2739" i="5"/>
  <c r="C2788" i="5"/>
  <c r="C2399" i="5"/>
  <c r="C805" i="5"/>
  <c r="C2463" i="5"/>
  <c r="C2196" i="5"/>
  <c r="C1812" i="5"/>
  <c r="C910" i="5"/>
  <c r="C1462" i="5"/>
  <c r="C1780" i="5"/>
  <c r="C1116" i="5"/>
  <c r="C2529" i="5"/>
  <c r="C949" i="5"/>
  <c r="C923" i="5"/>
  <c r="C2244" i="5"/>
  <c r="C945" i="5"/>
  <c r="C2608" i="5"/>
  <c r="C2773" i="5"/>
  <c r="C1485" i="5"/>
  <c r="C986" i="5"/>
  <c r="C955" i="5"/>
  <c r="C2475" i="5"/>
  <c r="C975" i="5"/>
  <c r="C2476" i="5"/>
  <c r="C2330" i="5"/>
  <c r="C1167" i="5"/>
  <c r="C2089" i="5"/>
  <c r="C2813" i="5"/>
  <c r="C2072" i="5"/>
  <c r="C1573" i="5"/>
  <c r="C1470" i="5"/>
  <c r="C2687" i="5"/>
  <c r="C1681" i="5"/>
  <c r="C2063" i="5"/>
  <c r="C581" i="5"/>
  <c r="C2494" i="5"/>
  <c r="C2897" i="5"/>
  <c r="C1560" i="5"/>
  <c r="C1484" i="5"/>
  <c r="C2365" i="5"/>
  <c r="C184" i="5"/>
  <c r="C2287" i="5"/>
  <c r="C2905" i="5"/>
  <c r="C2751" i="5"/>
  <c r="C331" i="5"/>
  <c r="C1002" i="5"/>
  <c r="C2711" i="5"/>
  <c r="C2023" i="5"/>
  <c r="C1599" i="5"/>
  <c r="C2435" i="5"/>
  <c r="C881" i="5"/>
  <c r="C2096" i="5"/>
  <c r="C2344" i="5"/>
  <c r="C921" i="5"/>
  <c r="C2595" i="5"/>
  <c r="C1514" i="5"/>
  <c r="C256" i="5"/>
  <c r="C501" i="5"/>
  <c r="C2725" i="5"/>
  <c r="C1811" i="5"/>
  <c r="C547" i="5"/>
  <c r="C2391" i="5"/>
  <c r="C1534" i="5"/>
  <c r="C190" i="5"/>
  <c r="C2868" i="5"/>
  <c r="C552" i="5"/>
  <c r="C1179" i="5"/>
  <c r="C2757" i="5"/>
  <c r="C2268" i="5"/>
  <c r="C2512" i="5"/>
  <c r="C545" i="5"/>
  <c r="C1338" i="5"/>
  <c r="C2781" i="5"/>
  <c r="C2853" i="5"/>
  <c r="C2407" i="5"/>
  <c r="C429" i="5"/>
  <c r="C1463" i="5"/>
  <c r="C2831" i="5"/>
  <c r="C2329" i="5"/>
  <c r="C2582" i="5"/>
  <c r="C1624" i="5"/>
  <c r="C2601" i="5"/>
  <c r="C1813" i="5"/>
  <c r="C2035" i="5"/>
  <c r="C999" i="5"/>
  <c r="C1015" i="5"/>
  <c r="C1329" i="5"/>
  <c r="C2516" i="5"/>
  <c r="C1899" i="5"/>
  <c r="C257" i="5"/>
  <c r="C2543" i="5"/>
  <c r="C2454" i="5"/>
  <c r="C2825" i="5"/>
  <c r="C2775" i="5"/>
  <c r="C2515" i="5"/>
  <c r="C95" i="5"/>
  <c r="C1381" i="5"/>
  <c r="C523" i="5"/>
  <c r="C2465" i="5"/>
  <c r="C725" i="5"/>
  <c r="C2451" i="5"/>
  <c r="C1488" i="5"/>
  <c r="C2367" i="5"/>
  <c r="C2612" i="5"/>
  <c r="C2555" i="5"/>
  <c r="C1818" i="5"/>
  <c r="C1940" i="5"/>
  <c r="C2539" i="5"/>
  <c r="C221" i="5"/>
  <c r="C2838" i="5"/>
  <c r="C2492" i="5"/>
  <c r="C1128" i="5"/>
  <c r="C1878" i="5"/>
  <c r="C1133" i="5"/>
  <c r="C1328" i="5"/>
  <c r="C1112" i="5"/>
  <c r="C648" i="5"/>
  <c r="C1545" i="5"/>
  <c r="C2654" i="5"/>
  <c r="C2527" i="5"/>
  <c r="C1497" i="5"/>
  <c r="C160" i="5"/>
  <c r="C1845" i="5"/>
  <c r="C2331" i="5"/>
  <c r="C2642" i="5"/>
  <c r="C1916" i="5"/>
  <c r="C1052" i="5"/>
  <c r="C876" i="5"/>
  <c r="C2833" i="5"/>
  <c r="C761" i="5"/>
  <c r="C44" i="5"/>
  <c r="C1366" i="5"/>
  <c r="C2768" i="5"/>
  <c r="C2282" i="5"/>
  <c r="C1247" i="5"/>
  <c r="C2615" i="5"/>
  <c r="C1533" i="5"/>
  <c r="C1898" i="5"/>
  <c r="C961" i="5"/>
  <c r="C1572" i="5"/>
  <c r="C324" i="5"/>
  <c r="C2877" i="5"/>
  <c r="C1099" i="5"/>
  <c r="C302" i="5"/>
  <c r="C273" i="5"/>
  <c r="C2683" i="5"/>
  <c r="C458" i="5"/>
  <c r="C2279" i="5"/>
  <c r="C1869" i="5"/>
  <c r="C1953" i="5"/>
  <c r="C1990" i="5"/>
  <c r="C2302" i="5"/>
  <c r="C632" i="5"/>
  <c r="C1740" i="5"/>
  <c r="C2345" i="5"/>
  <c r="C853" i="5"/>
  <c r="C2213" i="5"/>
  <c r="C1404" i="5"/>
  <c r="C2046" i="5"/>
  <c r="C2193" i="5"/>
  <c r="C2418" i="5"/>
  <c r="C2696" i="5"/>
  <c r="C2626" i="5"/>
  <c r="C1804" i="5"/>
  <c r="C1301" i="5"/>
  <c r="C2566" i="5"/>
  <c r="C2667" i="5"/>
  <c r="C2205" i="5"/>
  <c r="C942" i="5"/>
  <c r="C2805" i="5"/>
  <c r="C2299" i="5"/>
  <c r="C1730" i="5"/>
  <c r="C1228" i="5"/>
  <c r="C2246" i="5"/>
  <c r="C2477" i="5"/>
  <c r="C1768" i="5"/>
  <c r="C2538" i="5"/>
  <c r="C2716" i="5"/>
  <c r="C2139" i="5"/>
  <c r="C2731" i="5"/>
  <c r="C1808" i="5"/>
  <c r="C784" i="5"/>
  <c r="C113" i="5"/>
  <c r="C645" i="5"/>
  <c r="C2745" i="5"/>
  <c r="C2643" i="5"/>
  <c r="C766" i="5"/>
  <c r="C2561" i="5"/>
  <c r="C326" i="5"/>
  <c r="C2690" i="5"/>
  <c r="C2368" i="5"/>
  <c r="C1831" i="5"/>
  <c r="C756" i="5"/>
  <c r="C461" i="5"/>
  <c r="C1797" i="5"/>
  <c r="C2732" i="5"/>
  <c r="C2717" i="5"/>
  <c r="C1991" i="5"/>
  <c r="C2841" i="5"/>
  <c r="C2044" i="5"/>
  <c r="C2019" i="5"/>
  <c r="C1091" i="5"/>
  <c r="C1162" i="5"/>
  <c r="C2134" i="5"/>
  <c r="C2839" i="5"/>
  <c r="C2427" i="5"/>
  <c r="C2726" i="5"/>
  <c r="C222" i="5"/>
  <c r="C451" i="5"/>
  <c r="C1999" i="5"/>
  <c r="C2184" i="5"/>
  <c r="C2776" i="5"/>
  <c r="C2369" i="5"/>
  <c r="C1608" i="5"/>
  <c r="C2353" i="5"/>
  <c r="C491" i="5"/>
  <c r="C520" i="5"/>
  <c r="C570" i="5"/>
  <c r="C2433" i="5"/>
  <c r="C2434" i="5"/>
  <c r="C2702" i="5"/>
  <c r="C2361" i="5"/>
  <c r="C2362" i="5"/>
  <c r="C2848" i="5"/>
  <c r="C1389" i="5"/>
  <c r="C360" i="5"/>
  <c r="C1526" i="5"/>
  <c r="C2668" i="5"/>
  <c r="C2738" i="5"/>
  <c r="C438" i="5"/>
  <c r="C2557" i="5"/>
  <c r="C1144" i="5"/>
  <c r="C1036" i="5"/>
  <c r="C2278" i="5"/>
  <c r="C1661" i="5"/>
  <c r="C2340" i="5"/>
  <c r="C2197" i="5"/>
  <c r="C2122" i="5"/>
  <c r="C2808" i="5"/>
  <c r="C1358" i="5"/>
  <c r="C1970" i="5"/>
  <c r="C1971" i="5"/>
  <c r="C2460" i="5"/>
  <c r="C1806" i="5"/>
  <c r="C1716" i="5"/>
  <c r="C2551" i="5"/>
  <c r="C1611" i="5"/>
  <c r="C2502" i="5"/>
  <c r="C2297" i="5"/>
  <c r="C1008" i="5"/>
  <c r="C503" i="5"/>
  <c r="C1441" i="5"/>
  <c r="C1161" i="5"/>
  <c r="C2876" i="5"/>
  <c r="C1814" i="5"/>
  <c r="C2531" i="5"/>
  <c r="C1693" i="5"/>
  <c r="C1519" i="5"/>
  <c r="C1522" i="5"/>
  <c r="C1097" i="5"/>
  <c r="C1877" i="5"/>
  <c r="C576" i="5"/>
  <c r="C1714" i="5"/>
  <c r="C1163" i="5"/>
  <c r="C1248" i="5"/>
  <c r="C2500" i="5"/>
  <c r="C2782" i="5"/>
  <c r="C584" i="5"/>
  <c r="C2015" i="5"/>
  <c r="C1296" i="5"/>
  <c r="C597" i="5"/>
  <c r="C2587" i="5"/>
  <c r="C2336" i="5"/>
  <c r="C6" i="5"/>
  <c r="C2478" i="5"/>
  <c r="C2886" i="5"/>
  <c r="C1864" i="5"/>
  <c r="C2131" i="5"/>
  <c r="C2187" i="5"/>
  <c r="C2182" i="5"/>
  <c r="C2901" i="5"/>
  <c r="C1495" i="5"/>
  <c r="C1343" i="5"/>
  <c r="C1464" i="5"/>
  <c r="C814" i="5"/>
  <c r="C2395" i="5"/>
  <c r="C1866" i="5"/>
  <c r="C1436" i="5"/>
  <c r="C788" i="5"/>
  <c r="C2375" i="5"/>
  <c r="C898" i="5"/>
  <c r="C2376" i="5"/>
  <c r="C2047" i="5"/>
  <c r="C2741" i="5"/>
  <c r="C2630" i="5"/>
  <c r="C1340" i="5"/>
  <c r="C2480" i="5"/>
  <c r="C1713" i="5"/>
  <c r="C797" i="5"/>
  <c r="C2501" i="5"/>
  <c r="C1891" i="5"/>
  <c r="C2583" i="5"/>
  <c r="C119" i="5"/>
  <c r="C2854" i="5"/>
  <c r="C178" i="5"/>
  <c r="C2116" i="5"/>
  <c r="C519" i="5"/>
  <c r="C2223" i="5"/>
  <c r="C2470" i="5"/>
  <c r="C1742" i="5"/>
  <c r="C2453" i="5"/>
  <c r="C353" i="5"/>
  <c r="C2352" i="5"/>
  <c r="C2859" i="5"/>
  <c r="C2829" i="5"/>
  <c r="C2562" i="5"/>
  <c r="C1423" i="5"/>
  <c r="C2332" i="5"/>
  <c r="C328" i="5"/>
  <c r="C574" i="5"/>
  <c r="C782" i="5"/>
  <c r="C764" i="5"/>
  <c r="C2893" i="5"/>
  <c r="C2564" i="5"/>
  <c r="C740" i="5"/>
  <c r="C1823" i="5"/>
  <c r="C2384" i="5"/>
  <c r="C1790" i="5"/>
  <c r="C2059" i="5"/>
  <c r="C857" i="5"/>
  <c r="C2632" i="5"/>
  <c r="C686" i="5"/>
  <c r="C2824" i="5"/>
  <c r="C676" i="5"/>
  <c r="C2579" i="5"/>
  <c r="C2607" i="5"/>
  <c r="C2761" i="5"/>
  <c r="C1471" i="5"/>
  <c r="C2553" i="5"/>
  <c r="C948" i="5"/>
  <c r="C1125" i="5"/>
  <c r="C2298" i="5"/>
  <c r="C1610" i="5"/>
  <c r="C2088" i="5"/>
  <c r="C1196" i="5"/>
  <c r="C2842" i="5"/>
  <c r="C2785" i="5"/>
  <c r="C1676" i="5"/>
  <c r="C579" i="5"/>
  <c r="C1325" i="5"/>
  <c r="C2652" i="5"/>
  <c r="C1796" i="5"/>
  <c r="C1020" i="5"/>
  <c r="C2374" i="5"/>
  <c r="C925" i="5"/>
  <c r="C1657" i="5"/>
  <c r="C1863" i="5"/>
  <c r="C2366" i="5"/>
  <c r="C2157" i="5"/>
  <c r="C1787" i="5"/>
  <c r="C2020" i="5"/>
  <c r="C2837" i="5"/>
  <c r="C2233" i="5"/>
  <c r="C1706" i="5"/>
  <c r="C1367" i="5"/>
  <c r="C2267" i="5"/>
  <c r="C2851" i="5"/>
  <c r="C1324" i="5"/>
  <c r="C2574" i="5"/>
  <c r="C1892" i="5"/>
  <c r="C483" i="5"/>
  <c r="C2188" i="5"/>
  <c r="C2290" i="5"/>
  <c r="C613" i="5"/>
  <c r="C1946" i="5"/>
  <c r="C1726" i="5"/>
  <c r="C1947" i="5"/>
  <c r="C1199" i="5"/>
  <c r="C2885" i="5"/>
  <c r="C1929" i="5"/>
  <c r="C2541" i="5"/>
  <c r="C1244" i="5"/>
  <c r="C1384" i="5"/>
  <c r="C2832" i="5"/>
  <c r="C2576" i="5"/>
  <c r="C236" i="5"/>
  <c r="C2744" i="5"/>
  <c r="C957" i="5"/>
  <c r="C2735" i="5"/>
  <c r="C107" i="5"/>
  <c r="C2767" i="5"/>
  <c r="C59" i="5"/>
  <c r="C2101" i="5"/>
  <c r="C1425" i="5"/>
  <c r="C245" i="5"/>
  <c r="C2798" i="5"/>
  <c r="C2678" i="5"/>
  <c r="C2700" i="5"/>
  <c r="C1269" i="5"/>
  <c r="C1588" i="5"/>
  <c r="C1098" i="5"/>
  <c r="C2544" i="5"/>
  <c r="C1720" i="5"/>
  <c r="C2161" i="5"/>
  <c r="C466" i="5"/>
  <c r="C1817" i="5"/>
  <c r="C2572" i="5"/>
  <c r="C1913" i="5"/>
  <c r="C965" i="5"/>
  <c r="C888" i="5"/>
  <c r="C1589" i="5"/>
  <c r="C2532" i="5"/>
  <c r="C973" i="5"/>
  <c r="C806" i="5"/>
  <c r="C2312" i="5"/>
  <c r="C2666" i="5"/>
  <c r="C2105" i="5"/>
  <c r="C1600" i="5"/>
  <c r="C2412" i="5"/>
  <c r="C2341" i="5"/>
  <c r="C2097" i="5"/>
  <c r="C1139" i="5"/>
  <c r="C1013" i="5"/>
  <c r="C729" i="5"/>
  <c r="C1472" i="5"/>
  <c r="C1195" i="5"/>
  <c r="C2349" i="5"/>
  <c r="C1756" i="5"/>
  <c r="C1551" i="5"/>
  <c r="C559" i="5"/>
  <c r="C1995" i="5"/>
  <c r="C1171" i="5"/>
  <c r="C2419" i="5"/>
  <c r="C2133" i="5"/>
  <c r="C1680" i="5"/>
  <c r="C580" i="5"/>
  <c r="C2671" i="5"/>
  <c r="C2740" i="5"/>
  <c r="C2450" i="5"/>
  <c r="C1155" i="5"/>
  <c r="C1218" i="5"/>
  <c r="C2526" i="5"/>
  <c r="C2228" i="5"/>
  <c r="C1006" i="5"/>
  <c r="C2215" i="5"/>
  <c r="C2053" i="5"/>
  <c r="C2756" i="5"/>
  <c r="C2577" i="5"/>
  <c r="C1975" i="5"/>
  <c r="C2828" i="5"/>
  <c r="C2310" i="5"/>
  <c r="C2676" i="5"/>
  <c r="C2629" i="5"/>
  <c r="C2790" i="5"/>
  <c r="C2547" i="5"/>
  <c r="C1805" i="5"/>
  <c r="C8" i="5"/>
  <c r="C2870" i="5"/>
  <c r="C2916" i="5"/>
  <c r="C2148" i="5"/>
  <c r="C1827" i="5"/>
  <c r="C1203" i="5"/>
  <c r="C1951" i="5"/>
  <c r="C1992" i="5"/>
  <c r="C1207" i="5"/>
  <c r="C2811" i="5"/>
  <c r="C2806" i="5"/>
  <c r="C1702" i="5"/>
  <c r="C2533" i="5"/>
  <c r="C1315" i="5"/>
  <c r="C2123" i="5"/>
  <c r="C1561" i="5"/>
  <c r="C1851" i="5"/>
  <c r="C2174" i="5"/>
  <c r="C1482" i="5"/>
  <c r="C2259" i="5"/>
  <c r="C2241" i="5"/>
  <c r="C1336" i="5"/>
  <c r="C134" i="5"/>
  <c r="C704" i="5"/>
  <c r="C685" i="5"/>
  <c r="C2899" i="5"/>
  <c r="C1422" i="5"/>
  <c r="C2809" i="5"/>
  <c r="C2598" i="5"/>
  <c r="C1450" i="5"/>
  <c r="C2520" i="5"/>
  <c r="C2150" i="5"/>
  <c r="C232" i="5"/>
  <c r="C2887" i="5"/>
  <c r="C1653" i="5"/>
  <c r="C1615" i="5"/>
  <c r="C2689" i="5"/>
  <c r="C400" i="5"/>
  <c r="C2292" i="5"/>
  <c r="C1596" i="5"/>
  <c r="C1939" i="5"/>
  <c r="C2633" i="5"/>
  <c r="C2328" i="5"/>
  <c r="C2383" i="5"/>
  <c r="C994" i="5"/>
  <c r="C2758" i="5"/>
  <c r="C1617" i="5"/>
  <c r="C2884" i="5"/>
  <c r="C1767" i="5"/>
  <c r="C2204" i="5"/>
  <c r="C2860" i="5"/>
  <c r="C984" i="5"/>
  <c r="C2296" i="5"/>
  <c r="C2342" i="5"/>
  <c r="C1061" i="5"/>
  <c r="C352" i="5"/>
  <c r="C1918" i="5"/>
  <c r="C1794" i="5"/>
  <c r="C419" i="5"/>
  <c r="C1807" i="5"/>
  <c r="C1567" i="5"/>
  <c r="C2609" i="5"/>
  <c r="C1520" i="5"/>
  <c r="C1591" i="5"/>
  <c r="C186" i="5"/>
  <c r="C1414" i="5"/>
  <c r="C583" i="5"/>
  <c r="C2189" i="5"/>
  <c r="C1962" i="5"/>
  <c r="C2774" i="5"/>
  <c r="C2653" i="5"/>
  <c r="C1705" i="5"/>
  <c r="C1236" i="5"/>
  <c r="C58" i="5"/>
  <c r="C2563" i="5"/>
  <c r="C1166" i="5"/>
  <c r="C2232" i="5"/>
  <c r="C1277" i="5"/>
  <c r="C1701" i="5"/>
  <c r="C2481" i="5"/>
  <c r="C2545" i="5"/>
  <c r="C1944" i="5"/>
  <c r="C2168" i="5"/>
  <c r="C2005" i="5"/>
  <c r="C899" i="5"/>
  <c r="C2528" i="5"/>
  <c r="C1955" i="5"/>
  <c r="C283" i="5"/>
  <c r="C1323" i="5"/>
  <c r="C2142" i="5"/>
  <c r="C2422" i="5"/>
  <c r="C1516" i="5"/>
  <c r="C314" i="5"/>
  <c r="C2540" i="5"/>
  <c r="C1016" i="5"/>
  <c r="C2300" i="5"/>
  <c r="C1628" i="5"/>
  <c r="C2143" i="5"/>
  <c r="C1217" i="5"/>
  <c r="C2791" i="5"/>
  <c r="C1222" i="5"/>
  <c r="C2603" i="5"/>
  <c r="C1538" i="5"/>
  <c r="C2556" i="5"/>
  <c r="C2742" i="5"/>
  <c r="C1685" i="5"/>
  <c r="C2672" i="5"/>
  <c r="C2319" i="5"/>
  <c r="C1644" i="5"/>
  <c r="C2325" i="5"/>
  <c r="C1684" i="5"/>
  <c r="C1781" i="5"/>
  <c r="C1399" i="5"/>
  <c r="C2662" i="5"/>
  <c r="C2217" i="5"/>
  <c r="C1945" i="5"/>
  <c r="C1672" i="5"/>
  <c r="C836" i="5"/>
  <c r="C2289" i="5"/>
  <c r="C1415" i="5"/>
  <c r="C1405" i="5"/>
  <c r="C2658" i="5"/>
  <c r="C1689" i="5"/>
  <c r="C2201" i="5"/>
  <c r="C1772" i="5"/>
  <c r="C1936" i="5"/>
  <c r="C585" i="5"/>
  <c r="C664" i="5"/>
  <c r="C2863" i="5"/>
  <c r="C258" i="5"/>
  <c r="C706" i="5"/>
  <c r="C3" i="5"/>
  <c r="C2669" i="5"/>
  <c r="C895" i="5"/>
  <c r="C702" i="5"/>
  <c r="C2514" i="5"/>
  <c r="C1227" i="5"/>
  <c r="C2308" i="5"/>
  <c r="C2692" i="5"/>
  <c r="C1252" i="5"/>
  <c r="C1594" i="5"/>
  <c r="C2804" i="5"/>
  <c r="C1066" i="5"/>
  <c r="C1372" i="5"/>
  <c r="C2670" i="5"/>
  <c r="C329" i="5"/>
  <c r="C2195" i="5"/>
  <c r="C1855" i="5"/>
  <c r="C1976" i="5"/>
  <c r="C2420" i="5"/>
  <c r="C2792" i="5"/>
  <c r="C2038" i="5"/>
  <c r="C2037" i="5"/>
  <c r="C2467" i="5"/>
  <c r="C2394" i="5"/>
  <c r="C1779" i="5"/>
  <c r="C582" i="5"/>
  <c r="C1219" i="5"/>
  <c r="C1215" i="5"/>
  <c r="C2730" i="5"/>
  <c r="C1156" i="5"/>
  <c r="C2230" i="5"/>
  <c r="C1476" i="5"/>
  <c r="C2186" i="5"/>
  <c r="C2066" i="5"/>
  <c r="C158" i="5"/>
  <c r="C287" i="5"/>
  <c r="C96" i="5"/>
  <c r="C902" i="5"/>
  <c r="C1696" i="5"/>
  <c r="C1579" i="5"/>
  <c r="C2343" i="5"/>
  <c r="C2503" i="5"/>
  <c r="C1327" i="5"/>
  <c r="C2679" i="5"/>
  <c r="C2644" i="5"/>
  <c r="C2318" i="5"/>
  <c r="C151" i="5"/>
  <c r="C1834" i="5"/>
  <c r="C2628" i="5"/>
  <c r="C2238" i="5"/>
  <c r="C1550" i="5"/>
  <c r="C1511" i="5"/>
  <c r="C2513" i="5"/>
  <c r="C2111" i="5"/>
  <c r="C2320" i="5"/>
  <c r="C2211" i="5"/>
  <c r="C1001" i="5"/>
  <c r="C586" i="5"/>
  <c r="C1509" i="5"/>
  <c r="C981" i="5"/>
</calcChain>
</file>

<file path=xl/sharedStrings.xml><?xml version="1.0" encoding="utf-8"?>
<sst xmlns="http://schemas.openxmlformats.org/spreadsheetml/2006/main" count="17382" uniqueCount="8140">
  <si>
    <t>Mon Pd End Date:</t>
  </si>
  <si>
    <t>TX0114880_001</t>
  </si>
  <si>
    <t>TX0024511_001</t>
  </si>
  <si>
    <t>TX0025615_001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</si>
  <si>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</si>
  <si>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</si>
  <si>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</si>
  <si>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</si>
  <si>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</si>
  <si>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</si>
  <si>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</si>
  <si>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</si>
  <si>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TX0075388_001</t>
  </si>
  <si>
    <t>TX0079235_001</t>
  </si>
  <si>
    <t>TX0089010_001</t>
  </si>
  <si>
    <t>TX0089028_001</t>
  </si>
  <si>
    <t>TX0089036_001</t>
  </si>
  <si>
    <t>TX0089044_001</t>
  </si>
  <si>
    <t>TX0091421_001</t>
  </si>
  <si>
    <t>TX0092789_001</t>
  </si>
  <si>
    <t>TX0115169_001</t>
  </si>
  <si>
    <t>TX0135917_001</t>
  </si>
  <si>
    <t>TX0135917_002</t>
  </si>
  <si>
    <t>TX0135917_003</t>
  </si>
  <si>
    <t>TX0027634_001</t>
  </si>
  <si>
    <t>TX0053945_001</t>
  </si>
  <si>
    <t>TX0077470_001</t>
  </si>
  <si>
    <t>TX0098949_001</t>
  </si>
  <si>
    <t>TX0024155_001</t>
  </si>
  <si>
    <t>TX0034461_001</t>
  </si>
  <si>
    <t>TX0070297_001</t>
  </si>
  <si>
    <t>TX0091561_001</t>
  </si>
  <si>
    <t>TX0122483_001</t>
  </si>
  <si>
    <t>TX0025852_001</t>
  </si>
  <si>
    <t>TX0033910_001</t>
  </si>
  <si>
    <t>TX0086363_002</t>
  </si>
  <si>
    <t>TX0086363_001</t>
  </si>
  <si>
    <t>TX0099813_001</t>
  </si>
  <si>
    <t>TX0020621_001</t>
  </si>
  <si>
    <t>TX0025054_001</t>
  </si>
  <si>
    <t>TX0025968_001</t>
  </si>
  <si>
    <t>TX0032549_001</t>
  </si>
  <si>
    <t>TX0032581_001</t>
  </si>
  <si>
    <t>TX0062961_001</t>
  </si>
  <si>
    <t>TX0068276_001</t>
  </si>
  <si>
    <t>TX0068713_001</t>
  </si>
  <si>
    <t>TX0082856_001</t>
  </si>
  <si>
    <t>TX0084018_001</t>
  </si>
  <si>
    <t>TX0108499_001</t>
  </si>
  <si>
    <t>TX0124125_001</t>
  </si>
  <si>
    <t>TX0125946_001</t>
  </si>
  <si>
    <t>TX0132993_001</t>
  </si>
  <si>
    <t>TX0026522_001</t>
  </si>
  <si>
    <t>TX0002313_006</t>
  </si>
  <si>
    <t>TX0002313_004</t>
  </si>
  <si>
    <t>TX0002313_005</t>
  </si>
  <si>
    <t>TX0002470_001</t>
  </si>
  <si>
    <t>TX0020249_001</t>
  </si>
  <si>
    <t>TX0020257_001</t>
  </si>
  <si>
    <t>TX0024473_001</t>
  </si>
  <si>
    <t>TX0024597_001</t>
  </si>
  <si>
    <t>TX0027006_001</t>
  </si>
  <si>
    <t>TX0027103_001</t>
  </si>
  <si>
    <t>TX0046612_001</t>
  </si>
  <si>
    <t>TX0047651_001</t>
  </si>
  <si>
    <t>TX0058378_001</t>
  </si>
  <si>
    <t>TX0069191_001</t>
  </si>
  <si>
    <t>TX0101869_001</t>
  </si>
  <si>
    <t>TX0125377_001</t>
  </si>
  <si>
    <t>TX0125610_001</t>
  </si>
  <si>
    <t>TX0126551_001</t>
  </si>
  <si>
    <t>TX0132446_001</t>
  </si>
  <si>
    <t>TX0133370_005</t>
  </si>
  <si>
    <t>TX0135895_001</t>
  </si>
  <si>
    <t>TX0024848_001</t>
  </si>
  <si>
    <t>TX0033936_001</t>
  </si>
  <si>
    <t>TX0053678_001</t>
  </si>
  <si>
    <t>TX0056618_001</t>
  </si>
  <si>
    <t>TX0057991_001</t>
  </si>
  <si>
    <t>TX0075647_001</t>
  </si>
  <si>
    <t>TX0106224_001</t>
  </si>
  <si>
    <t>TX0116661_001</t>
  </si>
  <si>
    <t>TX0119890_001</t>
  </si>
  <si>
    <t>TX0122360_001</t>
  </si>
  <si>
    <t>TX0128945_001</t>
  </si>
  <si>
    <t>TX0008737_001</t>
  </si>
  <si>
    <t>TX0008737_002</t>
  </si>
  <si>
    <t>TX0008761_001</t>
  </si>
  <si>
    <t>TX0008788_001</t>
  </si>
  <si>
    <t>TX0008788_002</t>
  </si>
  <si>
    <t>TX0008788_003</t>
  </si>
  <si>
    <t>TX0008788_004</t>
  </si>
  <si>
    <t>TX0008788_005</t>
  </si>
  <si>
    <t>TX0008788_006</t>
  </si>
  <si>
    <t>TX0026182_001</t>
  </si>
  <si>
    <t>TX0032425_001</t>
  </si>
  <si>
    <t>TX0033332_001</t>
  </si>
  <si>
    <t>TX0033341_001</t>
  </si>
  <si>
    <t>TX0034738_001</t>
  </si>
  <si>
    <t>TX0034738_002</t>
  </si>
  <si>
    <t>TX0046906_002</t>
  </si>
  <si>
    <t>TX0046906_001</t>
  </si>
  <si>
    <t>TX0053813_008</t>
  </si>
  <si>
    <t>TX0053813_001</t>
  </si>
  <si>
    <t>TX0053813_002</t>
  </si>
  <si>
    <t>TX0053813_003</t>
  </si>
  <si>
    <t>TX0053813_004</t>
  </si>
  <si>
    <t>TX0053813_005</t>
  </si>
  <si>
    <t>TX0053813_006</t>
  </si>
  <si>
    <t>TX0064912_001</t>
  </si>
  <si>
    <t>TX0087254_001</t>
  </si>
  <si>
    <t>TX0095605_001</t>
  </si>
  <si>
    <t>TX0124427_001</t>
  </si>
  <si>
    <t>TX0126322_005</t>
  </si>
  <si>
    <t>TX0022616_001</t>
  </si>
  <si>
    <t>TX0025071_001</t>
  </si>
  <si>
    <t>TX0030953_001</t>
  </si>
  <si>
    <t>TX0033197_001</t>
  </si>
  <si>
    <t>TX0047163_001</t>
  </si>
  <si>
    <t>TX0071145_001</t>
  </si>
  <si>
    <t>TX0073954_001</t>
  </si>
  <si>
    <t>TX0073954_002</t>
  </si>
  <si>
    <t>TX0073954_003</t>
  </si>
  <si>
    <t>TX0076023_001</t>
  </si>
  <si>
    <t>TX0077526_001</t>
  </si>
  <si>
    <t>TX0085456_001</t>
  </si>
  <si>
    <t>TX0090883_001</t>
  </si>
  <si>
    <t>TX0093262_001</t>
  </si>
  <si>
    <t>TX0098663_001</t>
  </si>
  <si>
    <t>TX0108146_001</t>
  </si>
  <si>
    <t>TX0113603_001</t>
  </si>
  <si>
    <t>TX0128554_001</t>
  </si>
  <si>
    <t>TX0134325_001</t>
  </si>
  <si>
    <t>TX0023175_001</t>
  </si>
  <si>
    <t>TX0055492_001</t>
  </si>
  <si>
    <t>TX0056189_001</t>
  </si>
  <si>
    <t>TX0022730_001</t>
  </si>
  <si>
    <t>TX0054844_001</t>
  </si>
  <si>
    <t>TX0117722_001</t>
  </si>
  <si>
    <t>TX0122203_001</t>
  </si>
  <si>
    <t>TX0128813_001</t>
  </si>
  <si>
    <t>TX0024953_001</t>
  </si>
  <si>
    <t>TX0055522_001</t>
  </si>
  <si>
    <t>TX0067873_001</t>
  </si>
  <si>
    <t>TX0069841_001</t>
  </si>
  <si>
    <t>TX0069850_001</t>
  </si>
  <si>
    <t>TX0100854_001</t>
  </si>
  <si>
    <t>TX0111791_001</t>
  </si>
  <si>
    <t>TX0021806_001</t>
  </si>
  <si>
    <t>TX0024007_001</t>
  </si>
  <si>
    <t>TX0053716_001</t>
  </si>
  <si>
    <t>TX0075604_001</t>
  </si>
  <si>
    <t>TX0113883_001</t>
  </si>
  <si>
    <t>TX0118702_001</t>
  </si>
  <si>
    <t>TX0119814_001</t>
  </si>
  <si>
    <t>TX0024228_001</t>
  </si>
  <si>
    <t>TX0024228_002</t>
  </si>
  <si>
    <t>TX0054348_001</t>
  </si>
  <si>
    <t>TX0128996_001</t>
  </si>
  <si>
    <t>TX0132039_001</t>
  </si>
  <si>
    <t>TX0021725_001</t>
  </si>
  <si>
    <t>TX0023981_001</t>
  </si>
  <si>
    <t>TX0053376_001</t>
  </si>
  <si>
    <t>TX0053520_001</t>
  </si>
  <si>
    <t>TX0021458_001</t>
  </si>
  <si>
    <t>TX0024490_001</t>
  </si>
  <si>
    <t>TX0035220_001</t>
  </si>
  <si>
    <t>TX0056421_001</t>
  </si>
  <si>
    <t>TX0058114_001</t>
  </si>
  <si>
    <t>TX0069108_001</t>
  </si>
  <si>
    <t>TX0074233_001</t>
  </si>
  <si>
    <t>TX0076554_001</t>
  </si>
  <si>
    <t>TX0077178_001</t>
  </si>
  <si>
    <t>TX0085782_002</t>
  </si>
  <si>
    <t>TX0089249_001</t>
  </si>
  <si>
    <t>TX0090484_001</t>
  </si>
  <si>
    <t>TX0096709_001</t>
  </si>
  <si>
    <t>TX0096881_001</t>
  </si>
  <si>
    <t>TX0098914_001</t>
  </si>
  <si>
    <t>TX0101052_001</t>
  </si>
  <si>
    <t>TX0101915_001</t>
  </si>
  <si>
    <t>TX0103608_001</t>
  </si>
  <si>
    <t>TX0106046_001</t>
  </si>
  <si>
    <t>TX0111872_001</t>
  </si>
  <si>
    <t>TX0112461_001</t>
  </si>
  <si>
    <t>TX0115177_001</t>
  </si>
  <si>
    <t>TX0116386_001</t>
  </si>
  <si>
    <t>TX0116408_001</t>
  </si>
  <si>
    <t>TX0117358_001</t>
  </si>
  <si>
    <t>TX0118982_001</t>
  </si>
  <si>
    <t>TX0119539_001</t>
  </si>
  <si>
    <t>TX0123137_001</t>
  </si>
  <si>
    <t>TX0123510_001</t>
  </si>
  <si>
    <t>TX0124699_001</t>
  </si>
  <si>
    <t>TX0125512_001</t>
  </si>
  <si>
    <t>TX0125555_001</t>
  </si>
  <si>
    <t>TX0125555_002</t>
  </si>
  <si>
    <t>TX0125555_003</t>
  </si>
  <si>
    <t>TX0126284_001</t>
  </si>
  <si>
    <t>TX0126829_001</t>
  </si>
  <si>
    <t>TX0127183_001</t>
  </si>
  <si>
    <t>TX0127868_001</t>
  </si>
  <si>
    <t>TX0127965_001</t>
  </si>
  <si>
    <t>TX0128791_001</t>
  </si>
  <si>
    <t>TX0129119_001</t>
  </si>
  <si>
    <t>TX0129194_001</t>
  </si>
  <si>
    <t>TX0129216_001</t>
  </si>
  <si>
    <t>TX0129925_001</t>
  </si>
  <si>
    <t>TX0132217_001</t>
  </si>
  <si>
    <t>TX0132225_001</t>
  </si>
  <si>
    <t>TX0135305_001</t>
  </si>
  <si>
    <t>TX0135763_001</t>
  </si>
  <si>
    <t>TX0135879_001</t>
  </si>
  <si>
    <t>TX0136140_001</t>
  </si>
  <si>
    <t>TX0136875_001</t>
  </si>
  <si>
    <t>TX0137600_001</t>
  </si>
  <si>
    <t>TX0137707_001</t>
  </si>
  <si>
    <t>TX0071790_001</t>
  </si>
  <si>
    <t>TX0074438_001</t>
  </si>
  <si>
    <t>TX0074438_004</t>
  </si>
  <si>
    <t>TX0116378_001</t>
  </si>
  <si>
    <t>TX0118656_001</t>
  </si>
  <si>
    <t>TX0119083_001</t>
  </si>
  <si>
    <t>TX0120146_001</t>
  </si>
  <si>
    <t>TX0047571_001</t>
  </si>
  <si>
    <t>TX0132705_001</t>
  </si>
  <si>
    <t>TX0026590_001</t>
  </si>
  <si>
    <t>TX0026867_001</t>
  </si>
  <si>
    <t>TX0128473_001</t>
  </si>
  <si>
    <t>TX0026891_001</t>
  </si>
  <si>
    <t>TX0023108_001</t>
  </si>
  <si>
    <t>TX0023892_001</t>
  </si>
  <si>
    <t>TX0075396_001</t>
  </si>
  <si>
    <t>TX0084395_001</t>
  </si>
  <si>
    <t>TX0106551_001</t>
  </si>
  <si>
    <t>TX0131407_001</t>
  </si>
  <si>
    <t>TX0027685_001</t>
  </si>
  <si>
    <t>TX0102598_001</t>
  </si>
  <si>
    <t>TX0104833_001</t>
  </si>
  <si>
    <t>TX0105155_001</t>
  </si>
  <si>
    <t>TX0105163_001</t>
  </si>
  <si>
    <t>TX0105210_001</t>
  </si>
  <si>
    <t>TX0111333_001</t>
  </si>
  <si>
    <t>TX0123820_001</t>
  </si>
  <si>
    <t>TX0127426_001</t>
  </si>
  <si>
    <t>TX0129640_001</t>
  </si>
  <si>
    <t>TX0134953_001</t>
  </si>
  <si>
    <t>TX0133809_001</t>
  </si>
  <si>
    <t>TX0047155_001</t>
  </si>
  <si>
    <t>TX0104558_001</t>
  </si>
  <si>
    <t>TX0135411_001</t>
  </si>
  <si>
    <t>TX0023159_001</t>
  </si>
  <si>
    <t>TX0023973_001</t>
  </si>
  <si>
    <t>TX0023973_002</t>
  </si>
  <si>
    <t>TX0023973_003</t>
  </si>
  <si>
    <t>TX0025411_001</t>
  </si>
  <si>
    <t>TX0035505_001</t>
  </si>
  <si>
    <t>TX0022454_001</t>
  </si>
  <si>
    <t>TX0020516_001</t>
  </si>
  <si>
    <t>TX0020524_001</t>
  </si>
  <si>
    <t>TX0054429_001</t>
  </si>
  <si>
    <t>TX0077429_001</t>
  </si>
  <si>
    <t>TX0132659_001</t>
  </si>
  <si>
    <t>TX0086541_001</t>
  </si>
  <si>
    <t>TX0086541_003</t>
  </si>
  <si>
    <t>TX0086541_004</t>
  </si>
  <si>
    <t>TX0117579_001</t>
  </si>
  <si>
    <t>TX0001368_004</t>
  </si>
  <si>
    <t>TX0030775_001</t>
  </si>
  <si>
    <t>TX0052990_001</t>
  </si>
  <si>
    <t>TX0054445_001</t>
  </si>
  <si>
    <t>TX0075639_001</t>
  </si>
  <si>
    <t>TX0091758_001</t>
  </si>
  <si>
    <t>TX0105015_001</t>
  </si>
  <si>
    <t>TX0117587_001</t>
  </si>
  <si>
    <t>TX0075809_001</t>
  </si>
  <si>
    <t>TX0106071_001</t>
  </si>
  <si>
    <t>TX0106071_002</t>
  </si>
  <si>
    <t>TX0106071_003</t>
  </si>
  <si>
    <t>TX0106071_004</t>
  </si>
  <si>
    <t>TX0106071_005</t>
  </si>
  <si>
    <t>TX0106071_006</t>
  </si>
  <si>
    <t>TX0106071_007</t>
  </si>
  <si>
    <t>TX0125679_001</t>
  </si>
  <si>
    <t>TX0135054_001</t>
  </si>
  <si>
    <t>TX0020451_001</t>
  </si>
  <si>
    <t>TX0023914_001</t>
  </si>
  <si>
    <t>TX0024066_001</t>
  </si>
  <si>
    <t>TX0026051_001</t>
  </si>
  <si>
    <t>TX0026506_001</t>
  </si>
  <si>
    <t>TX0053465_001</t>
  </si>
  <si>
    <t>TX0054666_001</t>
  </si>
  <si>
    <t>TX0117935_001</t>
  </si>
  <si>
    <t>TX0126217_001</t>
  </si>
  <si>
    <t>TX0127256_001</t>
  </si>
  <si>
    <t>TX0128511_001</t>
  </si>
  <si>
    <t>TX0129437_001</t>
  </si>
  <si>
    <t>TX0137740_001</t>
  </si>
  <si>
    <t>TX0000876_001</t>
  </si>
  <si>
    <t>TX0000876_005</t>
  </si>
  <si>
    <t>TX0000876_007</t>
  </si>
  <si>
    <t>TX0027197_001</t>
  </si>
  <si>
    <t>TX0032379_001</t>
  </si>
  <si>
    <t>TX0053651_001</t>
  </si>
  <si>
    <t>TX0073008_001</t>
  </si>
  <si>
    <t>TX0119351_001</t>
  </si>
  <si>
    <t>TX0126497_001</t>
  </si>
  <si>
    <t>TX0126730_001</t>
  </si>
  <si>
    <t>TX0132012_001</t>
  </si>
  <si>
    <t>TX0118346_001</t>
  </si>
  <si>
    <t>TX0062197_001</t>
  </si>
  <si>
    <t>TX0062197_002</t>
  </si>
  <si>
    <t>TX0062197_003</t>
  </si>
  <si>
    <t>TX0099015_001</t>
  </si>
  <si>
    <t>TX0101664_001</t>
  </si>
  <si>
    <t>TX0104752_001</t>
  </si>
  <si>
    <t>TX0113913_001</t>
  </si>
  <si>
    <t>TX0121797_001</t>
  </si>
  <si>
    <t>TX0122297_001</t>
  </si>
  <si>
    <t>TX0125270_001</t>
  </si>
  <si>
    <t>TX0129241_001</t>
  </si>
  <si>
    <t>TX0129411_001</t>
  </si>
  <si>
    <t>TX0129411_002</t>
  </si>
  <si>
    <t>TX0129411_003</t>
  </si>
  <si>
    <t>TX0129411_004</t>
  </si>
  <si>
    <t>TX0129411_005</t>
  </si>
  <si>
    <t>TX0129411_006</t>
  </si>
  <si>
    <t>TX0129411_007</t>
  </si>
  <si>
    <t>TX0129411_008</t>
  </si>
  <si>
    <t>TX0023779_001</t>
  </si>
  <si>
    <t>TX0047414_001</t>
  </si>
  <si>
    <t>TX0107981_001</t>
  </si>
  <si>
    <t>TX0113484_001</t>
  </si>
  <si>
    <t>TX0122271_001</t>
  </si>
  <si>
    <t>TX0131504_001</t>
  </si>
  <si>
    <t>TX0021318_001</t>
  </si>
  <si>
    <t>TX0023442_001</t>
  </si>
  <si>
    <t>TX0025879_001</t>
  </si>
  <si>
    <t>TX0054020_001</t>
  </si>
  <si>
    <t>TX0068021_001</t>
  </si>
  <si>
    <t>TX0101168_001</t>
  </si>
  <si>
    <t>TX0101168_002</t>
  </si>
  <si>
    <t>TX0101168_003</t>
  </si>
  <si>
    <t>TX0101567_001</t>
  </si>
  <si>
    <t>TX0101567_011</t>
  </si>
  <si>
    <t>TX0101567_012</t>
  </si>
  <si>
    <t>TX0101567_016</t>
  </si>
  <si>
    <t>TX0101567_017</t>
  </si>
  <si>
    <t>TX0101567_018</t>
  </si>
  <si>
    <t>TX0101567_019</t>
  </si>
  <si>
    <t>TX0101567_020</t>
  </si>
  <si>
    <t>TX0135615_001</t>
  </si>
  <si>
    <t>TX0002011_001</t>
  </si>
  <si>
    <t>TX0001830_002</t>
  </si>
  <si>
    <t>TX0033316_001</t>
  </si>
  <si>
    <t>TX0065854_001</t>
  </si>
  <si>
    <t>TX0065854_003</t>
  </si>
  <si>
    <t>TX0065854_004</t>
  </si>
  <si>
    <t>TX0066702_001</t>
  </si>
  <si>
    <t>TX0131911_001</t>
  </si>
  <si>
    <t>TX0135373_001</t>
  </si>
  <si>
    <t>TX0023213_001</t>
  </si>
  <si>
    <t>TX0111341_001</t>
  </si>
  <si>
    <t>TX0024856_001</t>
  </si>
  <si>
    <t>TX0023809_002</t>
  </si>
  <si>
    <t>TX0025046_001</t>
  </si>
  <si>
    <t>TX0104299_001</t>
  </si>
  <si>
    <t>TX0111201_001</t>
  </si>
  <si>
    <t>TX0117366_001</t>
  </si>
  <si>
    <t>TX0127884_001</t>
  </si>
  <si>
    <t>TX0132454_001</t>
  </si>
  <si>
    <t>TX0025470_001</t>
  </si>
  <si>
    <t>TX0083089_001</t>
  </si>
  <si>
    <t>TX0114413_001</t>
  </si>
  <si>
    <t>TX0020443_001</t>
  </si>
  <si>
    <t>TX0022667_001</t>
  </si>
  <si>
    <t>TX0025577_001</t>
  </si>
  <si>
    <t>TX0071030_001</t>
  </si>
  <si>
    <t>TX0075167_001</t>
  </si>
  <si>
    <t>TX0078247_001</t>
  </si>
  <si>
    <t>TX0085740_001</t>
  </si>
  <si>
    <t>TX0092151_001</t>
  </si>
  <si>
    <t>TX0101281_001</t>
  </si>
  <si>
    <t>TX0101940_001</t>
  </si>
  <si>
    <t>TX0114006_001</t>
  </si>
  <si>
    <t>TX0119172_001</t>
  </si>
  <si>
    <t>TX0119172_003</t>
  </si>
  <si>
    <t>TX0126195_001</t>
  </si>
  <si>
    <t>TX0127698_001</t>
  </si>
  <si>
    <t>TX0132926_001</t>
  </si>
  <si>
    <t>TX0024261_001</t>
  </si>
  <si>
    <t>TX0024261_003</t>
  </si>
  <si>
    <t>TX0024635_001</t>
  </si>
  <si>
    <t>TX0124796_001</t>
  </si>
  <si>
    <t>TX0027618_001</t>
  </si>
  <si>
    <t>TX0023604_001</t>
  </si>
  <si>
    <t>TX0032328_001</t>
  </si>
  <si>
    <t>TX0057207_001</t>
  </si>
  <si>
    <t>TX0053961_001</t>
  </si>
  <si>
    <t>TX0009148_001</t>
  </si>
  <si>
    <t>TX0009148_002</t>
  </si>
  <si>
    <t>TX0009148_003</t>
  </si>
  <si>
    <t>TX0009148_004</t>
  </si>
  <si>
    <t>TX0047031_001</t>
  </si>
  <si>
    <t>TX0136344_003</t>
  </si>
  <si>
    <t>TX0132608_001</t>
  </si>
  <si>
    <t>TX0135526_001</t>
  </si>
  <si>
    <t>TX0025801_001</t>
  </si>
  <si>
    <t>TX0025810_002</t>
  </si>
  <si>
    <t>TX0123293_001</t>
  </si>
  <si>
    <t>TX0070963_001</t>
  </si>
  <si>
    <t>TX0004715_001</t>
  </si>
  <si>
    <t>TX0004715_003</t>
  </si>
  <si>
    <t>TX0004715_005</t>
  </si>
  <si>
    <t>TX0004715_006</t>
  </si>
  <si>
    <t>TX0004715_007</t>
  </si>
  <si>
    <t>TX0004715_008</t>
  </si>
  <si>
    <t>TX0004715_010</t>
  </si>
  <si>
    <t>TX0004715_011</t>
  </si>
  <si>
    <t>TX0004715_012</t>
  </si>
  <si>
    <t>TX0004715_013</t>
  </si>
  <si>
    <t>TX0004715_014</t>
  </si>
  <si>
    <t>TX0004715_015</t>
  </si>
  <si>
    <t>TX0023167_001</t>
  </si>
  <si>
    <t>TX0085570_001</t>
  </si>
  <si>
    <t>TX0085570_002</t>
  </si>
  <si>
    <t>TX0085570_003</t>
  </si>
  <si>
    <t>TX0085570_004</t>
  </si>
  <si>
    <t>TX0085570_005</t>
  </si>
  <si>
    <t>TX0085570_006</t>
  </si>
  <si>
    <t>TX0085570_007</t>
  </si>
  <si>
    <t>TX0085570_008</t>
  </si>
  <si>
    <t>TX0085570_009</t>
  </si>
  <si>
    <t>TX0085570_010</t>
  </si>
  <si>
    <t>TX0085570_012</t>
  </si>
  <si>
    <t>TX0085570_013</t>
  </si>
  <si>
    <t>TX0092142_001</t>
  </si>
  <si>
    <t>TX0105937_001</t>
  </si>
  <si>
    <t>TX0105937_002</t>
  </si>
  <si>
    <t>TX0137511_001</t>
  </si>
  <si>
    <t>TX0135747_001</t>
  </si>
  <si>
    <t>TX0064998_001</t>
  </si>
  <si>
    <t>TX0105104_001</t>
  </si>
  <si>
    <t>TX0136531_001</t>
  </si>
  <si>
    <t>TX0023051_001</t>
  </si>
  <si>
    <t>TX0091260_001</t>
  </si>
  <si>
    <t>TX0098205_001</t>
  </si>
  <si>
    <t>TX0112691_004</t>
  </si>
  <si>
    <t>TX0112691_001</t>
  </si>
  <si>
    <t>TX0112691_002</t>
  </si>
  <si>
    <t>TX0112691_003</t>
  </si>
  <si>
    <t>TX0134309_001</t>
  </si>
  <si>
    <t>TX0136280_001</t>
  </si>
  <si>
    <t>TX0021474_001</t>
  </si>
  <si>
    <t>TX0022951_001</t>
  </si>
  <si>
    <t>TX0032671_001</t>
  </si>
  <si>
    <t>TX0064378_001</t>
  </si>
  <si>
    <t>TX0064378_002</t>
  </si>
  <si>
    <t>TX0073946_001</t>
  </si>
  <si>
    <t>TX0113786_001</t>
  </si>
  <si>
    <t>TX0119946_001</t>
  </si>
  <si>
    <t>TX0119954_001</t>
  </si>
  <si>
    <t>TX0119962_001</t>
  </si>
  <si>
    <t>TX0124958_001</t>
  </si>
  <si>
    <t>TX0125741_001</t>
  </si>
  <si>
    <t>TX0127132_001</t>
  </si>
  <si>
    <t>TX0127809_001</t>
  </si>
  <si>
    <t>TX0131539_001</t>
  </si>
  <si>
    <t>TX0132764_001</t>
  </si>
  <si>
    <t>TX0052973_001</t>
  </si>
  <si>
    <t>TX0047040_001</t>
  </si>
  <si>
    <t>TX0053511_001</t>
  </si>
  <si>
    <t>TX0127922_001</t>
  </si>
  <si>
    <t>TX0105201_001</t>
  </si>
  <si>
    <t>TX0022942_001</t>
  </si>
  <si>
    <t>TX0021555_001</t>
  </si>
  <si>
    <t>TX0119776_001</t>
  </si>
  <si>
    <t>TX0119776_003</t>
  </si>
  <si>
    <t>TX0133396_001</t>
  </si>
  <si>
    <t>TX0022900_001</t>
  </si>
  <si>
    <t>TX0023329_001</t>
  </si>
  <si>
    <t>TX0025917_001</t>
  </si>
  <si>
    <t>TX0072885_001</t>
  </si>
  <si>
    <t>TX0096768_001</t>
  </si>
  <si>
    <t>TX0116084_001</t>
  </si>
  <si>
    <t>TX0129968_001</t>
  </si>
  <si>
    <t>TX0079804_001</t>
  </si>
  <si>
    <t>TX0129011_001</t>
  </si>
  <si>
    <t>TX0138258_001</t>
  </si>
  <si>
    <t>TX0020923_001</t>
  </si>
  <si>
    <t>TX0055077_001</t>
  </si>
  <si>
    <t>TX0066648_001</t>
  </si>
  <si>
    <t>TX0082457_001</t>
  </si>
  <si>
    <t>TX0125491_001</t>
  </si>
  <si>
    <t>TX0126861_001</t>
  </si>
  <si>
    <t>TX0133337_001</t>
  </si>
  <si>
    <t>TX0112038_001</t>
  </si>
  <si>
    <t>TX0112038_002</t>
  </si>
  <si>
    <t>TX0112038_003</t>
  </si>
  <si>
    <t>TX0123315_001</t>
  </si>
  <si>
    <t>TX0136581_001</t>
  </si>
  <si>
    <t>TX0136590_001</t>
  </si>
  <si>
    <t>TX0136603_001</t>
  </si>
  <si>
    <t>TX0132560_001</t>
  </si>
  <si>
    <t>TX0047023_001</t>
  </si>
  <si>
    <t>TX0104515_001</t>
  </si>
  <si>
    <t>TX0104515_003</t>
  </si>
  <si>
    <t>TX0131857_001</t>
  </si>
  <si>
    <t>TX0001856_001</t>
  </si>
  <si>
    <t>TX0021075_001</t>
  </si>
  <si>
    <t>TX0074888_001</t>
  </si>
  <si>
    <t>TX0115819_001</t>
  </si>
  <si>
    <t>TX0117609_001</t>
  </si>
  <si>
    <t>TX0124389_001</t>
  </si>
  <si>
    <t>TX0124478_001</t>
  </si>
  <si>
    <t>TX0125334_002</t>
  </si>
  <si>
    <t>TX0125521_001</t>
  </si>
  <si>
    <t>TX0057576_001</t>
  </si>
  <si>
    <t>TX0066010_001</t>
  </si>
  <si>
    <t>TX0073121_001</t>
  </si>
  <si>
    <t>TX0073121_003</t>
  </si>
  <si>
    <t>TX0109444_001</t>
  </si>
  <si>
    <t>TX0071111_001</t>
  </si>
  <si>
    <t>TX0006017_001</t>
  </si>
  <si>
    <t>TX0006017_002</t>
  </si>
  <si>
    <t>TX0054038_001</t>
  </si>
  <si>
    <t>TX0105988_001</t>
  </si>
  <si>
    <t>TX0034312_001</t>
  </si>
  <si>
    <t>TX0025712_001</t>
  </si>
  <si>
    <t>TX0125458_001</t>
  </si>
  <si>
    <t>TX0072800_001</t>
  </si>
  <si>
    <t>TX0052841_001</t>
  </si>
  <si>
    <t>TX0119008_001</t>
  </si>
  <si>
    <t>TX0126667_001</t>
  </si>
  <si>
    <t>TX0092274_001</t>
  </si>
  <si>
    <t>TX0047899_001</t>
  </si>
  <si>
    <t>TX0046981_001</t>
  </si>
  <si>
    <t>TX0058441_001</t>
  </si>
  <si>
    <t>TX0058441_002</t>
  </si>
  <si>
    <t>TX0067466_001</t>
  </si>
  <si>
    <t>TX0071889_001</t>
  </si>
  <si>
    <t>TX0074853_001</t>
  </si>
  <si>
    <t>TX0094927_001</t>
  </si>
  <si>
    <t>TX0095184_001</t>
  </si>
  <si>
    <t>TX0097870_001</t>
  </si>
  <si>
    <t>TX0098612_001</t>
  </si>
  <si>
    <t>TX0101702_001</t>
  </si>
  <si>
    <t>TX0117315_001</t>
  </si>
  <si>
    <t>TX0118265_001</t>
  </si>
  <si>
    <t>TX0121762_001</t>
  </si>
  <si>
    <t>TX0124362_001</t>
  </si>
  <si>
    <t>TX0124800_001</t>
  </si>
  <si>
    <t>TX0129950_001</t>
  </si>
  <si>
    <t>TX0131547_001</t>
  </si>
  <si>
    <t>TX0132721_001</t>
  </si>
  <si>
    <t>TX0136701_001</t>
  </si>
  <si>
    <t>TX0021288_001</t>
  </si>
  <si>
    <t>TX0101222_001</t>
  </si>
  <si>
    <t>TX0128341_001</t>
  </si>
  <si>
    <t>TX0025437_001</t>
  </si>
  <si>
    <t>TX0025445_001</t>
  </si>
  <si>
    <t>TX0032344_001</t>
  </si>
  <si>
    <t>TX0052876_001</t>
  </si>
  <si>
    <t>TX0057363_001</t>
  </si>
  <si>
    <t>TX0071803_001</t>
  </si>
  <si>
    <t>TX0105091_001</t>
  </si>
  <si>
    <t>TX0135984_001</t>
  </si>
  <si>
    <t>TX0020036_001</t>
  </si>
  <si>
    <t>TX0068004_001</t>
  </si>
  <si>
    <t>TX0099228_004</t>
  </si>
  <si>
    <t>TX0099228_001</t>
  </si>
  <si>
    <t>TX0099228_002</t>
  </si>
  <si>
    <t>TX0104761_001</t>
  </si>
  <si>
    <t>TX0024902_001</t>
  </si>
  <si>
    <t>TX0062006_001</t>
  </si>
  <si>
    <t>TX0062006_002</t>
  </si>
  <si>
    <t>TX0134490_001</t>
  </si>
  <si>
    <t>TX0000027_001</t>
  </si>
  <si>
    <t>TX0000027_002</t>
  </si>
  <si>
    <t>TX0000027_003</t>
  </si>
  <si>
    <t>TX0000027_004</t>
  </si>
  <si>
    <t>TX0000027_005</t>
  </si>
  <si>
    <t>TX0024457_001</t>
  </si>
  <si>
    <t>TX0027031_001</t>
  </si>
  <si>
    <t>TX0071633_001</t>
  </si>
  <si>
    <t>TX0088081_001</t>
  </si>
  <si>
    <t>TX0000086_001</t>
  </si>
  <si>
    <t>TX0001023_001</t>
  </si>
  <si>
    <t>TX0001031_001</t>
  </si>
  <si>
    <t>TX0001066_001</t>
  </si>
  <si>
    <t>TX0001163_001</t>
  </si>
  <si>
    <t>TX0001163_002</t>
  </si>
  <si>
    <t>TX0054500_001</t>
  </si>
  <si>
    <t>TX0062936_001</t>
  </si>
  <si>
    <t>TX0069710_001</t>
  </si>
  <si>
    <t>TX0079782_001</t>
  </si>
  <si>
    <t>TX0105171_001</t>
  </si>
  <si>
    <t>TX0024236_001</t>
  </si>
  <si>
    <t>TX0025569_001</t>
  </si>
  <si>
    <t>TX0027944_001</t>
  </si>
  <si>
    <t>TX0097233_001</t>
  </si>
  <si>
    <t>TX0118451_001</t>
  </si>
  <si>
    <t>TX0054623_001</t>
  </si>
  <si>
    <t>TX0022764_001</t>
  </si>
  <si>
    <t>TX0022772_001</t>
  </si>
  <si>
    <t>TX0023868_001</t>
  </si>
  <si>
    <t>TX0030970_001</t>
  </si>
  <si>
    <t>TX0113565_001</t>
  </si>
  <si>
    <t>TX0133655_001</t>
  </si>
  <si>
    <t>TX0134481_001</t>
  </si>
  <si>
    <t>TX0067881_001</t>
  </si>
  <si>
    <t>TX0070939_001</t>
  </si>
  <si>
    <t>TX0088170_001</t>
  </si>
  <si>
    <t>TX0133248_001</t>
  </si>
  <si>
    <t>TX0133248_002</t>
  </si>
  <si>
    <t>TX0133914_001</t>
  </si>
  <si>
    <t>TX0135488_001</t>
  </si>
  <si>
    <t>TX0024244_001</t>
  </si>
  <si>
    <t>TX0054631_001</t>
  </si>
  <si>
    <t>TX0023183_001</t>
  </si>
  <si>
    <t>TX0070068_001</t>
  </si>
  <si>
    <t>TX0070068_003</t>
  </si>
  <si>
    <t>TX0027243_001</t>
  </si>
  <si>
    <t>TX0034452_001</t>
  </si>
  <si>
    <t>TX0070785_001</t>
  </si>
  <si>
    <t>TX0126021_001</t>
  </si>
  <si>
    <t>TX0138215_001</t>
  </si>
  <si>
    <t>TX0138231_001</t>
  </si>
  <si>
    <t>TX0022365_001</t>
  </si>
  <si>
    <t>TX0025208_002</t>
  </si>
  <si>
    <t>TX0025224_001</t>
  </si>
  <si>
    <t>TX0103535_001</t>
  </si>
  <si>
    <t>TX0118923_001</t>
  </si>
  <si>
    <t>TX0047945_001</t>
  </si>
  <si>
    <t>TX0117676_001</t>
  </si>
  <si>
    <t>TX0125288_001</t>
  </si>
  <si>
    <t>TX0125288_004</t>
  </si>
  <si>
    <t>TX0137111_001</t>
  </si>
  <si>
    <t>TX0138118_001</t>
  </si>
  <si>
    <t>TX0047333_001</t>
  </si>
  <si>
    <t>TX0003603_002</t>
  </si>
  <si>
    <t>TX0005118_001</t>
  </si>
  <si>
    <t>TX0006050_001</t>
  </si>
  <si>
    <t>TX0006050_003</t>
  </si>
  <si>
    <t>TX0023477_001</t>
  </si>
  <si>
    <t>TX0025186_001</t>
  </si>
  <si>
    <t>TX0132128_001</t>
  </si>
  <si>
    <t>TX0132829_001</t>
  </si>
  <si>
    <t>TX0133981_001</t>
  </si>
  <si>
    <t>TX0002844_003</t>
  </si>
  <si>
    <t>TX0002844_004</t>
  </si>
  <si>
    <t>TX0002844_005</t>
  </si>
  <si>
    <t>TX0002844_006</t>
  </si>
  <si>
    <t>TX0002844_007</t>
  </si>
  <si>
    <t>TX0002844_008</t>
  </si>
  <si>
    <t>TX0002844_009</t>
  </si>
  <si>
    <t>TX0002844_010</t>
  </si>
  <si>
    <t>TX0002844_012</t>
  </si>
  <si>
    <t>TX0002844_014</t>
  </si>
  <si>
    <t>TX0002844_015</t>
  </si>
  <si>
    <t>TX0002844_016</t>
  </si>
  <si>
    <t>TX0002852_006</t>
  </si>
  <si>
    <t>TX0002852_002</t>
  </si>
  <si>
    <t>TX0002852_003</t>
  </si>
  <si>
    <t>TX0026671_001</t>
  </si>
  <si>
    <t>TX0047562_001</t>
  </si>
  <si>
    <t>TX0077577_001</t>
  </si>
  <si>
    <t>TX0090948_001</t>
  </si>
  <si>
    <t>TX0090948_002</t>
  </si>
  <si>
    <t>TX0090948_003</t>
  </si>
  <si>
    <t>TX0104205_001</t>
  </si>
  <si>
    <t>TX0112151_001</t>
  </si>
  <si>
    <t>TX0137651_001</t>
  </si>
  <si>
    <t>TX0024601_001</t>
  </si>
  <si>
    <t>TX0026247_001</t>
  </si>
  <si>
    <t>TX0027391_001</t>
  </si>
  <si>
    <t>TX0046744_001</t>
  </si>
  <si>
    <t>TX0062014_001</t>
  </si>
  <si>
    <t>TX0066656_001</t>
  </si>
  <si>
    <t>TX0067474_001</t>
  </si>
  <si>
    <t>TX0075434_001</t>
  </si>
  <si>
    <t>TX0077291_001</t>
  </si>
  <si>
    <t>TX0077399_001</t>
  </si>
  <si>
    <t>TX0079383_001</t>
  </si>
  <si>
    <t>TX0083950_001</t>
  </si>
  <si>
    <t>TX0083976_001</t>
  </si>
  <si>
    <t>TX0085693_001</t>
  </si>
  <si>
    <t>TX0088862_001</t>
  </si>
  <si>
    <t>TX0089338_001</t>
  </si>
  <si>
    <t>TX0089915_001</t>
  </si>
  <si>
    <t>TX0090697_001</t>
  </si>
  <si>
    <t>TX0093360_001</t>
  </si>
  <si>
    <t>TX0095125_001</t>
  </si>
  <si>
    <t>TX0096679_001</t>
  </si>
  <si>
    <t>TX0098264_001</t>
  </si>
  <si>
    <t>TX0100684_001</t>
  </si>
  <si>
    <t>TX0102920_001</t>
  </si>
  <si>
    <t>TX0103705_001</t>
  </si>
  <si>
    <t>TX0105031_001</t>
  </si>
  <si>
    <t>TX0112747_001</t>
  </si>
  <si>
    <t>TX0117161_001</t>
  </si>
  <si>
    <t>TX0117846_001</t>
  </si>
  <si>
    <t>TX0118028_001</t>
  </si>
  <si>
    <t>TX0119067_001</t>
  </si>
  <si>
    <t>TX0119270_001</t>
  </si>
  <si>
    <t>TX0119504_001</t>
  </si>
  <si>
    <t>TX0119547_001</t>
  </si>
  <si>
    <t>TX0119571_001</t>
  </si>
  <si>
    <t>TX0119687_001</t>
  </si>
  <si>
    <t>TX0120073_001</t>
  </si>
  <si>
    <t>TX0120243_001</t>
  </si>
  <si>
    <t>TX0122246_001</t>
  </si>
  <si>
    <t>TX0122459_001</t>
  </si>
  <si>
    <t>TX0122530_001</t>
  </si>
  <si>
    <t>TX0122661_001</t>
  </si>
  <si>
    <t>TX0123013_001</t>
  </si>
  <si>
    <t>TX0125113_001</t>
  </si>
  <si>
    <t>TX0127353_001</t>
  </si>
  <si>
    <t>TX0129305_001</t>
  </si>
  <si>
    <t>TX0130028_001</t>
  </si>
  <si>
    <t>TX0132632_001</t>
  </si>
  <si>
    <t>TX0138142_001</t>
  </si>
  <si>
    <t>TX0103781_001</t>
  </si>
  <si>
    <t>TX0026034_001</t>
  </si>
  <si>
    <t>TX0024414_001</t>
  </si>
  <si>
    <t>TX0024422_001</t>
  </si>
  <si>
    <t>TX0024252_001</t>
  </si>
  <si>
    <t>TX0026026_001</t>
  </si>
  <si>
    <t>TX0027669_001</t>
  </si>
  <si>
    <t>TX0079006_001</t>
  </si>
  <si>
    <t>TX0108405_001</t>
  </si>
  <si>
    <t>TX0108405_002</t>
  </si>
  <si>
    <t>TX0108405_003</t>
  </si>
  <si>
    <t>TX0025232_001</t>
  </si>
  <si>
    <t>TX0026042_001</t>
  </si>
  <si>
    <t>TX0053287_001</t>
  </si>
  <si>
    <t>TX0027456_001</t>
  </si>
  <si>
    <t>TX0126349_001</t>
  </si>
  <si>
    <t>TX0020460_001</t>
  </si>
  <si>
    <t>TX0033944_001</t>
  </si>
  <si>
    <t>TX0054917_001</t>
  </si>
  <si>
    <t>TX0104621_001</t>
  </si>
  <si>
    <t>TX0104621_003</t>
  </si>
  <si>
    <t>TX0128988_001</t>
  </si>
  <si>
    <t>TX0133523_001</t>
  </si>
  <si>
    <t>TX0125776_001</t>
  </si>
  <si>
    <t>TX0003671_001</t>
  </si>
  <si>
    <t>TX0003671_002</t>
  </si>
  <si>
    <t>TX0003671_003</t>
  </si>
  <si>
    <t>TX0005835_001</t>
  </si>
  <si>
    <t>TX0005835_002</t>
  </si>
  <si>
    <t>TX0005835_003</t>
  </si>
  <si>
    <t>TX0005835_004</t>
  </si>
  <si>
    <t>TX0005835_005</t>
  </si>
  <si>
    <t>TX0005835_011</t>
  </si>
  <si>
    <t>TX0005991_001</t>
  </si>
  <si>
    <t>TX0005991_005</t>
  </si>
  <si>
    <t>TX0007102_005</t>
  </si>
  <si>
    <t>TX0007102_002</t>
  </si>
  <si>
    <t>TX0007102_004</t>
  </si>
  <si>
    <t>TX0008290_001</t>
  </si>
  <si>
    <t>TX0008834_001</t>
  </si>
  <si>
    <t>TX0024201_001</t>
  </si>
  <si>
    <t>TX0026476_001</t>
  </si>
  <si>
    <t>TX0046990_001</t>
  </si>
  <si>
    <t>TX0047511_001</t>
  </si>
  <si>
    <t>TX0047589_001</t>
  </si>
  <si>
    <t>TX0058572_001</t>
  </si>
  <si>
    <t>TX0068781_001</t>
  </si>
  <si>
    <t>TX0071650_001</t>
  </si>
  <si>
    <t>TX0079138_001</t>
  </si>
  <si>
    <t>TX0083828_001</t>
  </si>
  <si>
    <t>TX0105287_002</t>
  </si>
  <si>
    <t>TX0105287_001</t>
  </si>
  <si>
    <t>TX0111589_001</t>
  </si>
  <si>
    <t>TX0116360_001</t>
  </si>
  <si>
    <t>TX0116441_001</t>
  </si>
  <si>
    <t>TX0117960_001</t>
  </si>
  <si>
    <t>TX0126560_001</t>
  </si>
  <si>
    <t>TX0129887_005</t>
  </si>
  <si>
    <t>TX0129887_011</t>
  </si>
  <si>
    <t>TX0133833_001</t>
  </si>
  <si>
    <t>TX0134651_001</t>
  </si>
  <si>
    <t>TX0134651_002</t>
  </si>
  <si>
    <t>TX0136034_001</t>
  </si>
  <si>
    <t>TX0033456_001</t>
  </si>
  <si>
    <t>TX0001201_003</t>
  </si>
  <si>
    <t>TX0001201_004</t>
  </si>
  <si>
    <t>TX0024309_001</t>
  </si>
  <si>
    <t>TX0024872_001</t>
  </si>
  <si>
    <t>TX0053422_001</t>
  </si>
  <si>
    <t>TX0054127_001</t>
  </si>
  <si>
    <t>TX0056154_001</t>
  </si>
  <si>
    <t>TX0068039_001</t>
  </si>
  <si>
    <t>TX0068985_001</t>
  </si>
  <si>
    <t>TX0082261_001</t>
  </si>
  <si>
    <t>TX0118991_001</t>
  </si>
  <si>
    <t>TX0119679_001</t>
  </si>
  <si>
    <t>TX0133329_001</t>
  </si>
  <si>
    <t>TX0135089_001</t>
  </si>
  <si>
    <t>TX0025020_001</t>
  </si>
  <si>
    <t>TX0033529_001</t>
  </si>
  <si>
    <t>TX0054399_001</t>
  </si>
  <si>
    <t>TX0071021_001</t>
  </si>
  <si>
    <t>TX0071188_001</t>
  </si>
  <si>
    <t>TX0100587_001</t>
  </si>
  <si>
    <t>TX0104175_001</t>
  </si>
  <si>
    <t>TX0104175_002</t>
  </si>
  <si>
    <t>TX0104175_005</t>
  </si>
  <si>
    <t>TX0104175_006</t>
  </si>
  <si>
    <t>TX0107875_001</t>
  </si>
  <si>
    <t>TX0112593_001</t>
  </si>
  <si>
    <t>TX0134571_001</t>
  </si>
  <si>
    <t>TX0002941_001</t>
  </si>
  <si>
    <t>TX0003204_001</t>
  </si>
  <si>
    <t>TX0003204_002</t>
  </si>
  <si>
    <t>TX0003204_003</t>
  </si>
  <si>
    <t>TX0003204_004</t>
  </si>
  <si>
    <t>TX0023728_001</t>
  </si>
  <si>
    <t>TX0023736_001</t>
  </si>
  <si>
    <t>TX0023876_001</t>
  </si>
  <si>
    <t>TX0027693_001</t>
  </si>
  <si>
    <t>TX0030813_001</t>
  </si>
  <si>
    <t>TX0092801_001</t>
  </si>
  <si>
    <t>TX0095478_001</t>
  </si>
  <si>
    <t>TX0103641_001</t>
  </si>
  <si>
    <t>TX0033499_001</t>
  </si>
  <si>
    <t>TX0062707_001</t>
  </si>
  <si>
    <t>TX0072087_001</t>
  </si>
  <si>
    <t>TX0138240_001</t>
  </si>
  <si>
    <t>TX0055239_001</t>
  </si>
  <si>
    <t>TX0056596_001</t>
  </si>
  <si>
    <t>TX0006351_001</t>
  </si>
  <si>
    <t>TX0023701_001</t>
  </si>
  <si>
    <t>TX0024368_001</t>
  </si>
  <si>
    <t>TX0031275_001</t>
  </si>
  <si>
    <t>TX0031283_001</t>
  </si>
  <si>
    <t>TX0122564_001</t>
  </si>
  <si>
    <t>TX0002909_001</t>
  </si>
  <si>
    <t>TX0002909_002</t>
  </si>
  <si>
    <t>TX0002909_005</t>
  </si>
  <si>
    <t>TX0003662_002</t>
  </si>
  <si>
    <t>TX0003662_003</t>
  </si>
  <si>
    <t>TX0003662_006</t>
  </si>
  <si>
    <t>TX0003662_007</t>
  </si>
  <si>
    <t>TX0004201_001</t>
  </si>
  <si>
    <t>TX0004201_002</t>
  </si>
  <si>
    <t>TX0004201_003</t>
  </si>
  <si>
    <t>TX0004201_004</t>
  </si>
  <si>
    <t>TX0004201_005</t>
  </si>
  <si>
    <t>TX0004227_001</t>
  </si>
  <si>
    <t>TX0004669_001</t>
  </si>
  <si>
    <t>TX0004669_002</t>
  </si>
  <si>
    <t>TX0004669_004</t>
  </si>
  <si>
    <t>TX0004669_005</t>
  </si>
  <si>
    <t>TX0004669_006</t>
  </si>
  <si>
    <t>TX0004669_008</t>
  </si>
  <si>
    <t>TX0004669_011</t>
  </si>
  <si>
    <t>TX0004669_015</t>
  </si>
  <si>
    <t>TX0004669_018</t>
  </si>
  <si>
    <t>TX0004669_020</t>
  </si>
  <si>
    <t>TX0004669_021</t>
  </si>
  <si>
    <t>TX0005070_001</t>
  </si>
  <si>
    <t>TX0005070_002</t>
  </si>
  <si>
    <t>TX0005070_004</t>
  </si>
  <si>
    <t>TX0005070_006</t>
  </si>
  <si>
    <t>TX0005070_007</t>
  </si>
  <si>
    <t>TX0005070_008</t>
  </si>
  <si>
    <t>TX0005070_009</t>
  </si>
  <si>
    <t>TX0005070_010</t>
  </si>
  <si>
    <t>TX0005070_012</t>
  </si>
  <si>
    <t>TX0005746_005</t>
  </si>
  <si>
    <t>TX0005746_001</t>
  </si>
  <si>
    <t>TX0005746_002</t>
  </si>
  <si>
    <t>TX0005746_003</t>
  </si>
  <si>
    <t>TX0005746_004</t>
  </si>
  <si>
    <t>TX0006726_001</t>
  </si>
  <si>
    <t>TX0007277_002</t>
  </si>
  <si>
    <t>TX0007421_001</t>
  </si>
  <si>
    <t>TX0007421_002</t>
  </si>
  <si>
    <t>TX0022926_001</t>
  </si>
  <si>
    <t>TX0054178_001</t>
  </si>
  <si>
    <t>TX0054551_001</t>
  </si>
  <si>
    <t>TX0057258_001</t>
  </si>
  <si>
    <t>TX0062448_001</t>
  </si>
  <si>
    <t>TX0062677_001</t>
  </si>
  <si>
    <t>TX0064718_002</t>
  </si>
  <si>
    <t>TX0064718_001</t>
  </si>
  <si>
    <t>TX0065021_001</t>
  </si>
  <si>
    <t>TX0068934_001</t>
  </si>
  <si>
    <t>TX0068934_002</t>
  </si>
  <si>
    <t>TX0086398_001</t>
  </si>
  <si>
    <t>TX0093157_001</t>
  </si>
  <si>
    <t>TX0102296_004</t>
  </si>
  <si>
    <t>TX0102296_003</t>
  </si>
  <si>
    <t>TX0116921_001</t>
  </si>
  <si>
    <t>TX0118231_001</t>
  </si>
  <si>
    <t>TX0118737_001</t>
  </si>
  <si>
    <t>TX0119369_001</t>
  </si>
  <si>
    <t>TX0119369_002</t>
  </si>
  <si>
    <t>TX0135836_001</t>
  </si>
  <si>
    <t>TX0135836_002</t>
  </si>
  <si>
    <t>TX0106836_001</t>
  </si>
  <si>
    <t>TX0126837_001</t>
  </si>
  <si>
    <t>TX0053937_001</t>
  </si>
  <si>
    <t>TX0055123_001</t>
  </si>
  <si>
    <t>TX0076503_001</t>
  </si>
  <si>
    <t>TX0118354_001</t>
  </si>
  <si>
    <t>TX0121053_001</t>
  </si>
  <si>
    <t>TX0124842_001</t>
  </si>
  <si>
    <t>TX0134449_001</t>
  </si>
  <si>
    <t>TX0136964_002</t>
  </si>
  <si>
    <t>TX0136964_001</t>
  </si>
  <si>
    <t>TX0003891_001</t>
  </si>
  <si>
    <t>TX0003891_002</t>
  </si>
  <si>
    <t>TX0006696_001</t>
  </si>
  <si>
    <t>TX0023795_001</t>
  </si>
  <si>
    <t>TX0067695_001</t>
  </si>
  <si>
    <t>TX0067695_002</t>
  </si>
  <si>
    <t>TX0067695_004</t>
  </si>
  <si>
    <t>TX0067695_007</t>
  </si>
  <si>
    <t>TX0067890_001</t>
  </si>
  <si>
    <t>TX0067890_002</t>
  </si>
  <si>
    <t>TX0117277_001</t>
  </si>
  <si>
    <t>TX0136824_002</t>
  </si>
  <si>
    <t>TX0136824_001</t>
  </si>
  <si>
    <t>TX0006076_001</t>
  </si>
  <si>
    <t>TX0006076_002</t>
  </si>
  <si>
    <t>TX0006076_007</t>
  </si>
  <si>
    <t>TX0046892_001</t>
  </si>
  <si>
    <t>TX0046892_003</t>
  </si>
  <si>
    <t>TX0046892_006</t>
  </si>
  <si>
    <t>TX0064491_001</t>
  </si>
  <si>
    <t>TX0064491_002</t>
  </si>
  <si>
    <t>TX0075701_001</t>
  </si>
  <si>
    <t>TX0133787_001</t>
  </si>
  <si>
    <t>TX0052779_001</t>
  </si>
  <si>
    <t>TX0087360_001</t>
  </si>
  <si>
    <t>TX0091910_001</t>
  </si>
  <si>
    <t>TX0114847_001</t>
  </si>
  <si>
    <t>TX0122173_001</t>
  </si>
  <si>
    <t>TX0124371_001</t>
  </si>
  <si>
    <t>TX0027154_001</t>
  </si>
  <si>
    <t>TX0099082_001</t>
  </si>
  <si>
    <t>TX0022349_001</t>
  </si>
  <si>
    <t>TX0057673_001</t>
  </si>
  <si>
    <t>TX0098744_001</t>
  </si>
  <si>
    <t>TX0122351_001</t>
  </si>
  <si>
    <t>TX0001449_015</t>
  </si>
  <si>
    <t>TX0001449_001</t>
  </si>
  <si>
    <t>TX0001449_002</t>
  </si>
  <si>
    <t>TX0001449_003</t>
  </si>
  <si>
    <t>TX0001449_004</t>
  </si>
  <si>
    <t>TX0001449_005</t>
  </si>
  <si>
    <t>TX0001449_006</t>
  </si>
  <si>
    <t>TX0001449_008</t>
  </si>
  <si>
    <t>TX0001449_010</t>
  </si>
  <si>
    <t>TX0001449_011</t>
  </si>
  <si>
    <t>TX0001449_012</t>
  </si>
  <si>
    <t>TX0001449_013</t>
  </si>
  <si>
    <t>TX0001449_014</t>
  </si>
  <si>
    <t>TX0047988_001</t>
  </si>
  <si>
    <t>TX0047996_001</t>
  </si>
  <si>
    <t>TX0054194_001</t>
  </si>
  <si>
    <t>TX0072770_001</t>
  </si>
  <si>
    <t>TX0101010_001</t>
  </si>
  <si>
    <t>TX0134287_001</t>
  </si>
  <si>
    <t>TX0118966_001</t>
  </si>
  <si>
    <t>TX0025828_001</t>
  </si>
  <si>
    <t>TX0076015_001</t>
  </si>
  <si>
    <t>TX0100692_001</t>
  </si>
  <si>
    <t>TX0132918_001</t>
  </si>
  <si>
    <t>TX0054071_001</t>
  </si>
  <si>
    <t>TX0065650_001</t>
  </si>
  <si>
    <t>TX0118591_001</t>
  </si>
  <si>
    <t>TX0136743_001</t>
  </si>
  <si>
    <t>TX0006564_001</t>
  </si>
  <si>
    <t>TX0023621_001</t>
  </si>
  <si>
    <t>TX0023639_001</t>
  </si>
  <si>
    <t>TX0023647_001</t>
  </si>
  <si>
    <t>TX0027782_001</t>
  </si>
  <si>
    <t>TX0047929_001</t>
  </si>
  <si>
    <t>TX0056821_001</t>
  </si>
  <si>
    <t>TX0059587_001</t>
  </si>
  <si>
    <t>TX0074047_001</t>
  </si>
  <si>
    <t>TX0075451_001</t>
  </si>
  <si>
    <t>TX0091243_001</t>
  </si>
  <si>
    <t>TX0100242_001</t>
  </si>
  <si>
    <t>TX0113000_001</t>
  </si>
  <si>
    <t>TX0113875_001</t>
  </si>
  <si>
    <t>TX0117072_001</t>
  </si>
  <si>
    <t>TX0117731_001</t>
  </si>
  <si>
    <t>TX0124664_001</t>
  </si>
  <si>
    <t>TX0127086_001</t>
  </si>
  <si>
    <t>TX0127299_001</t>
  </si>
  <si>
    <t>TX0127833_001</t>
  </si>
  <si>
    <t>TX0128112_001</t>
  </si>
  <si>
    <t>TX0128112_002</t>
  </si>
  <si>
    <t>TX0128724_001</t>
  </si>
  <si>
    <t>TX0130052_001</t>
  </si>
  <si>
    <t>TX0134899_001</t>
  </si>
  <si>
    <t>TX0135470_001</t>
  </si>
  <si>
    <t>TX0135470_002</t>
  </si>
  <si>
    <t>TX0023361_001</t>
  </si>
  <si>
    <t>TX0127141_001</t>
  </si>
  <si>
    <t>TX0021547_001</t>
  </si>
  <si>
    <t>TX0024112_001</t>
  </si>
  <si>
    <t>TX0047449_001</t>
  </si>
  <si>
    <t>TX0052787_001</t>
  </si>
  <si>
    <t>TX0057592_001</t>
  </si>
  <si>
    <t>TX0057592_002</t>
  </si>
  <si>
    <t>TX0057614_001</t>
  </si>
  <si>
    <t>TX0057622_001</t>
  </si>
  <si>
    <t>TX0058386_001</t>
  </si>
  <si>
    <t>TX0062219_001</t>
  </si>
  <si>
    <t>TX0070017_001</t>
  </si>
  <si>
    <t>TX0093106_001</t>
  </si>
  <si>
    <t>TX0104612_001</t>
  </si>
  <si>
    <t>TX0104990_001</t>
  </si>
  <si>
    <t>TX0116394_001</t>
  </si>
  <si>
    <t>TX0116637_001</t>
  </si>
  <si>
    <t>TX0116751_001</t>
  </si>
  <si>
    <t>TX0116785_001</t>
  </si>
  <si>
    <t>TX0119423_001</t>
  </si>
  <si>
    <t>TX0123498_001</t>
  </si>
  <si>
    <t>TX0127230_001</t>
  </si>
  <si>
    <t>TX0132055_001</t>
  </si>
  <si>
    <t>TX0132802_001</t>
  </si>
  <si>
    <t>TX0133302_001</t>
  </si>
  <si>
    <t>TX0134716_001</t>
  </si>
  <si>
    <t>TX0134902_001</t>
  </si>
  <si>
    <t>TX0136997_001</t>
  </si>
  <si>
    <t>TX0101826_001</t>
  </si>
  <si>
    <t>TX0020397_001</t>
  </si>
  <si>
    <t>TX0034002_001</t>
  </si>
  <si>
    <t>TX0091219_001</t>
  </si>
  <si>
    <t>TX0023418_001</t>
  </si>
  <si>
    <t>TX0102857_001</t>
  </si>
  <si>
    <t>TX0112763_001</t>
  </si>
  <si>
    <t>TX0113981_001</t>
  </si>
  <si>
    <t>TX0117978_001</t>
  </si>
  <si>
    <t>TX0003581_001</t>
  </si>
  <si>
    <t>TX0004685_001</t>
  </si>
  <si>
    <t>TX0006025_002</t>
  </si>
  <si>
    <t>TX0006211_001</t>
  </si>
  <si>
    <t>TX0006211_002</t>
  </si>
  <si>
    <t>TX0006211_003</t>
  </si>
  <si>
    <t>TX0006211_004</t>
  </si>
  <si>
    <t>TX0006211_005</t>
  </si>
  <si>
    <t>TX0006211_006</t>
  </si>
  <si>
    <t>TX0006211_007</t>
  </si>
  <si>
    <t>TX0006289_001</t>
  </si>
  <si>
    <t>TX0006289_003</t>
  </si>
  <si>
    <t>TX0006289_004</t>
  </si>
  <si>
    <t>TX0006289_005</t>
  </si>
  <si>
    <t>TX0006289_008</t>
  </si>
  <si>
    <t>TX0006289_011</t>
  </si>
  <si>
    <t>TX0006599_001</t>
  </si>
  <si>
    <t>TX0006599_003</t>
  </si>
  <si>
    <t>TX0006599_004</t>
  </si>
  <si>
    <t>TX0006599_006</t>
  </si>
  <si>
    <t>TX0006599_007</t>
  </si>
  <si>
    <t>TX0006599_011</t>
  </si>
  <si>
    <t>TX0006904_001</t>
  </si>
  <si>
    <t>TX0006904_002</t>
  </si>
  <si>
    <t>TX0006904_003</t>
  </si>
  <si>
    <t>TX0007889_001</t>
  </si>
  <si>
    <t>TX0008826_001</t>
  </si>
  <si>
    <t>TX0020389_001</t>
  </si>
  <si>
    <t>TX0023019_001</t>
  </si>
  <si>
    <t>TX0024287_001</t>
  </si>
  <si>
    <t>TX0033367_001</t>
  </si>
  <si>
    <t>TX0047058_001</t>
  </si>
  <si>
    <t>TX0047066_001</t>
  </si>
  <si>
    <t>TX0047074_001</t>
  </si>
  <si>
    <t>TX0047082_001</t>
  </si>
  <si>
    <t>TX0047104_001</t>
  </si>
  <si>
    <t>TX0047121_001</t>
  </si>
  <si>
    <t>TX0069884_001</t>
  </si>
  <si>
    <t>TX0072737_003</t>
  </si>
  <si>
    <t>TX0072737_001</t>
  </si>
  <si>
    <t>TX0072737_002</t>
  </si>
  <si>
    <t>TX0076767_001</t>
  </si>
  <si>
    <t>TX0094145_001</t>
  </si>
  <si>
    <t>TX0096474_001</t>
  </si>
  <si>
    <t>TX0104400_001</t>
  </si>
  <si>
    <t>TX0104400_002</t>
  </si>
  <si>
    <t>TX0104400_003</t>
  </si>
  <si>
    <t>TX0104400_004</t>
  </si>
  <si>
    <t>TX0123676_001</t>
  </si>
  <si>
    <t>TX0129607_001</t>
  </si>
  <si>
    <t>TX0132004_001</t>
  </si>
  <si>
    <t>TX0132756_001</t>
  </si>
  <si>
    <t>TX0134694_001</t>
  </si>
  <si>
    <t>TX0134694_002</t>
  </si>
  <si>
    <t>TX0134694_004</t>
  </si>
  <si>
    <t>TX0137197_001</t>
  </si>
  <si>
    <t>TX0024546_001</t>
  </si>
  <si>
    <t>TX0076392_001</t>
  </si>
  <si>
    <t>TX0114031_001</t>
  </si>
  <si>
    <t>TX0119024_001</t>
  </si>
  <si>
    <t>TX0125156_001</t>
  </si>
  <si>
    <t>TX0128350_001</t>
  </si>
  <si>
    <t>TX0128643_001</t>
  </si>
  <si>
    <t>TX0132497_001</t>
  </si>
  <si>
    <t>TX0022594_001</t>
  </si>
  <si>
    <t>TX0022594_003</t>
  </si>
  <si>
    <t>TX0032387_001</t>
  </si>
  <si>
    <t>TX0033375_001</t>
  </si>
  <si>
    <t>TX0057509_001</t>
  </si>
  <si>
    <t>TX0082589_001</t>
  </si>
  <si>
    <t>TX0090611_001</t>
  </si>
  <si>
    <t>TX0136557_001</t>
  </si>
  <si>
    <t>TX0025976_001</t>
  </si>
  <si>
    <t>TX0071056_001</t>
  </si>
  <si>
    <t>TX0104884_001</t>
  </si>
  <si>
    <t>TX0032719_001</t>
  </si>
  <si>
    <t>TX0117218_001</t>
  </si>
  <si>
    <t>TX0123854_001</t>
  </si>
  <si>
    <t>TX0133621_001</t>
  </si>
  <si>
    <t>TX0137928_001</t>
  </si>
  <si>
    <t>TX0137936_001</t>
  </si>
  <si>
    <t>TX0027499_001</t>
  </si>
  <si>
    <t>TX0088331_001</t>
  </si>
  <si>
    <t>TX0088331_002</t>
  </si>
  <si>
    <t>TX0115851_004</t>
  </si>
  <si>
    <t>TX0115851_005</t>
  </si>
  <si>
    <t>TX0115851_007</t>
  </si>
  <si>
    <t>TX0129321_001</t>
  </si>
  <si>
    <t>TX0132799_001</t>
  </si>
  <si>
    <t>TX0137235_001</t>
  </si>
  <si>
    <t>TX0132675_001</t>
  </si>
  <si>
    <t>TX0068632_001</t>
  </si>
  <si>
    <t>TX0075779_001</t>
  </si>
  <si>
    <t>TX0087751_001</t>
  </si>
  <si>
    <t>TX0102032_001</t>
  </si>
  <si>
    <t>TX0020419_001</t>
  </si>
  <si>
    <t>TX0110337_001</t>
  </si>
  <si>
    <t>TX0023094_001</t>
  </si>
  <si>
    <t>TX0023094_002</t>
  </si>
  <si>
    <t>TX0128597_001</t>
  </si>
  <si>
    <t>TX0053392_001</t>
  </si>
  <si>
    <t>TX0117986_001</t>
  </si>
  <si>
    <t>TX0025755_001</t>
  </si>
  <si>
    <t>TX0054518_001</t>
  </si>
  <si>
    <t>TX0092541_001</t>
  </si>
  <si>
    <t>TX0127019_001</t>
  </si>
  <si>
    <t>TX0022969_001</t>
  </si>
  <si>
    <t>TX0118079_001</t>
  </si>
  <si>
    <t>TX0136905_001</t>
  </si>
  <si>
    <t>TX0022306_001</t>
  </si>
  <si>
    <t>TX0022314_001</t>
  </si>
  <si>
    <t>TX0027171_001</t>
  </si>
  <si>
    <t>TX0075442_001</t>
  </si>
  <si>
    <t>TX0127817_001</t>
  </si>
  <si>
    <t>TX0137626_001</t>
  </si>
  <si>
    <t>TX0021814_001</t>
  </si>
  <si>
    <t>TX0023299_001</t>
  </si>
  <si>
    <t>TX0025151_001</t>
  </si>
  <si>
    <t>TX0027928_001</t>
  </si>
  <si>
    <t>TX0057169_001</t>
  </si>
  <si>
    <t>TX0072711_001</t>
  </si>
  <si>
    <t>TX0117951_001</t>
  </si>
  <si>
    <t>TX0023370_001</t>
  </si>
  <si>
    <t>TX0022586_001</t>
  </si>
  <si>
    <t>TX0023566_001</t>
  </si>
  <si>
    <t>TX0024325_001</t>
  </si>
  <si>
    <t>TX0033294_001</t>
  </si>
  <si>
    <t>TX0035211_001</t>
  </si>
  <si>
    <t>TX0047210_001</t>
  </si>
  <si>
    <t>TX0047228_001</t>
  </si>
  <si>
    <t>TX0053368_001</t>
  </si>
  <si>
    <t>TX0055361_001</t>
  </si>
  <si>
    <t>TX0068756_001</t>
  </si>
  <si>
    <t>TX0102164_001</t>
  </si>
  <si>
    <t>TX0027740_001</t>
  </si>
  <si>
    <t>TX0101818_001</t>
  </si>
  <si>
    <t>TX0024139_001</t>
  </si>
  <si>
    <t>TX0053066_001</t>
  </si>
  <si>
    <t>TX0008982_001</t>
  </si>
  <si>
    <t>TX0027910_001</t>
  </si>
  <si>
    <t>TX0082309_001</t>
  </si>
  <si>
    <t>TX0101214_001</t>
  </si>
  <si>
    <t>TX0103586_001</t>
  </si>
  <si>
    <t>TX0103586_002</t>
  </si>
  <si>
    <t>TX0042650_001</t>
  </si>
  <si>
    <t>TX0042668_001</t>
  </si>
  <si>
    <t>TX0053503_001</t>
  </si>
  <si>
    <t>TX0135046_001</t>
  </si>
  <si>
    <t>TX0026956_001</t>
  </si>
  <si>
    <t>TX0026964_001</t>
  </si>
  <si>
    <t>TX0047686_001</t>
  </si>
  <si>
    <t>TX0047686_002</t>
  </si>
  <si>
    <t>TX0052922_001</t>
  </si>
  <si>
    <t>TX0084557_001</t>
  </si>
  <si>
    <t>TX0124893_001</t>
  </si>
  <si>
    <t>TX0127175_001</t>
  </si>
  <si>
    <t>TX0023001_001</t>
  </si>
  <si>
    <t>TX0030732_001</t>
  </si>
  <si>
    <t>TX0088781_001</t>
  </si>
  <si>
    <t>TX0088781_002</t>
  </si>
  <si>
    <t>TX0131792_001</t>
  </si>
  <si>
    <t>TX0022985_001</t>
  </si>
  <si>
    <t>TX0094684_001</t>
  </si>
  <si>
    <t>TX0133183_001</t>
  </si>
  <si>
    <t>TX0055484_001</t>
  </si>
  <si>
    <t>TX0071340_001</t>
  </si>
  <si>
    <t>TX0105651_001</t>
  </si>
  <si>
    <t>TX0105651_002</t>
  </si>
  <si>
    <t>TX0098345_001</t>
  </si>
  <si>
    <t>TX0107867_001</t>
  </si>
  <si>
    <t>TX0026751_002</t>
  </si>
  <si>
    <t>TX0065013_001</t>
  </si>
  <si>
    <t>TX0086045_003</t>
  </si>
  <si>
    <t>TX0087149_001</t>
  </si>
  <si>
    <t>TX0101605_001</t>
  </si>
  <si>
    <t>TX0101605_002</t>
  </si>
  <si>
    <t>TX0126772_001</t>
  </si>
  <si>
    <t>TX0135500_001</t>
  </si>
  <si>
    <t>TX0135500_002</t>
  </si>
  <si>
    <t>TX0135500_003</t>
  </si>
  <si>
    <t>TX0135500_004</t>
  </si>
  <si>
    <t>TX0135500_005</t>
  </si>
  <si>
    <t>TX0135500_006</t>
  </si>
  <si>
    <t>TX0135500_007</t>
  </si>
  <si>
    <t>TX0135500_008</t>
  </si>
  <si>
    <t>TX0135500_009</t>
  </si>
  <si>
    <t>TX0135500_011</t>
  </si>
  <si>
    <t>TX0135500_012</t>
  </si>
  <si>
    <t>TX0135500_013</t>
  </si>
  <si>
    <t>TX0136662_001</t>
  </si>
  <si>
    <t>TX0137146_001</t>
  </si>
  <si>
    <t>TX0125598_001</t>
  </si>
  <si>
    <t>TX0131491_001</t>
  </si>
  <si>
    <t>TX0066133_001</t>
  </si>
  <si>
    <t>TX0076422_001</t>
  </si>
  <si>
    <t>TX0107492_001</t>
  </si>
  <si>
    <t>TX0109011_003</t>
  </si>
  <si>
    <t>TX0128589_001</t>
  </si>
  <si>
    <t>TX0128481_001</t>
  </si>
  <si>
    <t>TX0068764_001</t>
  </si>
  <si>
    <t>TX0117544_001</t>
  </si>
  <si>
    <t>TX0119709_001</t>
  </si>
  <si>
    <t>TX0023191_001</t>
  </si>
  <si>
    <t>TX0133884_003</t>
  </si>
  <si>
    <t>TX0022608_001</t>
  </si>
  <si>
    <t>TX0031232_001</t>
  </si>
  <si>
    <t>TX0047198_001</t>
  </si>
  <si>
    <t>TX0053830_001</t>
  </si>
  <si>
    <t>TX0116114_001</t>
  </si>
  <si>
    <t>TX0001627_001</t>
  </si>
  <si>
    <t>TX0025461_001</t>
  </si>
  <si>
    <t>TX0057801_001</t>
  </si>
  <si>
    <t>TX0085316_001</t>
  </si>
  <si>
    <t>TX0107395_001</t>
  </si>
  <si>
    <t>TX0118443_001</t>
  </si>
  <si>
    <t>TX0126926_001</t>
  </si>
  <si>
    <t>TX0131776_001</t>
  </si>
  <si>
    <t>TX0070211_001</t>
  </si>
  <si>
    <t>TX0132942_001</t>
  </si>
  <si>
    <t>TX0027502_001</t>
  </si>
  <si>
    <t>TX0137332_001</t>
  </si>
  <si>
    <t>TX0000540_001</t>
  </si>
  <si>
    <t>TX0022217_001</t>
  </si>
  <si>
    <t>TX0026531_001</t>
  </si>
  <si>
    <t>TX0026557_002</t>
  </si>
  <si>
    <t>TX0029777_001</t>
  </si>
  <si>
    <t>TX0061999_001</t>
  </si>
  <si>
    <t>TX0063215_001</t>
  </si>
  <si>
    <t>TX0063215_003</t>
  </si>
  <si>
    <t>TX0072541_001</t>
  </si>
  <si>
    <t>TX0077771_001</t>
  </si>
  <si>
    <t>TX0087726_002</t>
  </si>
  <si>
    <t>TX0087726_005</t>
  </si>
  <si>
    <t>TX0117242_001</t>
  </si>
  <si>
    <t>TX0117820_001</t>
  </si>
  <si>
    <t>TX0127272_001</t>
  </si>
  <si>
    <t>TX0128856_001</t>
  </si>
  <si>
    <t>TX0000710_002</t>
  </si>
  <si>
    <t>TX0000949_001</t>
  </si>
  <si>
    <t>TX0000949_002</t>
  </si>
  <si>
    <t>TX0000949_004</t>
  </si>
  <si>
    <t>TX0021784_001</t>
  </si>
  <si>
    <t>TX0026921_001</t>
  </si>
  <si>
    <t>TX0072818_002</t>
  </si>
  <si>
    <t>TX0072818_001</t>
  </si>
  <si>
    <t>TX0087661_001</t>
  </si>
  <si>
    <t>TX0088935_001</t>
  </si>
  <si>
    <t>TX0088935_002</t>
  </si>
  <si>
    <t>TX0088935_003</t>
  </si>
  <si>
    <t>TX0088935_004</t>
  </si>
  <si>
    <t>TX0088935_005</t>
  </si>
  <si>
    <t>TX0088935_006</t>
  </si>
  <si>
    <t>TX0088935_007</t>
  </si>
  <si>
    <t>TX0088935_009</t>
  </si>
  <si>
    <t>TX0088935_019</t>
  </si>
  <si>
    <t>TX0088935_021</t>
  </si>
  <si>
    <t>TX0088935_022</t>
  </si>
  <si>
    <t>TX0088935_023</t>
  </si>
  <si>
    <t>TX0088935_024</t>
  </si>
  <si>
    <t>TX0088935_025</t>
  </si>
  <si>
    <t>TX0088935_026</t>
  </si>
  <si>
    <t>TX0088935_027</t>
  </si>
  <si>
    <t>TX0088935_028</t>
  </si>
  <si>
    <t>TX0088935_030</t>
  </si>
  <si>
    <t>TX0088935_031</t>
  </si>
  <si>
    <t>TX0088935_032</t>
  </si>
  <si>
    <t>TX0088935_033</t>
  </si>
  <si>
    <t>TX0088935_034</t>
  </si>
  <si>
    <t>TX0088935_035</t>
  </si>
  <si>
    <t>TX0088935_036</t>
  </si>
  <si>
    <t>TX0088935_037</t>
  </si>
  <si>
    <t>TX0088935_038</t>
  </si>
  <si>
    <t>TX0088935_039</t>
  </si>
  <si>
    <t>TX0088935_040</t>
  </si>
  <si>
    <t>TX0088935_042</t>
  </si>
  <si>
    <t>TX0088935_043</t>
  </si>
  <si>
    <t>TX0088935_044</t>
  </si>
  <si>
    <t>TX0088935_045</t>
  </si>
  <si>
    <t>TX0088935_048</t>
  </si>
  <si>
    <t>TX0088935_049</t>
  </si>
  <si>
    <t>TX0088935_051</t>
  </si>
  <si>
    <t>TX0088935_052</t>
  </si>
  <si>
    <t>TX0088935_053</t>
  </si>
  <si>
    <t>TX0088935_054</t>
  </si>
  <si>
    <t>TX0088935_055</t>
  </si>
  <si>
    <t>TX0088935_056</t>
  </si>
  <si>
    <t>TX0088935_058</t>
  </si>
  <si>
    <t>TX0088935_059</t>
  </si>
  <si>
    <t>TX0088935_060</t>
  </si>
  <si>
    <t>TX0088935_061</t>
  </si>
  <si>
    <t>TX0088935_062</t>
  </si>
  <si>
    <t>TX0097977_001</t>
  </si>
  <si>
    <t>TX0100188_001</t>
  </si>
  <si>
    <t>TX0111465_001</t>
  </si>
  <si>
    <t>TX0119113_001</t>
  </si>
  <si>
    <t>TX0124516_002</t>
  </si>
  <si>
    <t>TX0129127_001</t>
  </si>
  <si>
    <t>TX0133566_001</t>
  </si>
  <si>
    <t>TX0032654_001</t>
  </si>
  <si>
    <t>TX0052981_001</t>
  </si>
  <si>
    <t>TX0022331_001</t>
  </si>
  <si>
    <t>TX0024180_001</t>
  </si>
  <si>
    <t>TX0055611_001</t>
  </si>
  <si>
    <t>TX0064513_001</t>
  </si>
  <si>
    <t>TX0072508_001</t>
  </si>
  <si>
    <t>TX0083887_001</t>
  </si>
  <si>
    <t>TX0084328_001</t>
  </si>
  <si>
    <t>TX0100021_001</t>
  </si>
  <si>
    <t>TX0103080_001</t>
  </si>
  <si>
    <t>TX0116891_002</t>
  </si>
  <si>
    <t>TX0116891_001</t>
  </si>
  <si>
    <t>TX0118125_001</t>
  </si>
  <si>
    <t>TX0118125_002</t>
  </si>
  <si>
    <t>TX0123528_001</t>
  </si>
  <si>
    <t>TX0126691_001</t>
  </si>
  <si>
    <t>TX0128392_001</t>
  </si>
  <si>
    <t>TX0128538_001</t>
  </si>
  <si>
    <t>TX0131466_001</t>
  </si>
  <si>
    <t>TX0021300_001</t>
  </si>
  <si>
    <t>TX0023574_001</t>
  </si>
  <si>
    <t>TX0123200_001</t>
  </si>
  <si>
    <t>TX0130109_003</t>
  </si>
  <si>
    <t>TX0130109_001</t>
  </si>
  <si>
    <t>TX0130109_002</t>
  </si>
  <si>
    <t>TX0133205_001</t>
  </si>
  <si>
    <t>TX0002968_001</t>
  </si>
  <si>
    <t>TX0003654_001</t>
  </si>
  <si>
    <t>TX0006327_001</t>
  </si>
  <si>
    <t>TX0007544_001</t>
  </si>
  <si>
    <t>TX0007897_001</t>
  </si>
  <si>
    <t>TX0007897_002</t>
  </si>
  <si>
    <t>TX0024171_001</t>
  </si>
  <si>
    <t>TX0025500_001</t>
  </si>
  <si>
    <t>TX0053562_001</t>
  </si>
  <si>
    <t>TX0054801_001</t>
  </si>
  <si>
    <t>TX0054810_001</t>
  </si>
  <si>
    <t>TX0073423_001</t>
  </si>
  <si>
    <t>TX0073423_002</t>
  </si>
  <si>
    <t>TX0074250_001</t>
  </si>
  <si>
    <t>TX0106437_001</t>
  </si>
  <si>
    <t>TX0114839_001</t>
  </si>
  <si>
    <t>TX0122980_001</t>
  </si>
  <si>
    <t>TX0129313_001</t>
  </si>
  <si>
    <t>TX0134422_011</t>
  </si>
  <si>
    <t>TX0134422_002</t>
  </si>
  <si>
    <t>TX0032361_001</t>
  </si>
  <si>
    <t>TX0057215_001</t>
  </si>
  <si>
    <t>TX0118559_001</t>
  </si>
  <si>
    <t>TX0133469_001</t>
  </si>
  <si>
    <t>TX0002658_001</t>
  </si>
  <si>
    <t>TX0026328_002</t>
  </si>
  <si>
    <t>TX0071544_001</t>
  </si>
  <si>
    <t>TX0071579_001</t>
  </si>
  <si>
    <t>TX0101303_001</t>
  </si>
  <si>
    <t>TX0110647_001</t>
  </si>
  <si>
    <t>TX0123722_001</t>
  </si>
  <si>
    <t>TX0124966_001</t>
  </si>
  <si>
    <t>TX0129780_001</t>
  </si>
  <si>
    <t>TX0135160_001</t>
  </si>
  <si>
    <t>TX0022551_001</t>
  </si>
  <si>
    <t>TX0030686_001</t>
  </si>
  <si>
    <t>TX0104272_001</t>
  </si>
  <si>
    <t>TX0132683_005</t>
  </si>
  <si>
    <t>TX0132683_001</t>
  </si>
  <si>
    <t>TX0132683_002</t>
  </si>
  <si>
    <t>TX0132683_003</t>
  </si>
  <si>
    <t>TX0031267_001</t>
  </si>
  <si>
    <t>TX0060801_001</t>
  </si>
  <si>
    <t>TX0079812_001</t>
  </si>
  <si>
    <t>TX0134929_001</t>
  </si>
  <si>
    <t>TX0062839_001</t>
  </si>
  <si>
    <t>TX0069086_001</t>
  </si>
  <si>
    <t>TX0069213_001</t>
  </si>
  <si>
    <t>TX0072982_001</t>
  </si>
  <si>
    <t>TX0072982_002</t>
  </si>
  <si>
    <t>TX0076953_001</t>
  </si>
  <si>
    <t>TX0102261_001</t>
  </si>
  <si>
    <t>TX0107425_001</t>
  </si>
  <si>
    <t>TX0112739_001</t>
  </si>
  <si>
    <t>TX0133311_001</t>
  </si>
  <si>
    <t>TX0001465_001</t>
  </si>
  <si>
    <t>TX0001465_003</t>
  </si>
  <si>
    <t>TX0001465_004</t>
  </si>
  <si>
    <t>TX0032484_001</t>
  </si>
  <si>
    <t>TX0052931_001</t>
  </si>
  <si>
    <t>TX0073229_001</t>
  </si>
  <si>
    <t>TX0119521_001</t>
  </si>
  <si>
    <t>TX0124681_001</t>
  </si>
  <si>
    <t>TX0134937_001</t>
  </si>
  <si>
    <t>TX0002089_001</t>
  </si>
  <si>
    <t>TX0022438_001</t>
  </si>
  <si>
    <t>TX0033308_001</t>
  </si>
  <si>
    <t>TX0102997_001</t>
  </si>
  <si>
    <t>TX0023710_001</t>
  </si>
  <si>
    <t>TX0027545_001</t>
  </si>
  <si>
    <t>TX0083011_001</t>
  </si>
  <si>
    <t>TX0099112_001</t>
  </si>
  <si>
    <t>TX0133744_001</t>
  </si>
  <si>
    <t>TX0021393_001</t>
  </si>
  <si>
    <t>TX0022489_001</t>
  </si>
  <si>
    <t>TX0022748_001</t>
  </si>
  <si>
    <t>TX0023035_001</t>
  </si>
  <si>
    <t>TX0054658_001</t>
  </si>
  <si>
    <t>TX0083003_001</t>
  </si>
  <si>
    <t>TX0089362_001</t>
  </si>
  <si>
    <t>TX0096059_001</t>
  </si>
  <si>
    <t>TX0103365_001</t>
  </si>
  <si>
    <t>TX0117889_001</t>
  </si>
  <si>
    <t>TX0121061_001</t>
  </si>
  <si>
    <t>TX0128406_001</t>
  </si>
  <si>
    <t>TX0129186_001</t>
  </si>
  <si>
    <t>TX0129992_001</t>
  </si>
  <si>
    <t>TX0136387_001</t>
  </si>
  <si>
    <t>TX0136417_001</t>
  </si>
  <si>
    <t>TX0137766_001</t>
  </si>
  <si>
    <t>TX0022152_001</t>
  </si>
  <si>
    <t>TX0123871_001</t>
  </si>
  <si>
    <t>TX0133051_001</t>
  </si>
  <si>
    <t>TX0047007_001</t>
  </si>
  <si>
    <t>TX0054780_001</t>
  </si>
  <si>
    <t>TX0113859_001</t>
  </si>
  <si>
    <t>TX0119407_001</t>
  </si>
  <si>
    <t>TX0119601_001</t>
  </si>
  <si>
    <t>TX0032492_001</t>
  </si>
  <si>
    <t>TX0032638_001</t>
  </si>
  <si>
    <t>TX0048038_001</t>
  </si>
  <si>
    <t>TX0054101_001</t>
  </si>
  <si>
    <t>TX0116157_001</t>
  </si>
  <si>
    <t>TX0008907_001</t>
  </si>
  <si>
    <t>TX0008907_002</t>
  </si>
  <si>
    <t>TX0020401_001</t>
  </si>
  <si>
    <t>TX0024562_001</t>
  </si>
  <si>
    <t>TX0025682_001</t>
  </si>
  <si>
    <t>TX0027472_001</t>
  </si>
  <si>
    <t>TX0055433_001</t>
  </si>
  <si>
    <t>TX0066664_001</t>
  </si>
  <si>
    <t>TX0078743_001</t>
  </si>
  <si>
    <t>TX0083062_001</t>
  </si>
  <si>
    <t>TX0102890_001</t>
  </si>
  <si>
    <t>TX0104876_001</t>
  </si>
  <si>
    <t>TX0110361_001</t>
  </si>
  <si>
    <t>TX0119563_001</t>
  </si>
  <si>
    <t>TX0125857_003</t>
  </si>
  <si>
    <t>TX0125989_001</t>
  </si>
  <si>
    <t>TX0126641_001</t>
  </si>
  <si>
    <t>TX0134911_001</t>
  </si>
  <si>
    <t>TX0137481_001</t>
  </si>
  <si>
    <t>TX0022390_001</t>
  </si>
  <si>
    <t>TX0024082_001</t>
  </si>
  <si>
    <t>TX0030040_002</t>
  </si>
  <si>
    <t>TX0052639_001</t>
  </si>
  <si>
    <t>TX0052639_002</t>
  </si>
  <si>
    <t>TX0053074_001</t>
  </si>
  <si>
    <t>TX0063681_001</t>
  </si>
  <si>
    <t>TX0063681_002</t>
  </si>
  <si>
    <t>TX0063681_007</t>
  </si>
  <si>
    <t>TX0063681_014</t>
  </si>
  <si>
    <t>TX0063690_001</t>
  </si>
  <si>
    <t>TX0063690_003</t>
  </si>
  <si>
    <t>TX0063690_006</t>
  </si>
  <si>
    <t>TX0063690_007</t>
  </si>
  <si>
    <t>TX0063690_008</t>
  </si>
  <si>
    <t>TX0063690_009</t>
  </si>
  <si>
    <t>TX0063690_011</t>
  </si>
  <si>
    <t>TX0063690_013</t>
  </si>
  <si>
    <t>TX0063690_015</t>
  </si>
  <si>
    <t>TX0063703_001</t>
  </si>
  <si>
    <t>TX0065641_001</t>
  </si>
  <si>
    <t>TX0074331_001</t>
  </si>
  <si>
    <t>TX0074799_001</t>
  </si>
  <si>
    <t>TX0077232_001</t>
  </si>
  <si>
    <t>TX0077801_001</t>
  </si>
  <si>
    <t>TX0077801_002</t>
  </si>
  <si>
    <t>TX0077801_004</t>
  </si>
  <si>
    <t>TX0077801_005</t>
  </si>
  <si>
    <t>TX0095583_001</t>
  </si>
  <si>
    <t>TX0117536_001</t>
  </si>
  <si>
    <t>TX0126969_001</t>
  </si>
  <si>
    <t>TX0129861_001</t>
  </si>
  <si>
    <t>TX0133094_001</t>
  </si>
  <si>
    <t>TX0134775_001</t>
  </si>
  <si>
    <t>TX0136361_001</t>
  </si>
  <si>
    <t>TX0133825_001</t>
  </si>
  <si>
    <t>TX0022411_001</t>
  </si>
  <si>
    <t>TX0022675_001</t>
  </si>
  <si>
    <t>TX0027774_001</t>
  </si>
  <si>
    <t>TX0117650_001</t>
  </si>
  <si>
    <t>TX0129984_001</t>
  </si>
  <si>
    <t>TX0024465_001</t>
  </si>
  <si>
    <t>TX0131831_001</t>
  </si>
  <si>
    <t>TX0107743_001</t>
  </si>
  <si>
    <t>TX0133442_001</t>
  </si>
  <si>
    <t>TX0052850_001</t>
  </si>
  <si>
    <t>TX0054232_001</t>
  </si>
  <si>
    <t>TX0056227_001</t>
  </si>
  <si>
    <t>TX0003875_001</t>
  </si>
  <si>
    <t>TX0003875_002</t>
  </si>
  <si>
    <t>TX0003875_003</t>
  </si>
  <si>
    <t>TX0003875_004</t>
  </si>
  <si>
    <t>TX0003875_005</t>
  </si>
  <si>
    <t>TX0003875_006</t>
  </si>
  <si>
    <t>TX0003875_007</t>
  </si>
  <si>
    <t>TX0004821_002</t>
  </si>
  <si>
    <t>TX0004821_004</t>
  </si>
  <si>
    <t>TX0004821_005</t>
  </si>
  <si>
    <t>TX0006033_001</t>
  </si>
  <si>
    <t>TX0006033_002</t>
  </si>
  <si>
    <t>TX0006033_004</t>
  </si>
  <si>
    <t>TX0006033_005</t>
  </si>
  <si>
    <t>TX0007528_009</t>
  </si>
  <si>
    <t>TX0007528_001</t>
  </si>
  <si>
    <t>TX0007528_004</t>
  </si>
  <si>
    <t>TX0007528_005</t>
  </si>
  <si>
    <t>TX0007536_003</t>
  </si>
  <si>
    <t>TX0007536_009</t>
  </si>
  <si>
    <t>TX0007536_010</t>
  </si>
  <si>
    <t>TX0007536_011</t>
  </si>
  <si>
    <t>TX0023337_001</t>
  </si>
  <si>
    <t>TX0024554_001</t>
  </si>
  <si>
    <t>TX0025283_001</t>
  </si>
  <si>
    <t>TX0032735_001</t>
  </si>
  <si>
    <t>TX0032743_001</t>
  </si>
  <si>
    <t>TX0034436_001</t>
  </si>
  <si>
    <t>TX0056057_001</t>
  </si>
  <si>
    <t>TX0056316_001</t>
  </si>
  <si>
    <t>TX0056707_001</t>
  </si>
  <si>
    <t>TX0072168_001</t>
  </si>
  <si>
    <t>TX0072591_001</t>
  </si>
  <si>
    <t>TX0078646_002</t>
  </si>
  <si>
    <t>TX0079260_001</t>
  </si>
  <si>
    <t>TX0085383_001</t>
  </si>
  <si>
    <t>TX0086118_001</t>
  </si>
  <si>
    <t>TX0088366_001</t>
  </si>
  <si>
    <t>TX0092401_001</t>
  </si>
  <si>
    <t>TX0092614_001</t>
  </si>
  <si>
    <t>TX0093823_001</t>
  </si>
  <si>
    <t>TX0095770_001</t>
  </si>
  <si>
    <t>TX0109886_001</t>
  </si>
  <si>
    <t>TX0114995_001</t>
  </si>
  <si>
    <t>TX0117501_001</t>
  </si>
  <si>
    <t>TX0117927_001</t>
  </si>
  <si>
    <t>TX0118001_001</t>
  </si>
  <si>
    <t>TX0122823_001</t>
  </si>
  <si>
    <t>TX0123994_001</t>
  </si>
  <si>
    <t>TX0124001_001</t>
  </si>
  <si>
    <t>TX0126951_001</t>
  </si>
  <si>
    <t>TX0128163_001</t>
  </si>
  <si>
    <t>TX0129178_001</t>
  </si>
  <si>
    <t>TX0129470_001</t>
  </si>
  <si>
    <t>TX0135283_001</t>
  </si>
  <si>
    <t>TX0093068_001</t>
  </si>
  <si>
    <t>TX0102385_001</t>
  </si>
  <si>
    <t>TX0114855_001</t>
  </si>
  <si>
    <t>TX0119199_001</t>
  </si>
  <si>
    <t>TX0132896_001</t>
  </si>
  <si>
    <t>TX0003522_001</t>
  </si>
  <si>
    <t>TX0003522_002</t>
  </si>
  <si>
    <t>TX0003522_003</t>
  </si>
  <si>
    <t>TX0003522_006</t>
  </si>
  <si>
    <t>TX0003697_001</t>
  </si>
  <si>
    <t>TX0003697_003</t>
  </si>
  <si>
    <t>TX0003697_004</t>
  </si>
  <si>
    <t>TX0003697_005</t>
  </si>
  <si>
    <t>TX0003697_006</t>
  </si>
  <si>
    <t>TX0003697_009</t>
  </si>
  <si>
    <t>TX0003697_012</t>
  </si>
  <si>
    <t>TX0003697_014</t>
  </si>
  <si>
    <t>TX0003727_002</t>
  </si>
  <si>
    <t>TX0003867_001</t>
  </si>
  <si>
    <t>TX0004766_005</t>
  </si>
  <si>
    <t>TX0004766_001</t>
  </si>
  <si>
    <t>TX0004766_002</t>
  </si>
  <si>
    <t>TX0004766_003</t>
  </si>
  <si>
    <t>TX0004766_004</t>
  </si>
  <si>
    <t>TX0005754_001</t>
  </si>
  <si>
    <t>TX0005754_004</t>
  </si>
  <si>
    <t>TX0005762_002</t>
  </si>
  <si>
    <t>TX0005762_003</t>
  </si>
  <si>
    <t>TX0007323_001</t>
  </si>
  <si>
    <t>TX0007323_003</t>
  </si>
  <si>
    <t>TX0020061_001</t>
  </si>
  <si>
    <t>TX0020079_001</t>
  </si>
  <si>
    <t>TX0020311_001</t>
  </si>
  <si>
    <t>TX0021369_001</t>
  </si>
  <si>
    <t>TX0021822_001</t>
  </si>
  <si>
    <t>TX0023655_001</t>
  </si>
  <si>
    <t>TX0023671_001</t>
  </si>
  <si>
    <t>TX0023949_001</t>
  </si>
  <si>
    <t>TX0027791_001</t>
  </si>
  <si>
    <t>TX0047309_001</t>
  </si>
  <si>
    <t>TX0062243_001</t>
  </si>
  <si>
    <t>TX0063231_001</t>
  </si>
  <si>
    <t>TX0066125_001</t>
  </si>
  <si>
    <t>TX0071978_001</t>
  </si>
  <si>
    <t>TX0075311_007</t>
  </si>
  <si>
    <t>TX0075311_001</t>
  </si>
  <si>
    <t>TX0075311_002</t>
  </si>
  <si>
    <t>TX0075311_003</t>
  </si>
  <si>
    <t>TX0075311_004</t>
  </si>
  <si>
    <t>TX0075311_005</t>
  </si>
  <si>
    <t>TX0075311_006</t>
  </si>
  <si>
    <t>TX0078441_001</t>
  </si>
  <si>
    <t>TX0085618_001</t>
  </si>
  <si>
    <t>TX0086568_001</t>
  </si>
  <si>
    <t>TX0089753_001</t>
  </si>
  <si>
    <t>TX0094129_001</t>
  </si>
  <si>
    <t>TX0108367_001</t>
  </si>
  <si>
    <t>TX0114821_001</t>
  </si>
  <si>
    <t>TX0117757_001</t>
  </si>
  <si>
    <t>TX0119458_001</t>
  </si>
  <si>
    <t>TX0119482_001</t>
  </si>
  <si>
    <t>TX0124761_001</t>
  </si>
  <si>
    <t>TX0126977_001</t>
  </si>
  <si>
    <t>TX0133043_001</t>
  </si>
  <si>
    <t>TX0137286_001</t>
  </si>
  <si>
    <t>TX0002933_001</t>
  </si>
  <si>
    <t>TX0004944_001</t>
  </si>
  <si>
    <t>TX0005380_001</t>
  </si>
  <si>
    <t>TX0006483_001</t>
  </si>
  <si>
    <t>TX0006483_002</t>
  </si>
  <si>
    <t>TX0006483_003</t>
  </si>
  <si>
    <t>TX0006483_004</t>
  </si>
  <si>
    <t>TX0007293_001</t>
  </si>
  <si>
    <t>TX0008001_001</t>
  </si>
  <si>
    <t>TX0022250_001</t>
  </si>
  <si>
    <t>TX0022543_001</t>
  </si>
  <si>
    <t>TX0022799_001</t>
  </si>
  <si>
    <t>TX0023833_001</t>
  </si>
  <si>
    <t>TX0024589_001</t>
  </si>
  <si>
    <t>TX0027146_001</t>
  </si>
  <si>
    <t>TX0027260_001</t>
  </si>
  <si>
    <t>TX0030228_003</t>
  </si>
  <si>
    <t>TX0030228_001</t>
  </si>
  <si>
    <t>TX0069493_001</t>
  </si>
  <si>
    <t>TX0069493_002</t>
  </si>
  <si>
    <t>TX0069493_003</t>
  </si>
  <si>
    <t>TX0069493_004</t>
  </si>
  <si>
    <t>TX0069493_005</t>
  </si>
  <si>
    <t>TX0069493_006</t>
  </si>
  <si>
    <t>TX0075302_001</t>
  </si>
  <si>
    <t>TX0075302_002</t>
  </si>
  <si>
    <t>TX0075302_003</t>
  </si>
  <si>
    <t>TX0075302_004</t>
  </si>
  <si>
    <t>TX0075302_005</t>
  </si>
  <si>
    <t>TX0084581_002</t>
  </si>
  <si>
    <t>TX0084581_001</t>
  </si>
  <si>
    <t>TX0089192_001</t>
  </si>
  <si>
    <t>TX0091227_001</t>
  </si>
  <si>
    <t>TX0111350_001</t>
  </si>
  <si>
    <t>TX0118389_001</t>
  </si>
  <si>
    <t>TX0118389_002</t>
  </si>
  <si>
    <t>TX0129488_001</t>
  </si>
  <si>
    <t>TX0131806_001</t>
  </si>
  <si>
    <t>TX0133540_001</t>
  </si>
  <si>
    <t>TX0135119_001</t>
  </si>
  <si>
    <t>TX0116882_001</t>
  </si>
  <si>
    <t>TX0025747_001</t>
  </si>
  <si>
    <t>TX0053643_001</t>
  </si>
  <si>
    <t>TX0078751_001</t>
  </si>
  <si>
    <t>TX0078964_001</t>
  </si>
  <si>
    <t>TX0085448_001</t>
  </si>
  <si>
    <t>TX0087157_001</t>
  </si>
  <si>
    <t>TX0087271_001</t>
  </si>
  <si>
    <t>TX0098957_001</t>
  </si>
  <si>
    <t>TX0098965_001</t>
  </si>
  <si>
    <t>TX0099856_001</t>
  </si>
  <si>
    <t>TX0100137_001</t>
  </si>
  <si>
    <t>TX0118109_001</t>
  </si>
  <si>
    <t>TX0119873_001</t>
  </si>
  <si>
    <t>TX0124851_001</t>
  </si>
  <si>
    <t>TX0126004_001</t>
  </si>
  <si>
    <t>TX0126527_001</t>
  </si>
  <si>
    <t>TX0126624_001</t>
  </si>
  <si>
    <t>TX0126675_001</t>
  </si>
  <si>
    <t>TX0128708_001</t>
  </si>
  <si>
    <t>TX0129062_001</t>
  </si>
  <si>
    <t>TX0133779_001</t>
  </si>
  <si>
    <t>TX0134261_001</t>
  </si>
  <si>
    <t>TX0106119_001</t>
  </si>
  <si>
    <t>TX0128333_001</t>
  </si>
  <si>
    <t>TX0002976_001</t>
  </si>
  <si>
    <t>TX0002976_002</t>
  </si>
  <si>
    <t>TX0002976_003</t>
  </si>
  <si>
    <t>TX0002976_006</t>
  </si>
  <si>
    <t>TX0002976_007</t>
  </si>
  <si>
    <t>TX0002976_008</t>
  </si>
  <si>
    <t>TX0003239_001</t>
  </si>
  <si>
    <t>TX0003247_003</t>
  </si>
  <si>
    <t>TX0003531_001</t>
  </si>
  <si>
    <t>TX0003531_002</t>
  </si>
  <si>
    <t>TX0003531_004</t>
  </si>
  <si>
    <t>TX0003689_001</t>
  </si>
  <si>
    <t>TX0003689_002</t>
  </si>
  <si>
    <t>TX0004022_003</t>
  </si>
  <si>
    <t>TX0004626_003</t>
  </si>
  <si>
    <t>TX0004626_001</t>
  </si>
  <si>
    <t>TX0004626_002</t>
  </si>
  <si>
    <t>TX0004731_001</t>
  </si>
  <si>
    <t>TX0004731_003</t>
  </si>
  <si>
    <t>TX0004731_004</t>
  </si>
  <si>
    <t>TX0004863_001</t>
  </si>
  <si>
    <t>TX0004863_002</t>
  </si>
  <si>
    <t>TX0004863_004</t>
  </si>
  <si>
    <t>TX0004863_005</t>
  </si>
  <si>
    <t>TX0004871_001</t>
  </si>
  <si>
    <t>TX0004871_002</t>
  </si>
  <si>
    <t>TX0004871_003</t>
  </si>
  <si>
    <t>TX0004871_004</t>
  </si>
  <si>
    <t>TX0004871_006</t>
  </si>
  <si>
    <t>TX0004871_007</t>
  </si>
  <si>
    <t>TX0004871_008</t>
  </si>
  <si>
    <t>TX0004871_009</t>
  </si>
  <si>
    <t>TX0004961_001</t>
  </si>
  <si>
    <t>TX0004961_002</t>
  </si>
  <si>
    <t>TX0004961_003</t>
  </si>
  <si>
    <t>TX0004961_004</t>
  </si>
  <si>
    <t>TX0004961_005</t>
  </si>
  <si>
    <t>TX0004961_006</t>
  </si>
  <si>
    <t>TX0004961_007</t>
  </si>
  <si>
    <t>TX0005061_001</t>
  </si>
  <si>
    <t>TX0005061_003</t>
  </si>
  <si>
    <t>TX0005479_001</t>
  </si>
  <si>
    <t>TX0005576_001</t>
  </si>
  <si>
    <t>TX0005584_001</t>
  </si>
  <si>
    <t>TX0005584_002</t>
  </si>
  <si>
    <t>TX0005584_003</t>
  </si>
  <si>
    <t>TX0005584_004</t>
  </si>
  <si>
    <t>TX0005584_005</t>
  </si>
  <si>
    <t>TX0005860_001</t>
  </si>
  <si>
    <t>TX0005860_002</t>
  </si>
  <si>
    <t>TX0005941_002</t>
  </si>
  <si>
    <t>TX0005941_003</t>
  </si>
  <si>
    <t>TX0005941_004</t>
  </si>
  <si>
    <t>TX0006009_002</t>
  </si>
  <si>
    <t>TX0006009_004</t>
  </si>
  <si>
    <t>TX0006009_006</t>
  </si>
  <si>
    <t>TX0006009_007</t>
  </si>
  <si>
    <t>TX0006009_009</t>
  </si>
  <si>
    <t>TX0006068_001</t>
  </si>
  <si>
    <t>TX0006068_002</t>
  </si>
  <si>
    <t>TX0006084_001</t>
  </si>
  <si>
    <t>TX0006084_009</t>
  </si>
  <si>
    <t>TX0006084_011</t>
  </si>
  <si>
    <t>TX0006271_001</t>
  </si>
  <si>
    <t>TX0006271_003</t>
  </si>
  <si>
    <t>TX0006335_001</t>
  </si>
  <si>
    <t>TX0006386_001</t>
  </si>
  <si>
    <t>TX0006386_002</t>
  </si>
  <si>
    <t>TX0006394_001</t>
  </si>
  <si>
    <t>TX0006394_003</t>
  </si>
  <si>
    <t>TX0006394_004</t>
  </si>
  <si>
    <t>TX0006394_005</t>
  </si>
  <si>
    <t>TX0006459_001</t>
  </si>
  <si>
    <t>TX0006459_002</t>
  </si>
  <si>
    <t>TX0006459_003</t>
  </si>
  <si>
    <t>TX0006459_004</t>
  </si>
  <si>
    <t>TX0006459_005</t>
  </si>
  <si>
    <t>TX0006459_006</t>
  </si>
  <si>
    <t>TX0007048_002</t>
  </si>
  <si>
    <t>TX0007048_003</t>
  </si>
  <si>
    <t>TX0007048_004</t>
  </si>
  <si>
    <t>TX0007048_007</t>
  </si>
  <si>
    <t>TX0007056_001</t>
  </si>
  <si>
    <t>TX0007064_001</t>
  </si>
  <si>
    <t>TX0007064_002</t>
  </si>
  <si>
    <t>TX0007064_003</t>
  </si>
  <si>
    <t>TX0007064_004</t>
  </si>
  <si>
    <t>TX0007064_005</t>
  </si>
  <si>
    <t>TX0007072_001</t>
  </si>
  <si>
    <t>TX0007145_003</t>
  </si>
  <si>
    <t>TX0007145_001</t>
  </si>
  <si>
    <t>TX0007145_002</t>
  </si>
  <si>
    <t>TX0007285_001</t>
  </si>
  <si>
    <t>TX0007285_002</t>
  </si>
  <si>
    <t>TX0007285_003</t>
  </si>
  <si>
    <t>TX0007412_002</t>
  </si>
  <si>
    <t>TX0007412_003</t>
  </si>
  <si>
    <t>TX0007412_004</t>
  </si>
  <si>
    <t>TX0007412_005</t>
  </si>
  <si>
    <t>TX0007439_001</t>
  </si>
  <si>
    <t>TX0007439_003</t>
  </si>
  <si>
    <t>TX0008150_001</t>
  </si>
  <si>
    <t>TX0008150_002</t>
  </si>
  <si>
    <t>TX0008184_001</t>
  </si>
  <si>
    <t>TX0008524_003</t>
  </si>
  <si>
    <t>TX0008524_009</t>
  </si>
  <si>
    <t>TX0008851_001</t>
  </si>
  <si>
    <t>TX0020052_001</t>
  </si>
  <si>
    <t>TX0020095_001</t>
  </si>
  <si>
    <t>TX0020320_001</t>
  </si>
  <si>
    <t>TX0020478_001</t>
  </si>
  <si>
    <t>TX0020613_001</t>
  </si>
  <si>
    <t>TX0020788_001</t>
  </si>
  <si>
    <t>TX0020800_001</t>
  </si>
  <si>
    <t>TX0020974_001</t>
  </si>
  <si>
    <t>TX0020991_001</t>
  </si>
  <si>
    <t>TX0021211_001</t>
  </si>
  <si>
    <t>TX0021237_001</t>
  </si>
  <si>
    <t>TX0021245_001</t>
  </si>
  <si>
    <t>TX0021253_001</t>
  </si>
  <si>
    <t>TX0021261_001</t>
  </si>
  <si>
    <t>TX0021270_001</t>
  </si>
  <si>
    <t>TX0021512_001</t>
  </si>
  <si>
    <t>TX0022381_001</t>
  </si>
  <si>
    <t>TX0022462_001</t>
  </si>
  <si>
    <t>TX0022756_001</t>
  </si>
  <si>
    <t>TX0022853_001</t>
  </si>
  <si>
    <t>TX0023230_001</t>
  </si>
  <si>
    <t>TX0023311_001</t>
  </si>
  <si>
    <t>TX0023515_001</t>
  </si>
  <si>
    <t>TX0023612_001</t>
  </si>
  <si>
    <t>TX0023825_001</t>
  </si>
  <si>
    <t>TX0023841_001</t>
  </si>
  <si>
    <t>TX0025062_001</t>
  </si>
  <si>
    <t>TX0025291_001</t>
  </si>
  <si>
    <t>TX0025321_001</t>
  </si>
  <si>
    <t>TX0025402_001</t>
  </si>
  <si>
    <t>TX0025623_001</t>
  </si>
  <si>
    <t>TX0026255_001</t>
  </si>
  <si>
    <t>TX0026263_001</t>
  </si>
  <si>
    <t>TX0026344_001</t>
  </si>
  <si>
    <t>TX0026352_001</t>
  </si>
  <si>
    <t>TX0026395_001</t>
  </si>
  <si>
    <t>TX0026433_001</t>
  </si>
  <si>
    <t>TX0026450_001</t>
  </si>
  <si>
    <t>TX0026697_001</t>
  </si>
  <si>
    <t>TX0026875_001</t>
  </si>
  <si>
    <t>TX0027111_001</t>
  </si>
  <si>
    <t>TX0027201_001</t>
  </si>
  <si>
    <t>TX0027324_001</t>
  </si>
  <si>
    <t>TX0027707_001</t>
  </si>
  <si>
    <t>TX0030929_002</t>
  </si>
  <si>
    <t>TX0030929_001</t>
  </si>
  <si>
    <t>TX0030937_001</t>
  </si>
  <si>
    <t>TX0030988_001</t>
  </si>
  <si>
    <t>TX0031461_001</t>
  </si>
  <si>
    <t>TX0031534_021</t>
  </si>
  <si>
    <t>TX0031534_001</t>
  </si>
  <si>
    <t>TX0032034_001</t>
  </si>
  <si>
    <t>TX0032085_001</t>
  </si>
  <si>
    <t>TX0032093_001</t>
  </si>
  <si>
    <t>TX0033189_001</t>
  </si>
  <si>
    <t>TX0033243_001</t>
  </si>
  <si>
    <t>TX0034428_001</t>
  </si>
  <si>
    <t>TX0034916_001</t>
  </si>
  <si>
    <t>TX0034924_001</t>
  </si>
  <si>
    <t>TX0035009_001</t>
  </si>
  <si>
    <t>TX0035017_001</t>
  </si>
  <si>
    <t>TX0035106_001</t>
  </si>
  <si>
    <t>TX0042099_001</t>
  </si>
  <si>
    <t>TX0042129_001</t>
  </si>
  <si>
    <t>TX0042129_002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</si>
  <si>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</si>
  <si>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</si>
  <si>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</si>
  <si>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</si>
  <si>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</si>
  <si>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</si>
  <si>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</si>
  <si>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</si>
  <si>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TX0046761_001</t>
  </si>
  <si>
    <t>TX0046779_001</t>
  </si>
  <si>
    <t>TX0046817_001</t>
  </si>
  <si>
    <t>TX0046833_001</t>
  </si>
  <si>
    <t>TX0046841_001</t>
  </si>
  <si>
    <t>TX0046868_001</t>
  </si>
  <si>
    <t>TX0047457_001</t>
  </si>
  <si>
    <t>TX0052591_001</t>
  </si>
  <si>
    <t>TX0052825_001</t>
  </si>
  <si>
    <t>TX0052906_001</t>
  </si>
  <si>
    <t>TX0053023_001</t>
  </si>
  <si>
    <t>TX0053091_001</t>
  </si>
  <si>
    <t>TX0053325_001</t>
  </si>
  <si>
    <t>TX0053872_001</t>
  </si>
  <si>
    <t>TX0053970_001</t>
  </si>
  <si>
    <t>TX0054151_001</t>
  </si>
  <si>
    <t>TX0055166_001</t>
  </si>
  <si>
    <t>TX0055310_001</t>
  </si>
  <si>
    <t>TX0056481_001</t>
  </si>
  <si>
    <t>TX0056537_001</t>
  </si>
  <si>
    <t>TX0056952_001</t>
  </si>
  <si>
    <t>TX0057029_001</t>
  </si>
  <si>
    <t>TX0057053_001</t>
  </si>
  <si>
    <t>TX0057185_001</t>
  </si>
  <si>
    <t>TX0057304_001</t>
  </si>
  <si>
    <t>TX0057347_001</t>
  </si>
  <si>
    <t>TX0057843_001</t>
  </si>
  <si>
    <t>TX0058424_001</t>
  </si>
  <si>
    <t>TX0058530_001</t>
  </si>
  <si>
    <t>TX0058548_001</t>
  </si>
  <si>
    <t>TX0058963_001</t>
  </si>
  <si>
    <t>TX0062031_001</t>
  </si>
  <si>
    <t>TX0062049_001</t>
  </si>
  <si>
    <t>TX0062235_001</t>
  </si>
  <si>
    <t>TX0062642_001</t>
  </si>
  <si>
    <t>TX0062952_001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</si>
  <si>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</si>
  <si>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</si>
  <si>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</si>
  <si>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</si>
  <si>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</si>
  <si>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</si>
  <si>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TX0063053_001</t>
  </si>
  <si>
    <t>TX0063053_003</t>
  </si>
  <si>
    <t>TX0063061_001</t>
  </si>
  <si>
    <t>TX0063070_001</t>
  </si>
  <si>
    <t>TX0063355_001</t>
  </si>
  <si>
    <t>TX0063355_002</t>
  </si>
  <si>
    <t>TX0063355_003</t>
  </si>
  <si>
    <t>TX0063355_004</t>
  </si>
  <si>
    <t>TX0063355_005</t>
  </si>
  <si>
    <t>TX0063355_006</t>
  </si>
  <si>
    <t>TX0063355_007</t>
  </si>
  <si>
    <t>TX0063355_008</t>
  </si>
  <si>
    <t>TX0063479_001</t>
  </si>
  <si>
    <t>TX0063860_001</t>
  </si>
  <si>
    <t>TX0063878_001</t>
  </si>
  <si>
    <t>TX0064734_001</t>
  </si>
  <si>
    <t>TX0065307_001</t>
  </si>
  <si>
    <t>TX0065986_001</t>
  </si>
  <si>
    <t>TX0066478_001</t>
  </si>
  <si>
    <t>TX0067539_001</t>
  </si>
  <si>
    <t>TX0068047_001</t>
  </si>
  <si>
    <t>TX0068349_001</t>
  </si>
  <si>
    <t>TX0068349_002</t>
  </si>
  <si>
    <t>TX0068349_003</t>
  </si>
  <si>
    <t>TX0068349_004</t>
  </si>
  <si>
    <t>TX0068349_005</t>
  </si>
  <si>
    <t>TX0068349_006</t>
  </si>
  <si>
    <t>TX0068349_008</t>
  </si>
  <si>
    <t>TX0068349_010</t>
  </si>
  <si>
    <t>TX0069582_001</t>
  </si>
  <si>
    <t>TX0069728_001</t>
  </si>
  <si>
    <t>TX0069736_001</t>
  </si>
  <si>
    <t>TX0070165_001</t>
  </si>
  <si>
    <t>TX0070416_001</t>
  </si>
  <si>
    <t>TX0070416_002</t>
  </si>
  <si>
    <t>TX0070416_003</t>
  </si>
  <si>
    <t>TX0070611_001</t>
  </si>
  <si>
    <t>TX0070645_001</t>
  </si>
  <si>
    <t>TX0070769_001</t>
  </si>
  <si>
    <t>TX0070971_001</t>
  </si>
  <si>
    <t>TX0071251_001</t>
  </si>
  <si>
    <t>TX0071382_001</t>
  </si>
  <si>
    <t>TX0071528_001</t>
  </si>
  <si>
    <t>TX0071609_001</t>
  </si>
  <si>
    <t>TX0071625_001</t>
  </si>
  <si>
    <t>TX0071820_001</t>
  </si>
  <si>
    <t>TX0072150_001</t>
  </si>
  <si>
    <t>TX0072184_001</t>
  </si>
  <si>
    <t>TX0072320_001</t>
  </si>
  <si>
    <t>TX0072320_002</t>
  </si>
  <si>
    <t>TX0072320_003</t>
  </si>
  <si>
    <t>TX0072320_004</t>
  </si>
  <si>
    <t>TX0072320_006</t>
  </si>
  <si>
    <t>TX0072346_001</t>
  </si>
  <si>
    <t>TX0072354_001</t>
  </si>
  <si>
    <t>TX0072524_001</t>
  </si>
  <si>
    <t>TX0072567_001</t>
  </si>
  <si>
    <t>TX0072893_001</t>
  </si>
  <si>
    <t>TX0073105_001</t>
  </si>
  <si>
    <t>TX0074004_001</t>
  </si>
  <si>
    <t>TX0074021_001</t>
  </si>
  <si>
    <t>TX0074136_001</t>
  </si>
  <si>
    <t>TX0074217_001</t>
  </si>
  <si>
    <t>TX0074276_001</t>
  </si>
  <si>
    <t>TX0074276_002</t>
  </si>
  <si>
    <t>TX0074276_003</t>
  </si>
  <si>
    <t>TX0074292_001</t>
  </si>
  <si>
    <t>TX0074322_001</t>
  </si>
  <si>
    <t>TX0074403_001</t>
  </si>
  <si>
    <t>TX0074446_001</t>
  </si>
  <si>
    <t>TX0074632_001</t>
  </si>
  <si>
    <t>TX0074896_001</t>
  </si>
  <si>
    <t>TX0075132_001</t>
  </si>
  <si>
    <t>TX0075159_001</t>
  </si>
  <si>
    <t>TX0075183_001</t>
  </si>
  <si>
    <t>TX0075221_001</t>
  </si>
  <si>
    <t>TX0075663_001</t>
  </si>
  <si>
    <t>TX0075671_001</t>
  </si>
  <si>
    <t>TX0075698_001</t>
  </si>
  <si>
    <t>TX0075795_001</t>
  </si>
  <si>
    <t>TX0075841_001</t>
  </si>
  <si>
    <t>TX0075884_001</t>
  </si>
  <si>
    <t>TX0075981_001</t>
  </si>
  <si>
    <t>TX0076481_001</t>
  </si>
  <si>
    <t>TX0076651_001</t>
  </si>
  <si>
    <t>TX0076660_001</t>
  </si>
  <si>
    <t>TX0076775_001</t>
  </si>
  <si>
    <t>TX0076791_001</t>
  </si>
  <si>
    <t>TX0076856_001</t>
  </si>
  <si>
    <t>TX0076945_001</t>
  </si>
  <si>
    <t>TX0076996_001</t>
  </si>
  <si>
    <t>TX0076996_002</t>
  </si>
  <si>
    <t>TX0076996_003</t>
  </si>
  <si>
    <t>TX0077062_001</t>
  </si>
  <si>
    <t>TX0077534_001</t>
  </si>
  <si>
    <t>TX0077887_002</t>
  </si>
  <si>
    <t>TX0077941_001</t>
  </si>
  <si>
    <t>TX0078433_001</t>
  </si>
  <si>
    <t>TX0078808_001</t>
  </si>
  <si>
    <t>TX0078824_001</t>
  </si>
  <si>
    <t>TX0078883_001</t>
  </si>
  <si>
    <t>TX0078930_001</t>
  </si>
  <si>
    <t>TX0079146_001</t>
  </si>
  <si>
    <t>TX0079201_001</t>
  </si>
  <si>
    <t>TX0079359_001</t>
  </si>
  <si>
    <t>TX0079529_001</t>
  </si>
  <si>
    <t>TX0079537_001</t>
  </si>
  <si>
    <t>TX0079561_004</t>
  </si>
  <si>
    <t>TX0079561_001</t>
  </si>
  <si>
    <t>TX0079561_002</t>
  </si>
  <si>
    <t>TX0079561_003</t>
  </si>
  <si>
    <t>TX0079618_001</t>
  </si>
  <si>
    <t>TX0079634_001</t>
  </si>
  <si>
    <t>TX0079707_001</t>
  </si>
  <si>
    <t>TX0079821_001</t>
  </si>
  <si>
    <t>TX0081256_001</t>
  </si>
  <si>
    <t>TX0081264_001</t>
  </si>
  <si>
    <t>TX0082317_001</t>
  </si>
  <si>
    <t>TX0082830_001</t>
  </si>
  <si>
    <t>TX0082988_001</t>
  </si>
  <si>
    <t>TX0083381_001</t>
  </si>
  <si>
    <t>TX0083429_001</t>
  </si>
  <si>
    <t>TX0083496_001</t>
  </si>
  <si>
    <t>TX0083500_001</t>
  </si>
  <si>
    <t>TX0083712_001</t>
  </si>
  <si>
    <t>TX0083801_001</t>
  </si>
  <si>
    <t>TX0083933_001</t>
  </si>
  <si>
    <t>TX0084085_001</t>
  </si>
  <si>
    <t>TX0084093_001</t>
  </si>
  <si>
    <t>TX0084115_001</t>
  </si>
  <si>
    <t>TX0084115_002</t>
  </si>
  <si>
    <t>TX0084115_003</t>
  </si>
  <si>
    <t>TX0084298_001</t>
  </si>
  <si>
    <t>TX0084425_001</t>
  </si>
  <si>
    <t>TX0084468_001</t>
  </si>
  <si>
    <t>TX0084484_001</t>
  </si>
  <si>
    <t>TX0084531_001</t>
  </si>
  <si>
    <t>TX0084671_001</t>
  </si>
  <si>
    <t>TX0084760_001</t>
  </si>
  <si>
    <t>TX0084808_001</t>
  </si>
  <si>
    <t>TX0084875_001</t>
  </si>
  <si>
    <t>TX0085332_001</t>
  </si>
  <si>
    <t>TX0085413_001</t>
  </si>
  <si>
    <t>TX0085588_001</t>
  </si>
  <si>
    <t>TX0085871_001</t>
  </si>
  <si>
    <t>TX0085979_001</t>
  </si>
  <si>
    <t>TX0085979_002</t>
  </si>
  <si>
    <t>TX0086002_003</t>
  </si>
  <si>
    <t>TX0086002_001</t>
  </si>
  <si>
    <t>TX0086011_001</t>
  </si>
  <si>
    <t>TX0086100_001</t>
  </si>
  <si>
    <t>TX0086185_001</t>
  </si>
  <si>
    <t>TX0086690_001</t>
  </si>
  <si>
    <t>TX0087173_001</t>
  </si>
  <si>
    <t>TX0087173_002</t>
  </si>
  <si>
    <t>TX0087491_001</t>
  </si>
  <si>
    <t>TX0087785_001</t>
  </si>
  <si>
    <t>TX0087971_001</t>
  </si>
  <si>
    <t>TX0087971_002</t>
  </si>
  <si>
    <t>TX0087998_001</t>
  </si>
  <si>
    <t>TX0088102_001</t>
  </si>
  <si>
    <t>TX0088153_001</t>
  </si>
  <si>
    <t>TX0088455_001</t>
  </si>
  <si>
    <t>TX0088501_001</t>
  </si>
  <si>
    <t>TX0088650_001</t>
  </si>
  <si>
    <t>TX0088838_001</t>
  </si>
  <si>
    <t>TX0088927_001</t>
  </si>
  <si>
    <t>TX0089061_001</t>
  </si>
  <si>
    <t>TX0089109_002</t>
  </si>
  <si>
    <t>TX0089109_001</t>
  </si>
  <si>
    <t>TX0089125_001</t>
  </si>
  <si>
    <t>TX0089184_001</t>
  </si>
  <si>
    <t>TX0089281_001</t>
  </si>
  <si>
    <t>TX0089346_001</t>
  </si>
  <si>
    <t>TX0089494_001</t>
  </si>
  <si>
    <t>TX0089516_001</t>
  </si>
  <si>
    <t>TX0089567_001</t>
  </si>
  <si>
    <t>TX0089567_002</t>
  </si>
  <si>
    <t>TX0089621_001</t>
  </si>
  <si>
    <t>TX0089940_005</t>
  </si>
  <si>
    <t>TX0089940_001</t>
  </si>
  <si>
    <t>TX0089940_004</t>
  </si>
  <si>
    <t>TX0090115_001</t>
  </si>
  <si>
    <t>TX0090344_001</t>
  </si>
  <si>
    <t>TX0090476_001</t>
  </si>
  <si>
    <t>TX0090492_001</t>
  </si>
  <si>
    <t>TX0090506_001</t>
  </si>
  <si>
    <t>TX0090735_001</t>
  </si>
  <si>
    <t>TX0090824_001</t>
  </si>
  <si>
    <t>TX0090841_001</t>
  </si>
  <si>
    <t>TX0091171_001</t>
  </si>
  <si>
    <t>TX0091316_001</t>
  </si>
  <si>
    <t>TX0091481_001</t>
  </si>
  <si>
    <t>TX0091626_001</t>
  </si>
  <si>
    <t>TX0091651_001</t>
  </si>
  <si>
    <t>TX0091791_001</t>
  </si>
  <si>
    <t>TX0091804_001</t>
  </si>
  <si>
    <t>TX0091855_001</t>
  </si>
  <si>
    <t>TX0091855_003</t>
  </si>
  <si>
    <t>TX0091855_004</t>
  </si>
  <si>
    <t>TX0091901_001</t>
  </si>
  <si>
    <t>TX0091979_001</t>
  </si>
  <si>
    <t>TX0091987_001</t>
  </si>
  <si>
    <t>TX0092037_001</t>
  </si>
  <si>
    <t>TX0092088_001</t>
  </si>
  <si>
    <t>TX0092282_001</t>
  </si>
  <si>
    <t>TX0092282_003</t>
  </si>
  <si>
    <t>TX0092282_004</t>
  </si>
  <si>
    <t>TX0092282_005</t>
  </si>
  <si>
    <t>TX0092282_006</t>
  </si>
  <si>
    <t>TX0092312_001</t>
  </si>
  <si>
    <t>TX0092584_001</t>
  </si>
  <si>
    <t>TX0092606_001</t>
  </si>
  <si>
    <t>TX0092711_001</t>
  </si>
  <si>
    <t>TX0092894_001</t>
  </si>
  <si>
    <t>TX0092908_001</t>
  </si>
  <si>
    <t>TX0092932_001</t>
  </si>
  <si>
    <t>TX0092967_001</t>
  </si>
  <si>
    <t>TX0092991_001</t>
  </si>
  <si>
    <t>TX0093475_001</t>
  </si>
  <si>
    <t>TX0093556_001</t>
  </si>
  <si>
    <t>TX0093581_001</t>
  </si>
  <si>
    <t>TX0093726_001</t>
  </si>
  <si>
    <t>TX0093891_001</t>
  </si>
  <si>
    <t>TX0094056_001</t>
  </si>
  <si>
    <t>TX0094188_001</t>
  </si>
  <si>
    <t>TX0094226_001</t>
  </si>
  <si>
    <t>TX0094307_002</t>
  </si>
  <si>
    <t>TX0094307_003</t>
  </si>
  <si>
    <t>TX0094463_001</t>
  </si>
  <si>
    <t>TX0094706_001</t>
  </si>
  <si>
    <t>TX0094790_001</t>
  </si>
  <si>
    <t>TX0094803_001</t>
  </si>
  <si>
    <t>TX0094935_001</t>
  </si>
  <si>
    <t>TX0094986_001</t>
  </si>
  <si>
    <t>TX0095451_001</t>
  </si>
  <si>
    <t>TX0095508_001</t>
  </si>
  <si>
    <t>TX0095532_001</t>
  </si>
  <si>
    <t>TX0095559_001</t>
  </si>
  <si>
    <t>TX0095559_002</t>
  </si>
  <si>
    <t>TX0095559_003</t>
  </si>
  <si>
    <t>TX0095656_001</t>
  </si>
  <si>
    <t>TX0095702_001</t>
  </si>
  <si>
    <t>TX0095761_001</t>
  </si>
  <si>
    <t>TX0096172_001</t>
  </si>
  <si>
    <t>TX0096172_002</t>
  </si>
  <si>
    <t>TX0096172_003</t>
  </si>
  <si>
    <t>TX0096920_001</t>
  </si>
  <si>
    <t>TX0097047_001</t>
  </si>
  <si>
    <t>TX0097071_001</t>
  </si>
  <si>
    <t>TX0097209_001</t>
  </si>
  <si>
    <t>TX0097225_001</t>
  </si>
  <si>
    <t>TX0097373_001</t>
  </si>
  <si>
    <t>TX0097527_001</t>
  </si>
  <si>
    <t>TX0097985_001</t>
  </si>
  <si>
    <t>TX0098191_001</t>
  </si>
  <si>
    <t>TX0098434_001</t>
  </si>
  <si>
    <t>TX0098647_001</t>
  </si>
  <si>
    <t>TX0099171_001</t>
  </si>
  <si>
    <t>TX0099597_001</t>
  </si>
  <si>
    <t>TX0100161_001</t>
  </si>
  <si>
    <t>TX0100919_001</t>
  </si>
  <si>
    <t>TX0100919_002</t>
  </si>
  <si>
    <t>TX0101109_001</t>
  </si>
  <si>
    <t>TX0101371_001</t>
  </si>
  <si>
    <t>TX0101460_001</t>
  </si>
  <si>
    <t>TX0101656_001</t>
  </si>
  <si>
    <t>TX0103071_001</t>
  </si>
  <si>
    <t>TX0103578_001</t>
  </si>
  <si>
    <t>TX0103616_001</t>
  </si>
  <si>
    <t>TX0103667_001</t>
  </si>
  <si>
    <t>TX0103721_001</t>
  </si>
  <si>
    <t>TX0103900_001</t>
  </si>
  <si>
    <t>TX0104051_001</t>
  </si>
  <si>
    <t>TX0104531_003</t>
  </si>
  <si>
    <t>TX0104531_004</t>
  </si>
  <si>
    <t>TX0104531_005</t>
  </si>
  <si>
    <t>TX0104795_001</t>
  </si>
  <si>
    <t>TX0104965_001</t>
  </si>
  <si>
    <t>TX0105376_001</t>
  </si>
  <si>
    <t>TX0105406_001</t>
  </si>
  <si>
    <t>TX0105996_001</t>
  </si>
  <si>
    <t>TX0106054_001</t>
  </si>
  <si>
    <t>TX0106054_002</t>
  </si>
  <si>
    <t>TX0106208_001</t>
  </si>
  <si>
    <t>TX0106461_001</t>
  </si>
  <si>
    <t>TX0106542_001</t>
  </si>
  <si>
    <t>TX0108120_001</t>
  </si>
  <si>
    <t>TX0108332_004</t>
  </si>
  <si>
    <t>TX0108332_001</t>
  </si>
  <si>
    <t>TX0108332_002</t>
  </si>
  <si>
    <t>TX0108332_003</t>
  </si>
  <si>
    <t>TX0109126_001</t>
  </si>
  <si>
    <t>TX0111767_001</t>
  </si>
  <si>
    <t>TX0111937_001</t>
  </si>
  <si>
    <t>TX0112259_001</t>
  </si>
  <si>
    <t>TX0112585_001</t>
  </si>
  <si>
    <t>TX0113026_001</t>
  </si>
  <si>
    <t>TX0113107_001</t>
  </si>
  <si>
    <t>TX0113115_001</t>
  </si>
  <si>
    <t>TX0113123_001</t>
  </si>
  <si>
    <t>TX0113131_001</t>
  </si>
  <si>
    <t>TX0113697_001</t>
  </si>
  <si>
    <t>TX0113760_001</t>
  </si>
  <si>
    <t>TX0115797_001</t>
  </si>
  <si>
    <t>TX0115924_001</t>
  </si>
  <si>
    <t>TX0115983_001</t>
  </si>
  <si>
    <t>TX0116009_001</t>
  </si>
  <si>
    <t>TX0116068_001</t>
  </si>
  <si>
    <t>TX0116904_001</t>
  </si>
  <si>
    <t>TX0117064_001</t>
  </si>
  <si>
    <t>TX0117129_001</t>
  </si>
  <si>
    <t>TX0117234_001</t>
  </si>
  <si>
    <t>TX0117421_001</t>
  </si>
  <si>
    <t>TX0117528_001</t>
  </si>
  <si>
    <t>TX0117595_001</t>
  </si>
  <si>
    <t>TX0117633_001</t>
  </si>
  <si>
    <t>TX0117684_001</t>
  </si>
  <si>
    <t>TX0117897_001</t>
  </si>
  <si>
    <t>TX0118095_001</t>
  </si>
  <si>
    <t>TX0118214_004</t>
  </si>
  <si>
    <t>TX0118214_002</t>
  </si>
  <si>
    <t>TX0118214_003</t>
  </si>
  <si>
    <t>TX0118320_001</t>
  </si>
  <si>
    <t>TX0118371_001</t>
  </si>
  <si>
    <t>TX0118575_001</t>
  </si>
  <si>
    <t>TX0118583_001</t>
  </si>
  <si>
    <t>TX0118931_001</t>
  </si>
  <si>
    <t>TX0119041_001</t>
  </si>
  <si>
    <t>TX0119075_001</t>
  </si>
  <si>
    <t>TX0119121_001</t>
  </si>
  <si>
    <t>TX0119181_001</t>
  </si>
  <si>
    <t>TX0119211_001</t>
  </si>
  <si>
    <t>TX0119326_001</t>
  </si>
  <si>
    <t>TX0119431_001</t>
  </si>
  <si>
    <t>TX0119610_001</t>
  </si>
  <si>
    <t>TX0119628_001</t>
  </si>
  <si>
    <t>TX0119792_001</t>
  </si>
  <si>
    <t>TX0119792_003</t>
  </si>
  <si>
    <t>TX0119792_004</t>
  </si>
  <si>
    <t>TX0119792_005</t>
  </si>
  <si>
    <t>TX0119792_006</t>
  </si>
  <si>
    <t>TX0119792_007</t>
  </si>
  <si>
    <t>TX0120189_001</t>
  </si>
  <si>
    <t>TX0122211_001</t>
  </si>
  <si>
    <t>TX0122335_001</t>
  </si>
  <si>
    <t>TX0122521_001</t>
  </si>
  <si>
    <t>TX0122963_001</t>
  </si>
  <si>
    <t>TX0123579_001</t>
  </si>
  <si>
    <t>TX0123978_001</t>
  </si>
  <si>
    <t>TX0124087_001</t>
  </si>
  <si>
    <t>TX0124257_001</t>
  </si>
  <si>
    <t>TX0124265_001</t>
  </si>
  <si>
    <t>TX0124303_001</t>
  </si>
  <si>
    <t>TX0124702_001</t>
  </si>
  <si>
    <t>TX0124907_001</t>
  </si>
  <si>
    <t>TX0124974_001</t>
  </si>
  <si>
    <t>TX0125164_001</t>
  </si>
  <si>
    <t>TX0125326_001</t>
  </si>
  <si>
    <t>TX0125369_002</t>
  </si>
  <si>
    <t>TX0125369_003</t>
  </si>
  <si>
    <t>TX0125661_001</t>
  </si>
  <si>
    <t>TX0125687_001</t>
  </si>
  <si>
    <t>TX0125831_001</t>
  </si>
  <si>
    <t>TX0125881_001</t>
  </si>
  <si>
    <t>TX0125920_001</t>
  </si>
  <si>
    <t>TX0125938_001</t>
  </si>
  <si>
    <t>TX0126101_001</t>
  </si>
  <si>
    <t>TX0126152_001</t>
  </si>
  <si>
    <t>TX0126161_001</t>
  </si>
  <si>
    <t>TX0126268_002</t>
  </si>
  <si>
    <t>TX0126268_001</t>
  </si>
  <si>
    <t>TX0126292_003</t>
  </si>
  <si>
    <t>TX0126446_001</t>
  </si>
  <si>
    <t>TX0126756_001</t>
  </si>
  <si>
    <t>TX0127124_001</t>
  </si>
  <si>
    <t>TX0127311_001</t>
  </si>
  <si>
    <t>TX0127388_001</t>
  </si>
  <si>
    <t>TX0127647_001</t>
  </si>
  <si>
    <t>TX0127728_001</t>
  </si>
  <si>
    <t>TX0127795_001</t>
  </si>
  <si>
    <t>TX0127957_001</t>
  </si>
  <si>
    <t>TX0127981_001</t>
  </si>
  <si>
    <t>TX0128007_001</t>
  </si>
  <si>
    <t>TX0128082_001</t>
  </si>
  <si>
    <t>TX0128180_001</t>
  </si>
  <si>
    <t>TX0128210_001</t>
  </si>
  <si>
    <t>TX0128244_001</t>
  </si>
  <si>
    <t>TX0128261_001</t>
  </si>
  <si>
    <t>TX0128287_001</t>
  </si>
  <si>
    <t>TX0129071_001</t>
  </si>
  <si>
    <t>TX0129330_001</t>
  </si>
  <si>
    <t>TX0129381_001</t>
  </si>
  <si>
    <t>TX0129666_001</t>
  </si>
  <si>
    <t>TX0129917_001</t>
  </si>
  <si>
    <t>TX0130036_001</t>
  </si>
  <si>
    <t>TX0131482_001</t>
  </si>
  <si>
    <t>TX0131555_001</t>
  </si>
  <si>
    <t>TX0131598_001</t>
  </si>
  <si>
    <t>TX0131938_001</t>
  </si>
  <si>
    <t>TX0132161_001</t>
  </si>
  <si>
    <t>TX0132276_001</t>
  </si>
  <si>
    <t>TX0132365_001</t>
  </si>
  <si>
    <t>TX0132471_001</t>
  </si>
  <si>
    <t>TX0133001_001</t>
  </si>
  <si>
    <t>TX0133027_001</t>
  </si>
  <si>
    <t>TX0133124_004</t>
  </si>
  <si>
    <t>TX0133124_001</t>
  </si>
  <si>
    <t>TX0133141_001</t>
  </si>
  <si>
    <t>TX0133574_001</t>
  </si>
  <si>
    <t>TX0133574_007</t>
  </si>
  <si>
    <t>TX0133574_009</t>
  </si>
  <si>
    <t>TX0133574_010</t>
  </si>
  <si>
    <t>TX0133574_011</t>
  </si>
  <si>
    <t>TX0133582_001</t>
  </si>
  <si>
    <t>TX0134376_001</t>
  </si>
  <si>
    <t>TX0134546_001</t>
  </si>
  <si>
    <t>TX0134619_001</t>
  </si>
  <si>
    <t>TX0134627_001</t>
  </si>
  <si>
    <t>TX0134759_001</t>
  </si>
  <si>
    <t>TX0134813_001</t>
  </si>
  <si>
    <t>TX0134872_001</t>
  </si>
  <si>
    <t>TX0135062_001</t>
  </si>
  <si>
    <t>TX0135101_001</t>
  </si>
  <si>
    <t>TX0135143_001</t>
  </si>
  <si>
    <t>TX0135151_001</t>
  </si>
  <si>
    <t>TX0135186_001</t>
  </si>
  <si>
    <t>TX0135364_001</t>
  </si>
  <si>
    <t>TX0135461_001</t>
  </si>
  <si>
    <t>TX0135593_001</t>
  </si>
  <si>
    <t>TX0135593_002</t>
  </si>
  <si>
    <t>TX0135640_002</t>
  </si>
  <si>
    <t>TX0135640_001</t>
  </si>
  <si>
    <t>TX0135704_001</t>
  </si>
  <si>
    <t>TX0135925_001</t>
  </si>
  <si>
    <t>TX0136051_001</t>
  </si>
  <si>
    <t>TX0136158_002</t>
  </si>
  <si>
    <t>TX0136158_001</t>
  </si>
  <si>
    <t>TX0136239_001</t>
  </si>
  <si>
    <t>TX0136433_001</t>
  </si>
  <si>
    <t>TX0136573_001</t>
  </si>
  <si>
    <t>TX0136573_002</t>
  </si>
  <si>
    <t>TX0136573_003</t>
  </si>
  <si>
    <t>TX0136638_001</t>
  </si>
  <si>
    <t>TX0136727_001</t>
  </si>
  <si>
    <t>TX0137031_001</t>
  </si>
  <si>
    <t>TX0137031_002</t>
  </si>
  <si>
    <t>TX0053473_001</t>
  </si>
  <si>
    <t>TX0053481_001</t>
  </si>
  <si>
    <t>TX0133230_001</t>
  </si>
  <si>
    <t>TX0133663_001</t>
  </si>
  <si>
    <t>TX0133698_001</t>
  </si>
  <si>
    <t>TX0133957_001</t>
  </si>
  <si>
    <t>TX0134643_001</t>
  </si>
  <si>
    <t>TX0005592_001</t>
  </si>
  <si>
    <t>TX0020206_001</t>
  </si>
  <si>
    <t>TX0022055_001</t>
  </si>
  <si>
    <t>TX0022063_001</t>
  </si>
  <si>
    <t>TX0022071_001</t>
  </si>
  <si>
    <t>TX0022080_001</t>
  </si>
  <si>
    <t>TX0022080_002</t>
  </si>
  <si>
    <t>TX0022080_003</t>
  </si>
  <si>
    <t>TX0022268_001</t>
  </si>
  <si>
    <t>TX0024759_001</t>
  </si>
  <si>
    <t>TX0025399_001</t>
  </si>
  <si>
    <t>TX0025674_001</t>
  </si>
  <si>
    <t>TX0026221_001</t>
  </si>
  <si>
    <t>TX0027049_001</t>
  </si>
  <si>
    <t>TX0027308_001</t>
  </si>
  <si>
    <t>TX0034681_001</t>
  </si>
  <si>
    <t>TX0054186_001</t>
  </si>
  <si>
    <t>TX0054186_002</t>
  </si>
  <si>
    <t>TX0054364_001</t>
  </si>
  <si>
    <t>TX0056545_001</t>
  </si>
  <si>
    <t>TX0063461_001</t>
  </si>
  <si>
    <t>TX0068659_001</t>
  </si>
  <si>
    <t>TX0068845_001</t>
  </si>
  <si>
    <t>TX0069256_001</t>
  </si>
  <si>
    <t>TX0071412_001</t>
  </si>
  <si>
    <t>TX0072702_001</t>
  </si>
  <si>
    <t>TX0075680_001</t>
  </si>
  <si>
    <t>TX0076538_001</t>
  </si>
  <si>
    <t>TX0077241_001</t>
  </si>
  <si>
    <t>TX0077763_001</t>
  </si>
  <si>
    <t>TX0078344_001</t>
  </si>
  <si>
    <t>TX0083208_001</t>
  </si>
  <si>
    <t>TX0083216_001</t>
  </si>
  <si>
    <t>TX0084042_001</t>
  </si>
  <si>
    <t>TX0084638_001</t>
  </si>
  <si>
    <t>TX0086665_001</t>
  </si>
  <si>
    <t>TX0088137_001</t>
  </si>
  <si>
    <t>TX0088447_001</t>
  </si>
  <si>
    <t>TX0089672_001</t>
  </si>
  <si>
    <t>TX0090123_001</t>
  </si>
  <si>
    <t>TX0091677_001</t>
  </si>
  <si>
    <t>TX0092517_001</t>
  </si>
  <si>
    <t>TX0092843_001</t>
  </si>
  <si>
    <t>TX0093220_001</t>
  </si>
  <si>
    <t>TX0093483_001</t>
  </si>
  <si>
    <t>TX0093505_001</t>
  </si>
  <si>
    <t>TX0093564_001</t>
  </si>
  <si>
    <t>TX0094552_001</t>
  </si>
  <si>
    <t>TX0097675_001</t>
  </si>
  <si>
    <t>TX0097691_001</t>
  </si>
  <si>
    <t>TX0097969_001</t>
  </si>
  <si>
    <t>TX0100331_001</t>
  </si>
  <si>
    <t>TX0102512_001</t>
  </si>
  <si>
    <t>TX0102563_001</t>
  </si>
  <si>
    <t>TX0103004_001</t>
  </si>
  <si>
    <t>TX0104060_001</t>
  </si>
  <si>
    <t>TX0109339_001</t>
  </si>
  <si>
    <t>TX0109622_001</t>
  </si>
  <si>
    <t>TX0110663_001</t>
  </si>
  <si>
    <t>TX0113930_001</t>
  </si>
  <si>
    <t>TX0115827_001</t>
  </si>
  <si>
    <t>TX0116459_001</t>
  </si>
  <si>
    <t>TX0117145_001</t>
  </si>
  <si>
    <t>TX0117463_001</t>
  </si>
  <si>
    <t>TX0117706_001</t>
  </si>
  <si>
    <t>TX0118281_001</t>
  </si>
  <si>
    <t>TX0118311_001</t>
  </si>
  <si>
    <t>TX0118851_001</t>
  </si>
  <si>
    <t>TX0119598_001</t>
  </si>
  <si>
    <t>TX0119857_001</t>
  </si>
  <si>
    <t>TX0122327_001</t>
  </si>
  <si>
    <t>TX0123374_001</t>
  </si>
  <si>
    <t>TX0123587_001</t>
  </si>
  <si>
    <t>TX0124281_001</t>
  </si>
  <si>
    <t>TX0125300_001</t>
  </si>
  <si>
    <t>TX0125806_001</t>
  </si>
  <si>
    <t>TX0126209_001</t>
  </si>
  <si>
    <t>TX0126306_001</t>
  </si>
  <si>
    <t>TX0126713_001</t>
  </si>
  <si>
    <t>TX0126799_001</t>
  </si>
  <si>
    <t>TX0126853_001</t>
  </si>
  <si>
    <t>TX0126934_001</t>
  </si>
  <si>
    <t>TX0127400_001</t>
  </si>
  <si>
    <t>TX0127752_001</t>
  </si>
  <si>
    <t>TX0128031_001</t>
  </si>
  <si>
    <t>TX0128121_001</t>
  </si>
  <si>
    <t>TX0128295_001</t>
  </si>
  <si>
    <t>TX0128368_001</t>
  </si>
  <si>
    <t>TX0128431_001</t>
  </si>
  <si>
    <t>TX0128449_001</t>
  </si>
  <si>
    <t>TX0128457_001</t>
  </si>
  <si>
    <t>TX0129160_001</t>
  </si>
  <si>
    <t>TX0129526_001</t>
  </si>
  <si>
    <t>TX0129674_001</t>
  </si>
  <si>
    <t>TX0132730_001</t>
  </si>
  <si>
    <t>TX0132837_001</t>
  </si>
  <si>
    <t>TX0133817_001</t>
  </si>
  <si>
    <t>TX0133906_001</t>
  </si>
  <si>
    <t>TX0134520_001</t>
  </si>
  <si>
    <t>TX0134856_001</t>
  </si>
  <si>
    <t>TX0134996_001</t>
  </si>
  <si>
    <t>TX0135356_001</t>
  </si>
  <si>
    <t>TX0135453_001</t>
  </si>
  <si>
    <t>TX0135682_001</t>
  </si>
  <si>
    <t>TX0135721_001</t>
  </si>
  <si>
    <t>TX0135941_001</t>
  </si>
  <si>
    <t>TX0136000_001</t>
  </si>
  <si>
    <t>TX0136191_001</t>
  </si>
  <si>
    <t>TX0137251_001</t>
  </si>
  <si>
    <t>TX0138932_001</t>
  </si>
  <si>
    <t>TX0022373_001</t>
  </si>
  <si>
    <t>TX0028169_001</t>
  </si>
  <si>
    <t>TX0035157_001</t>
  </si>
  <si>
    <t>TX0056685_001</t>
  </si>
  <si>
    <t>TX0071765_001</t>
  </si>
  <si>
    <t>TX0072974_001</t>
  </si>
  <si>
    <t>TX0087831_001</t>
  </si>
  <si>
    <t>TX0116572_001</t>
  </si>
  <si>
    <t>TX0123421_001</t>
  </si>
  <si>
    <t>TX0032476_001</t>
  </si>
  <si>
    <t>TX0079057_001</t>
  </si>
  <si>
    <t>TX0086053_001</t>
  </si>
  <si>
    <t>TX0127264_001</t>
  </si>
  <si>
    <t>TX0128236_001</t>
  </si>
  <si>
    <t>TX0133680_001</t>
  </si>
  <si>
    <t>TX0026018_001</t>
  </si>
  <si>
    <t>TX0056251_001</t>
  </si>
  <si>
    <t>TX0069671_001</t>
  </si>
  <si>
    <t>TX0099287_001</t>
  </si>
  <si>
    <t>TX0101800_001</t>
  </si>
  <si>
    <t>TX0102822_001</t>
  </si>
  <si>
    <t>TX0117498_001</t>
  </si>
  <si>
    <t>TX0126098_001</t>
  </si>
  <si>
    <t>TX0134601_001</t>
  </si>
  <si>
    <t>TX0003158_001</t>
  </si>
  <si>
    <t>TX0003158_002</t>
  </si>
  <si>
    <t>TX0034797_001</t>
  </si>
  <si>
    <t>TX0136123_001</t>
  </si>
  <si>
    <t>TX0020192_001</t>
  </si>
  <si>
    <t>TX0027936_001</t>
  </si>
  <si>
    <t>TX0057011_001</t>
  </si>
  <si>
    <t>TX0107719_001</t>
  </si>
  <si>
    <t>TX0063096_001</t>
  </si>
  <si>
    <t>TX0075540_001</t>
  </si>
  <si>
    <t>TX0058955_001</t>
  </si>
  <si>
    <t>TX0071081_001</t>
  </si>
  <si>
    <t>TX0020591_001</t>
  </si>
  <si>
    <t>TX0023558_001</t>
  </si>
  <si>
    <t>TX0000108_001</t>
  </si>
  <si>
    <t>TX0053538_001</t>
  </si>
  <si>
    <t>TX0075957_001</t>
  </si>
  <si>
    <t>TX0085707_001</t>
  </si>
  <si>
    <t>TX0093416_003</t>
  </si>
  <si>
    <t>TX0093416_001</t>
  </si>
  <si>
    <t>TX0093416_002</t>
  </si>
  <si>
    <t>TX0119288_001</t>
  </si>
  <si>
    <t>TX0119288_002</t>
  </si>
  <si>
    <t>TX0136930_001</t>
  </si>
  <si>
    <t>TX0022322_001</t>
  </si>
  <si>
    <t>TX0022705_001</t>
  </si>
  <si>
    <t>TX0055581_001</t>
  </si>
  <si>
    <t>TX0058106_001</t>
  </si>
  <si>
    <t>TX0116556_001</t>
  </si>
  <si>
    <t>TX0021105_001</t>
  </si>
  <si>
    <t>TX0002798_002</t>
  </si>
  <si>
    <t>TX0002798_003</t>
  </si>
  <si>
    <t>TX0002798_004</t>
  </si>
  <si>
    <t>TX0002798_006</t>
  </si>
  <si>
    <t>TX0002798_007</t>
  </si>
  <si>
    <t>TX0007706_001</t>
  </si>
  <si>
    <t>TX0042081_001</t>
  </si>
  <si>
    <t>TX0053317_001</t>
  </si>
  <si>
    <t>TX0068926_001</t>
  </si>
  <si>
    <t>TX0085821_001</t>
  </si>
  <si>
    <t>TX0087475_001</t>
  </si>
  <si>
    <t>TX0098604_001</t>
  </si>
  <si>
    <t>TX0100935_001</t>
  </si>
  <si>
    <t>TX0102091_001</t>
  </si>
  <si>
    <t>TX0102326_001</t>
  </si>
  <si>
    <t>TX0102326_002</t>
  </si>
  <si>
    <t>TX0102326_003</t>
  </si>
  <si>
    <t>TX0102326_004</t>
  </si>
  <si>
    <t>TX0102326_005</t>
  </si>
  <si>
    <t>TX0118222_001</t>
  </si>
  <si>
    <t>TX0118427_001</t>
  </si>
  <si>
    <t>TX0122181_001</t>
  </si>
  <si>
    <t>TX0128325_001</t>
  </si>
  <si>
    <t>TX0128783_001</t>
  </si>
  <si>
    <t>TX0131768_001</t>
  </si>
  <si>
    <t>TX0131768_002</t>
  </si>
  <si>
    <t>TX0132195_002</t>
  </si>
  <si>
    <t>TX0132195_003</t>
  </si>
  <si>
    <t>TX0133175_001</t>
  </si>
  <si>
    <t>TX0133353_001</t>
  </si>
  <si>
    <t>TX0133710_001</t>
  </si>
  <si>
    <t>TX0133736_001</t>
  </si>
  <si>
    <t>TX0134465_001</t>
  </si>
  <si>
    <t>TX0134465_002</t>
  </si>
  <si>
    <t>TX0134465_003</t>
  </si>
  <si>
    <t>TX0134465_004</t>
  </si>
  <si>
    <t>TX0135551_001</t>
  </si>
  <si>
    <t>TX0136760_001</t>
  </si>
  <si>
    <t>TX0003832_001</t>
  </si>
  <si>
    <t>TX0003948_001</t>
  </si>
  <si>
    <t>TX0003948_002</t>
  </si>
  <si>
    <t>TX0003948_003</t>
  </si>
  <si>
    <t>TX0003948_004</t>
  </si>
  <si>
    <t>TX0004839_001</t>
  </si>
  <si>
    <t>TX0006173_001</t>
  </si>
  <si>
    <t>TX0007552_001</t>
  </si>
  <si>
    <t>TX0007552_002</t>
  </si>
  <si>
    <t>TX0007552_003</t>
  </si>
  <si>
    <t>TX0007552_004</t>
  </si>
  <si>
    <t>TX0020109_001</t>
  </si>
  <si>
    <t>TX0020117_001</t>
  </si>
  <si>
    <t>TX0059285_001</t>
  </si>
  <si>
    <t>TX0059285_002</t>
  </si>
  <si>
    <t>TX0072834_001</t>
  </si>
  <si>
    <t>TX0074870_001</t>
  </si>
  <si>
    <t>TX0075761_001</t>
  </si>
  <si>
    <t>TX0084051_001</t>
  </si>
  <si>
    <t>TX0087190_001</t>
  </si>
  <si>
    <t>TX0087190_002</t>
  </si>
  <si>
    <t>TX0091693_001</t>
  </si>
  <si>
    <t>TX0094650_001</t>
  </si>
  <si>
    <t>TX0095869_004</t>
  </si>
  <si>
    <t>TX0095869_003</t>
  </si>
  <si>
    <t>TX0117374_001</t>
  </si>
  <si>
    <t>TX0118672_001</t>
  </si>
  <si>
    <t>TX0121126_001</t>
  </si>
  <si>
    <t>TX0124249_001</t>
  </si>
  <si>
    <t>TX0126187_001</t>
  </si>
  <si>
    <t>TX0126381_001</t>
  </si>
  <si>
    <t>TX0126543_001</t>
  </si>
  <si>
    <t>TX0128015_002</t>
  </si>
  <si>
    <t>TX0131903_001</t>
  </si>
  <si>
    <t>TX0133167_001</t>
  </si>
  <si>
    <t>TX0116211_001</t>
  </si>
  <si>
    <t>TX0022578_001</t>
  </si>
  <si>
    <t>TX0025453_001</t>
  </si>
  <si>
    <t>TX0066150_001</t>
  </si>
  <si>
    <t>TX0111520_001</t>
  </si>
  <si>
    <t>TX0111660_001</t>
  </si>
  <si>
    <t>TX0124877_001</t>
  </si>
  <si>
    <t>TX0085961_001</t>
  </si>
  <si>
    <t>TX0001848_001</t>
  </si>
  <si>
    <t>TX0002143_007</t>
  </si>
  <si>
    <t>TX0023272_001</t>
  </si>
  <si>
    <t>TX0024678_001</t>
  </si>
  <si>
    <t>TX0024686_001</t>
  </si>
  <si>
    <t>TX0024988_001</t>
  </si>
  <si>
    <t>TX0026808_001</t>
  </si>
  <si>
    <t>TX0027723_001</t>
  </si>
  <si>
    <t>TX0056677_002</t>
  </si>
  <si>
    <t>TX0057959_001</t>
  </si>
  <si>
    <t>TX0103292_001</t>
  </si>
  <si>
    <t>TX0103497_001</t>
  </si>
  <si>
    <t>TX0126241_001</t>
  </si>
  <si>
    <t>TX0127345_001</t>
  </si>
  <si>
    <t>TX0135020_001</t>
  </si>
  <si>
    <t>TX0021792_001</t>
  </si>
  <si>
    <t>TX0022357_001</t>
  </si>
  <si>
    <t>TX0025097_001</t>
  </si>
  <si>
    <t>TX0072362_001</t>
  </si>
  <si>
    <t>TX0087343_001</t>
  </si>
  <si>
    <t>TX0102555_001</t>
  </si>
  <si>
    <t>TX0105899_001</t>
  </si>
  <si>
    <t>TX0127931_001</t>
  </si>
  <si>
    <t>TX0130117_001</t>
  </si>
  <si>
    <t>TX0001007_001</t>
  </si>
  <si>
    <t>TX0001007_002</t>
  </si>
  <si>
    <t>TX0022802_001</t>
  </si>
  <si>
    <t>TX0022811_001</t>
  </si>
  <si>
    <t>TX0024775_001</t>
  </si>
  <si>
    <t>TX0025011_002</t>
  </si>
  <si>
    <t>TX0032212_001</t>
  </si>
  <si>
    <t>TX0104957_001</t>
  </si>
  <si>
    <t>TX0104957_002</t>
  </si>
  <si>
    <t>TX0108065_001</t>
  </si>
  <si>
    <t>TX0119784_001</t>
  </si>
  <si>
    <t>TX0127779_001</t>
  </si>
  <si>
    <t>TX0128686_001</t>
  </si>
  <si>
    <t>TX0020354_001</t>
  </si>
  <si>
    <t>TX0020711_001</t>
  </si>
  <si>
    <t>TX0022403_001</t>
  </si>
  <si>
    <t>TX0022501_001</t>
  </si>
  <si>
    <t>TX0022659_001</t>
  </si>
  <si>
    <t>TX0024198_001</t>
  </si>
  <si>
    <t>TX0026565_001</t>
  </si>
  <si>
    <t>TX0047180_001</t>
  </si>
  <si>
    <t>TX0052892_001</t>
  </si>
  <si>
    <t>TX0053783_001</t>
  </si>
  <si>
    <t>TX0055735_001</t>
  </si>
  <si>
    <t>TX0056588_001</t>
  </si>
  <si>
    <t>TX0091448_001</t>
  </si>
  <si>
    <t>TX0093696_001</t>
  </si>
  <si>
    <t>TX0103276_001</t>
  </si>
  <si>
    <t>TX0118532_001</t>
  </si>
  <si>
    <t>TX0118567_002</t>
  </si>
  <si>
    <t>TX0119849_001</t>
  </si>
  <si>
    <t>TX0120022_001</t>
  </si>
  <si>
    <t>TX0123552_001</t>
  </si>
  <si>
    <t>TX0123781_001</t>
  </si>
  <si>
    <t>TX0123781_002</t>
  </si>
  <si>
    <t>TX0123862_001</t>
  </si>
  <si>
    <t>TX0124745_001</t>
  </si>
  <si>
    <t>TX0125172_001</t>
  </si>
  <si>
    <t>TX0137464_001</t>
  </si>
  <si>
    <t>TX0020290_001</t>
  </si>
  <si>
    <t>TX0020290_002</t>
  </si>
  <si>
    <t>TX0020567_001</t>
  </si>
  <si>
    <t>TX0026581_001</t>
  </si>
  <si>
    <t>TX0026603_001</t>
  </si>
  <si>
    <t>TX0027537_001</t>
  </si>
  <si>
    <t>TX0047261_001</t>
  </si>
  <si>
    <t>TX0053571_001</t>
  </si>
  <si>
    <t>TX0065749_001</t>
  </si>
  <si>
    <t>TX0083437_001</t>
  </si>
  <si>
    <t>TX0090425_001</t>
  </si>
  <si>
    <t>TX0118745_001</t>
  </si>
  <si>
    <t>TX0118877_001</t>
  </si>
  <si>
    <t>TX0125563_001</t>
  </si>
  <si>
    <t>TX0126616_001</t>
  </si>
  <si>
    <t>TX0054208_001</t>
  </si>
  <si>
    <t>TX0134244_001</t>
  </si>
  <si>
    <t>TX0030180_001</t>
  </si>
  <si>
    <t>TX0030180_002</t>
  </si>
  <si>
    <t>TX0034495_001</t>
  </si>
  <si>
    <t>TX0034509_001</t>
  </si>
  <si>
    <t>TX0068357_001</t>
  </si>
  <si>
    <t>TX0068357_002</t>
  </si>
  <si>
    <t>TX0068357_003</t>
  </si>
  <si>
    <t>TX0072338_001</t>
  </si>
  <si>
    <t>TX0075850_001</t>
  </si>
  <si>
    <t>TX0076465_001</t>
  </si>
  <si>
    <t>TX0076465_004</t>
  </si>
  <si>
    <t>TX0110035_001</t>
  </si>
  <si>
    <t>TX0120006_001</t>
  </si>
  <si>
    <t>TX0123935_001</t>
  </si>
  <si>
    <t>TX0137782_001</t>
  </si>
  <si>
    <t>TX0026883_001</t>
  </si>
  <si>
    <t>TX0027227_001</t>
  </si>
  <si>
    <t>TX0034410_001</t>
  </si>
  <si>
    <t>TX0055212_001</t>
  </si>
  <si>
    <t>TX0055221_001</t>
  </si>
  <si>
    <t>TX0129224_001</t>
  </si>
  <si>
    <t>TX0092363_001</t>
  </si>
  <si>
    <t>TX0129895_001</t>
  </si>
  <si>
    <t>TX0002631_001</t>
  </si>
  <si>
    <t>TX0020559_001</t>
  </si>
  <si>
    <t>TX0025364_001</t>
  </si>
  <si>
    <t>TX0025372_001</t>
  </si>
  <si>
    <t>TX0027481_001</t>
  </si>
  <si>
    <t>TX0052949_001</t>
  </si>
  <si>
    <t>TX0054585_001</t>
  </si>
  <si>
    <t>TX0069183_001</t>
  </si>
  <si>
    <t>TX0078255_001</t>
  </si>
  <si>
    <t>TX0083127_001</t>
  </si>
  <si>
    <t>TX0090905_001</t>
  </si>
  <si>
    <t>TX0094412_001</t>
  </si>
  <si>
    <t>TX0102113_001</t>
  </si>
  <si>
    <t>TX0106704_001</t>
  </si>
  <si>
    <t>TX0117455_001</t>
  </si>
  <si>
    <t>TX0122513_001</t>
  </si>
  <si>
    <t>TX0124141_001</t>
  </si>
  <si>
    <t>TX0128864_001</t>
  </si>
  <si>
    <t>TX0132241_001</t>
  </si>
  <si>
    <t>TX0020303_001</t>
  </si>
  <si>
    <t>TX0053295_001</t>
  </si>
  <si>
    <t>TX0112283_001</t>
  </si>
  <si>
    <t>TX0129348_001</t>
  </si>
  <si>
    <t>TX0133761_001</t>
  </si>
  <si>
    <t>TX0134791_001</t>
  </si>
  <si>
    <t>TX0023078_001</t>
  </si>
  <si>
    <t>TX0023078_002</t>
  </si>
  <si>
    <t>TX0025895_001</t>
  </si>
  <si>
    <t>TX0027138_001</t>
  </si>
  <si>
    <t>TX0070831_001</t>
  </si>
  <si>
    <t>TX0078905_001</t>
  </si>
  <si>
    <t>TX0104710_001</t>
  </si>
  <si>
    <t>TX0104710_002</t>
  </si>
  <si>
    <t>TX0069825_002</t>
  </si>
  <si>
    <t>TX0024503_001</t>
  </si>
  <si>
    <t>TX0058360_001</t>
  </si>
  <si>
    <t>TX0102806_001</t>
  </si>
  <si>
    <t>TX0106291_001</t>
  </si>
  <si>
    <t>TX0118770_001</t>
  </si>
  <si>
    <t>TX0119229_001</t>
  </si>
  <si>
    <t>TX0124923_001</t>
  </si>
  <si>
    <t>TX0126179_001</t>
  </si>
  <si>
    <t>TX0128490_001</t>
  </si>
  <si>
    <t>TX0002364_001</t>
  </si>
  <si>
    <t>TX0002372_001</t>
  </si>
  <si>
    <t>TX0022527_001</t>
  </si>
  <si>
    <t>TX0023396_001</t>
  </si>
  <si>
    <t>TX0024929_001</t>
  </si>
  <si>
    <t>TX0047830_001</t>
  </si>
  <si>
    <t>TX0047848_001</t>
  </si>
  <si>
    <t>TX0079391_001</t>
  </si>
  <si>
    <t>TX0103624_001</t>
  </si>
  <si>
    <t>TX0124419_001</t>
  </si>
  <si>
    <t>TX0126128_001</t>
  </si>
  <si>
    <t>TX0128023_001</t>
  </si>
  <si>
    <t>TX0133531_004</t>
  </si>
  <si>
    <t>TX0133531_001</t>
  </si>
  <si>
    <t>TX0133531_003</t>
  </si>
  <si>
    <t>TX0134708_001</t>
  </si>
  <si>
    <t>TX0027448_001</t>
  </si>
  <si>
    <t>TX0053627_001</t>
  </si>
  <si>
    <t>TX0074683_001</t>
  </si>
  <si>
    <t>TX0077810_001</t>
  </si>
  <si>
    <t>TX0116173_001</t>
  </si>
  <si>
    <t>TX0135992_001</t>
  </si>
  <si>
    <t>TX0071510_001</t>
  </si>
  <si>
    <t>TX0074284_001</t>
  </si>
  <si>
    <t>TX0100170_001</t>
  </si>
  <si>
    <t>TX0102024_001</t>
  </si>
  <si>
    <t>TX0132543_001</t>
  </si>
  <si>
    <t>TX0135631_001</t>
  </si>
  <si>
    <t>TX0057045_001</t>
  </si>
  <si>
    <t>TX0026662_001</t>
  </si>
  <si>
    <t>TX0063401_006</t>
  </si>
  <si>
    <t>TX0063401_001</t>
  </si>
  <si>
    <t>TX0063401_002</t>
  </si>
  <si>
    <t>TX0063401_003</t>
  </si>
  <si>
    <t>TX0063401_004</t>
  </si>
  <si>
    <t>TX0063401_005</t>
  </si>
  <si>
    <t>TX0024821_001</t>
  </si>
  <si>
    <t>TX0111325_001</t>
  </si>
  <si>
    <t>TX0022420_001</t>
  </si>
  <si>
    <t>TX0023027_001</t>
  </si>
  <si>
    <t>TX0047791_002</t>
  </si>
  <si>
    <t>TX0053449_001</t>
  </si>
  <si>
    <t>TX0056731_001</t>
  </si>
  <si>
    <t>TX0056731_002</t>
  </si>
  <si>
    <t>TX0073032_001</t>
  </si>
  <si>
    <t>TX0075418_001</t>
  </si>
  <si>
    <t>TX0106101_001</t>
  </si>
  <si>
    <t>TX0117056_001</t>
  </si>
  <si>
    <t>TX0125199_001</t>
  </si>
  <si>
    <t>TX0023116_003</t>
  </si>
  <si>
    <t>TX0023116_004</t>
  </si>
  <si>
    <t>TX0027120_001</t>
  </si>
  <si>
    <t>TX0032646_001</t>
  </si>
  <si>
    <t>TX0047724_001</t>
  </si>
  <si>
    <t>TX0099732_001</t>
  </si>
  <si>
    <t>TX0117919_001</t>
  </si>
  <si>
    <t>TX0123145_001</t>
  </si>
  <si>
    <t>TX0022845_001</t>
  </si>
  <si>
    <t>TX0024163_001</t>
  </si>
  <si>
    <t>TX0057657_001</t>
  </si>
  <si>
    <t>TX0063509_001</t>
  </si>
  <si>
    <t>TX0067415_001</t>
  </si>
  <si>
    <t>TX0075949_001</t>
  </si>
  <si>
    <t>TX0078841_001</t>
  </si>
  <si>
    <t>TX0087963_001</t>
  </si>
  <si>
    <t>TX0098809_001</t>
  </si>
  <si>
    <t>TX0103250_001</t>
  </si>
  <si>
    <t>TX0104213_001</t>
  </si>
  <si>
    <t>TX0125091_001</t>
  </si>
  <si>
    <t>TX0134503_001</t>
  </si>
  <si>
    <t>TX0022241_001</t>
  </si>
  <si>
    <t>TX0023931_001</t>
  </si>
  <si>
    <t>TX0047431_001</t>
  </si>
  <si>
    <t>TX0047911_001</t>
  </si>
  <si>
    <t>TX0078565_001</t>
  </si>
  <si>
    <t>TX0088633_001</t>
  </si>
  <si>
    <t>TX0103501_001</t>
  </si>
  <si>
    <t>TX0126110_001</t>
  </si>
  <si>
    <t>TX0021083_001</t>
  </si>
  <si>
    <t>TX0097063_001</t>
  </si>
  <si>
    <t>TX0098752_001</t>
  </si>
  <si>
    <t>TX0117331_001</t>
  </si>
  <si>
    <t>TX0117765_001</t>
  </si>
  <si>
    <t>TX0124150_001</t>
  </si>
  <si>
    <t>TX0137596_001</t>
  </si>
  <si>
    <t>TX0001198_001</t>
  </si>
  <si>
    <t>TX0025101_019</t>
  </si>
  <si>
    <t>TX0025101_020</t>
  </si>
  <si>
    <t>TX0025101_023</t>
  </si>
  <si>
    <t>TX0025101_059</t>
  </si>
  <si>
    <t>TX0032018_001</t>
  </si>
  <si>
    <t>TX0047295_001</t>
  </si>
  <si>
    <t>TX0066745_001</t>
  </si>
  <si>
    <t>TX0067504_001</t>
  </si>
  <si>
    <t>TX0093092_001</t>
  </si>
  <si>
    <t>TX0097853_001</t>
  </si>
  <si>
    <t>TX0105872_001</t>
  </si>
  <si>
    <t>TX0113573_001</t>
  </si>
  <si>
    <t>TX0115991_001</t>
  </si>
  <si>
    <t>TX0132713_001</t>
  </si>
  <si>
    <t>TX0133388_001</t>
  </si>
  <si>
    <t>TX0137685_001</t>
  </si>
  <si>
    <t>TX0027677_001</t>
  </si>
  <si>
    <t>TX0027677_002</t>
  </si>
  <si>
    <t>TX0059579_001</t>
  </si>
  <si>
    <t>TX0072109_001</t>
  </si>
  <si>
    <t>TX0076104_001</t>
  </si>
  <si>
    <t>TX0087203_001</t>
  </si>
  <si>
    <t>TX0088811_001</t>
  </si>
  <si>
    <t>TX0101885_001</t>
  </si>
  <si>
    <t>TX0119415_001</t>
  </si>
  <si>
    <t>TX0133701_001</t>
  </si>
  <si>
    <t>TX0020346_001</t>
  </si>
  <si>
    <t>TX0133035_001</t>
  </si>
  <si>
    <t>TX0127370_001</t>
  </si>
  <si>
    <t>TX0000825_002</t>
  </si>
  <si>
    <t>TX0022632_001</t>
  </si>
  <si>
    <t>TX0023787_001</t>
  </si>
  <si>
    <t>TX0024783_001</t>
  </si>
  <si>
    <t>TX0024911_001</t>
  </si>
  <si>
    <t>TX0026689_001</t>
  </si>
  <si>
    <t>TX0057231_002</t>
  </si>
  <si>
    <t>TX0057631_001</t>
  </si>
  <si>
    <t>TX0103446_001</t>
  </si>
  <si>
    <t>TX0118621_001</t>
  </si>
  <si>
    <t>TX0122386_001</t>
  </si>
  <si>
    <t>TX0124494_001</t>
  </si>
  <si>
    <t>TX0132411_001</t>
  </si>
  <si>
    <t>TX0133019_001</t>
  </si>
  <si>
    <t>TX0136204_001</t>
  </si>
  <si>
    <t>ECHO_NUM</t>
  </si>
  <si>
    <t>OUTFALL</t>
  </si>
  <si>
    <t>PERMITTEE</t>
  </si>
  <si>
    <t>001</t>
  </si>
  <si>
    <t>US STEEL TUBULAR PRODUCTS INC</t>
  </si>
  <si>
    <t>002</t>
  </si>
  <si>
    <t>003</t>
  </si>
  <si>
    <t>LUMINANT GENERATION CO LLC</t>
  </si>
  <si>
    <t>TURNER INDUSTRIES GROUP LLC</t>
  </si>
  <si>
    <t>INTERNATIONAL PAPER CO</t>
  </si>
  <si>
    <t>SOUTHWESTERN ELECTRIC POWER CO</t>
  </si>
  <si>
    <t>NORIT AMERICAS INC</t>
  </si>
  <si>
    <t>LUMINANT MINING CO LLC</t>
  </si>
  <si>
    <t>HANSON AGGREGATES LLC</t>
  </si>
  <si>
    <t>ALCOA USA CORP</t>
  </si>
  <si>
    <t>001A</t>
  </si>
  <si>
    <t>005</t>
  </si>
  <si>
    <t>EASTMAN CHEMICAL CO</t>
  </si>
  <si>
    <t>004</t>
  </si>
  <si>
    <t>MOUNTAIN CREEK POWER LLC</t>
  </si>
  <si>
    <t>HANDLEY POWER LLC</t>
  </si>
  <si>
    <t>GEORGIA-PACIFIC PANEL PRODUCTS &amp; GEORGIA-PACIFIC WOOD PRODUCTS SOUTH</t>
  </si>
  <si>
    <t>006</t>
  </si>
  <si>
    <t>US SILICA CO</t>
  </si>
  <si>
    <t>013</t>
  </si>
  <si>
    <t>DELEK REFINING LTD</t>
  </si>
  <si>
    <t>014</t>
  </si>
  <si>
    <t>015</t>
  </si>
  <si>
    <t>008</t>
  </si>
  <si>
    <t>010</t>
  </si>
  <si>
    <t>011</t>
  </si>
  <si>
    <t>012</t>
  </si>
  <si>
    <t>MCWANE INC</t>
  </si>
  <si>
    <t>LAREDO WLE LP</t>
  </si>
  <si>
    <t>VERDANT INDUSTRIES LLC</t>
  </si>
  <si>
    <t>COVIA HOLDINGS CORP</t>
  </si>
  <si>
    <t>CITY OF GARLAND</t>
  </si>
  <si>
    <t>GRAYDEN CEDARWORKS INC</t>
  </si>
  <si>
    <t>CITY OF ALBANY</t>
  </si>
  <si>
    <t>CITY OF GLADEWATER</t>
  </si>
  <si>
    <t>NORTH TEXAS MUNICIPAL WATER DIST</t>
  </si>
  <si>
    <t>007</t>
  </si>
  <si>
    <t>US DEPT OF THE ARMY</t>
  </si>
  <si>
    <t>CITY OF DALLAS</t>
  </si>
  <si>
    <t>BELL COUNTY WCID 1</t>
  </si>
  <si>
    <t>CITY OF LAREDO</t>
  </si>
  <si>
    <t>CITY OF MABANK</t>
  </si>
  <si>
    <t>CITY OF EMORY</t>
  </si>
  <si>
    <t>TEXAS A&amp;M UNIVERSITY</t>
  </si>
  <si>
    <t>COVESTRO LLC</t>
  </si>
  <si>
    <t>UNION CARBIDE CORP</t>
  </si>
  <si>
    <t>009</t>
  </si>
  <si>
    <t>016</t>
  </si>
  <si>
    <t>PHILLIPS 66 GULF COAST PROPERTIES LLC</t>
  </si>
  <si>
    <t>THE DOW CHEMICAL CO</t>
  </si>
  <si>
    <t>BNSF RAILWAY CO &amp; TIMBER ROCK RAILROAD LLC</t>
  </si>
  <si>
    <t>FIRESTONE POLYMERS LLC</t>
  </si>
  <si>
    <t>VALERO REFINING TEXAS LP</t>
  </si>
  <si>
    <t>SOUTH HAMPTON RESOURCES INC</t>
  </si>
  <si>
    <t>PRAXAIR INC</t>
  </si>
  <si>
    <t>HOUSTON REFINING LP</t>
  </si>
  <si>
    <t>BLANCHARD REFINING CO LLC</t>
  </si>
  <si>
    <t>EQUISTAR CHEMICALS LP</t>
  </si>
  <si>
    <t>LON C HILL LP</t>
  </si>
  <si>
    <t>CALHOUN PORT AUTHORITY</t>
  </si>
  <si>
    <t>NUECES BAY LLC</t>
  </si>
  <si>
    <t>VICTORIA WLE LP</t>
  </si>
  <si>
    <t>LANXESS CORP</t>
  </si>
  <si>
    <t>MARTIN OPERATING PARTNERSHIP LP</t>
  </si>
  <si>
    <t>BASF CORPORATION</t>
  </si>
  <si>
    <t>THE GOODYEAR TIRE &amp; RUBBER CO</t>
  </si>
  <si>
    <t>MARATHON PETROLEUM CO LP</t>
  </si>
  <si>
    <t>CALUMET DICKINSON REFINING LLC</t>
  </si>
  <si>
    <t>NILOK CHEMICALS INC</t>
  </si>
  <si>
    <t>GULF SULPHUR SERVICES LTD LLLP</t>
  </si>
  <si>
    <t>ASCEND PERFORMANCE MATERIALS TEXAS INC</t>
  </si>
  <si>
    <t>WESTROCK TEXAS LP</t>
  </si>
  <si>
    <t>CHEVRON PHILLIPS CHEMICAL CO LP</t>
  </si>
  <si>
    <t>CEMEX CONSTRUCTION MATERIALS SOUTH LLC</t>
  </si>
  <si>
    <t>TOTAL PETROCHEMICALS &amp; REFINING USA INC</t>
  </si>
  <si>
    <t>EXXONMOBIL OIL CORP</t>
  </si>
  <si>
    <t>PASADENA REFINING SYSTEM INC</t>
  </si>
  <si>
    <t>LUCITE INTERNATIONAL INC</t>
  </si>
  <si>
    <t>018</t>
  </si>
  <si>
    <t>021</t>
  </si>
  <si>
    <t>020</t>
  </si>
  <si>
    <t>AMERICAN CHROME &amp; CHEMICALS LP</t>
  </si>
  <si>
    <t>ALCOA WORLD ALUMINA LLC</t>
  </si>
  <si>
    <t>ALBEMARLE CORP</t>
  </si>
  <si>
    <t>BP AMOCO CHEMICAL CO</t>
  </si>
  <si>
    <t>BP AMOCO CHEMCIAL CO</t>
  </si>
  <si>
    <t>INEOS USA LLC</t>
  </si>
  <si>
    <t>SHELL CHEMICAL LP</t>
  </si>
  <si>
    <t>SHELL OIL CO</t>
  </si>
  <si>
    <t>AIR PRODUCTS LLC</t>
  </si>
  <si>
    <t>TPC GROUP LLC AND JOHN EDWARD FRANTZ</t>
  </si>
  <si>
    <t>004B</t>
  </si>
  <si>
    <t>004A</t>
  </si>
  <si>
    <t>008A</t>
  </si>
  <si>
    <t>008B</t>
  </si>
  <si>
    <t>007A</t>
  </si>
  <si>
    <t>HUNTSMAN(H) PETROCHEM;H INTRNTL FUELS;H PROPY OXIDE;BLUEHALL;TPC GROUP</t>
  </si>
  <si>
    <t>SOUTH TEXAS ELECTRIC COOPERATIVE INC</t>
  </si>
  <si>
    <t>GULF COAST WASTE DISPOSAL AUTHORITY</t>
  </si>
  <si>
    <t>MARTIN PRODUCT SALES LLC</t>
  </si>
  <si>
    <t>REICHHOLD LLC 2</t>
  </si>
  <si>
    <t>SASOL CHEMICALS USA LLC</t>
  </si>
  <si>
    <t>HUNTSMAN PETROCHEMICAL LLC</t>
  </si>
  <si>
    <t>SUNOCO PARTNERS MARKETING &amp; TERMINAL LP</t>
  </si>
  <si>
    <t>GULF COPPER &amp; MANUFACTURING CORP</t>
  </si>
  <si>
    <t>EASTMAN CHEMICAL TEXAS CITY INC</t>
  </si>
  <si>
    <t>MOTIVA ENTP, FLINT HILLS RES PORT ARTHUR, AFTON CHEM ADDITIVES CORP</t>
  </si>
  <si>
    <t>TEXMARK CHEMICALS INC</t>
  </si>
  <si>
    <t>CLEAN HARBORS DEER PARK LP</t>
  </si>
  <si>
    <t>THE PREMCOR REFINING GROUP INC</t>
  </si>
  <si>
    <t>OXEA CORP</t>
  </si>
  <si>
    <t>TICONA POLYMERS INC</t>
  </si>
  <si>
    <t>INVISTA S A R L</t>
  </si>
  <si>
    <t>PL PROPYLENE LLC</t>
  </si>
  <si>
    <t>102</t>
  </si>
  <si>
    <t>GEORGIA-PACIFIC WOOD PRODUCTS LLC</t>
  </si>
  <si>
    <t>ROHM AND HAAS TEXAS INC</t>
  </si>
  <si>
    <t>ZXP TECHNOLOGIES LLC</t>
  </si>
  <si>
    <t>CITGO REFINING AND CHEMICALS CO LP</t>
  </si>
  <si>
    <t>EXXON MOBIL CORP</t>
  </si>
  <si>
    <t>FLINT HILLS RESOURCES CORPUS CHRISTI LLC</t>
  </si>
  <si>
    <t>EI DUPONT DE NEMOURS AND CO</t>
  </si>
  <si>
    <t>OXY VINYLS LP</t>
  </si>
  <si>
    <t>TEXAS ELECTRIC COOPERATIVES INC</t>
  </si>
  <si>
    <t>NRG TEXAS POWER LLC</t>
  </si>
  <si>
    <t>BROWNSVILLE NAVIGATION DISTRICT</t>
  </si>
  <si>
    <t>AKZO NOBEL CHEMICALS LLC &amp; AKZO NOBEL FUNCTIONAL CHEMICALS LLC</t>
  </si>
  <si>
    <t>ENTERGY TEXAS INC</t>
  </si>
  <si>
    <t>CHEMTRADE REFINERY SERVICES INC</t>
  </si>
  <si>
    <t>VALERO REFININGTEXAS LP</t>
  </si>
  <si>
    <t>THE LUBRIZOL CORPORATION</t>
  </si>
  <si>
    <t>UNITED STATES GYPSUM CO</t>
  </si>
  <si>
    <t>ARKEMA INC</t>
  </si>
  <si>
    <t>ECO SERVICES OPERATIONS CORP</t>
  </si>
  <si>
    <t>MOTIVA ENTERPRISES LLC</t>
  </si>
  <si>
    <t>MAGELLAN TERMINALS HOLDINGS LP</t>
  </si>
  <si>
    <t>AIR LIQUIDE LARGE INDUSTRIES US LP</t>
  </si>
  <si>
    <t>PCI NITROGEN LLC</t>
  </si>
  <si>
    <t>E I DUPONT DE NEMOURS AND CO</t>
  </si>
  <si>
    <t>ISP TECHNOLOGIES INC</t>
  </si>
  <si>
    <t>GB BIOSCIENCES LLC</t>
  </si>
  <si>
    <t>PHILLIPS 66 CO</t>
  </si>
  <si>
    <t>ORION ENGINEERED CARBONS LLC</t>
  </si>
  <si>
    <t>JSW STEEL USA INC</t>
  </si>
  <si>
    <t>US DEPT OF THE NAVY</t>
  </si>
  <si>
    <t>HONEYWELL INTERNATIONAL INC</t>
  </si>
  <si>
    <t>GREIF PACKAGING LLC</t>
  </si>
  <si>
    <t>OHMSTEDE LTD</t>
  </si>
  <si>
    <t>GULFCO FORGE CO LLC</t>
  </si>
  <si>
    <t>GREENSPORT SHIP CHANNEL PARTNERS LP</t>
  </si>
  <si>
    <t>VENCOREX US INC</t>
  </si>
  <si>
    <t>NALCO CO LLC</t>
  </si>
  <si>
    <t>BASF CORP</t>
  </si>
  <si>
    <t>BARNEY DAVIS LLC</t>
  </si>
  <si>
    <t>PABTEX INC &amp; SAVAGE SERVICES CORP</t>
  </si>
  <si>
    <t>TEXAS MEDICAL CENTER CENTRAL HEATING &amp; COOLING SERVICES CORP</t>
  </si>
  <si>
    <t>THE CHEMOURS CO FC LLC</t>
  </si>
  <si>
    <t>CAMPBELL SOUP SUPPLY CO LLC</t>
  </si>
  <si>
    <t>027</t>
  </si>
  <si>
    <t>WRB REFINING LLC AND CONOCO PHILLIPS CO</t>
  </si>
  <si>
    <t>026</t>
  </si>
  <si>
    <t>017</t>
  </si>
  <si>
    <t>019</t>
  </si>
  <si>
    <t>022</t>
  </si>
  <si>
    <t>RR 417 LLC</t>
  </si>
  <si>
    <t>CITY OF WASKOM</t>
  </si>
  <si>
    <t>HARRIS COUNTY WCID - FONDREN ROAD</t>
  </si>
  <si>
    <t>CITY OF JAMAICA BEACH</t>
  </si>
  <si>
    <t>GALVESTON COUNTY FWSD 6</t>
  </si>
  <si>
    <t>CHAMPS WATER CO</t>
  </si>
  <si>
    <t>CITY OF BAYTOWN</t>
  </si>
  <si>
    <t>DELTA COUNTY MUD</t>
  </si>
  <si>
    <t>CITY OF PANORAMA VILLAGE</t>
  </si>
  <si>
    <t>BELL COUNTY WCID 2</t>
  </si>
  <si>
    <t>CITY OF MILFORD</t>
  </si>
  <si>
    <t>CITY OF MALONE</t>
  </si>
  <si>
    <t>GALVESTON COUNTY MUD 12</t>
  </si>
  <si>
    <t>HUMBLE PARTNERS LP</t>
  </si>
  <si>
    <t>CITY OF WILLS POINT</t>
  </si>
  <si>
    <t>UPPER TRINITY REGIONAL WATER DISTRICT</t>
  </si>
  <si>
    <t>CITY OF ROBSTOWN</t>
  </si>
  <si>
    <t>CITY OF ORANGE GROVE</t>
  </si>
  <si>
    <t>CITY OF INGLESIDE</t>
  </si>
  <si>
    <t>CITY OF MATHIS</t>
  </si>
  <si>
    <t>CITY OF TAYLOR</t>
  </si>
  <si>
    <t>CITY OF WEST</t>
  </si>
  <si>
    <t>TRINITY BAY CONSERVATION DISTRICT</t>
  </si>
  <si>
    <t>CITY OF HOUSTON</t>
  </si>
  <si>
    <t>CITY OF GIDDINGS</t>
  </si>
  <si>
    <t>CITY OF MALAKOFF</t>
  </si>
  <si>
    <t>AVALON WATER SUPPLY &amp; SEWER CORP</t>
  </si>
  <si>
    <t>CITY OF COMMERCE</t>
  </si>
  <si>
    <t>CITY OF BELLAIRE</t>
  </si>
  <si>
    <t>CITY OF BELLVILLE</t>
  </si>
  <si>
    <t>TOWN OF FLOWER MOUND</t>
  </si>
  <si>
    <t>HARRIS COUNTY WCID 133</t>
  </si>
  <si>
    <t>GREENWOOD UTILITY DISTRICT</t>
  </si>
  <si>
    <t>CITY OF LA GRANGE</t>
  </si>
  <si>
    <t>HARRIS COUNTY WCID 92</t>
  </si>
  <si>
    <t>SHELDON ROAD MUD</t>
  </si>
  <si>
    <t>CITY OF JUNCTION</t>
  </si>
  <si>
    <t>CAPE ROYALE UD</t>
  </si>
  <si>
    <t>CITY OF TALCO</t>
  </si>
  <si>
    <t>HARRIS COUNTY WCID 119</t>
  </si>
  <si>
    <t>FALLBROOK UTILITY DISTRICT</t>
  </si>
  <si>
    <t>SUNBELT FWSD</t>
  </si>
  <si>
    <t>SUNBELT FRESH WATER SUPPLY DISTRICT</t>
  </si>
  <si>
    <t>CITY OF WHARTON</t>
  </si>
  <si>
    <t>CITY OF SAN SABA</t>
  </si>
  <si>
    <t>JASPER COUNTY WCID 1</t>
  </si>
  <si>
    <t>CITY OF FRANKLIN</t>
  </si>
  <si>
    <t>BACLIFF MUD</t>
  </si>
  <si>
    <t>CITY OF MINEOLA</t>
  </si>
  <si>
    <t>FORT BEND COUNTY WCID NO 2</t>
  </si>
  <si>
    <t>CITY OF EL CAMPO</t>
  </si>
  <si>
    <t>WEST MEMORIAL MUD</t>
  </si>
  <si>
    <t>CITY OF MERCEDES</t>
  </si>
  <si>
    <t>CITY OF COLEMAN</t>
  </si>
  <si>
    <t>CITY OF ROYSE CITY</t>
  </si>
  <si>
    <t>FORRESTON SEWER SERVICE &amp; WSC</t>
  </si>
  <si>
    <t>CITY OF MARLIN</t>
  </si>
  <si>
    <t>CITY OF MARSHALL</t>
  </si>
  <si>
    <t>CITY OF MUENSTER</t>
  </si>
  <si>
    <t>CITY OF GORMAN</t>
  </si>
  <si>
    <t>CITY OF BONHAM</t>
  </si>
  <si>
    <t>BAYVIEW MUD</t>
  </si>
  <si>
    <t>MONTGOMERY COUNTY MUD 15</t>
  </si>
  <si>
    <t>STANLEY LAKE MUD</t>
  </si>
  <si>
    <t>POINT AQUARIUS MUD</t>
  </si>
  <si>
    <t>MONTGOMERY COUNTY MUD NO 8</t>
  </si>
  <si>
    <t>CITY OF ROCKPORT</t>
  </si>
  <si>
    <t>CITY OF LONGVIEW</t>
  </si>
  <si>
    <t>NORTH TEXAS MUNICIPAL WATER DISTRICT</t>
  </si>
  <si>
    <t>CITY OF SEABROOK</t>
  </si>
  <si>
    <t>CITY OF CONROE</t>
  </si>
  <si>
    <t>CITY OF HENRIETTA</t>
  </si>
  <si>
    <t>CITY OF BOGATA</t>
  </si>
  <si>
    <t>CITY OF QUINLAN</t>
  </si>
  <si>
    <t>CITY OF SAN AUGUSTINE</t>
  </si>
  <si>
    <t>CITY OF GAINESVILLE</t>
  </si>
  <si>
    <t>CITY OF SEGUIN</t>
  </si>
  <si>
    <t>CITY OF HUNTSVILLE</t>
  </si>
  <si>
    <t>CITY OF TOMBALL</t>
  </si>
  <si>
    <t>CITY OF BANDERA</t>
  </si>
  <si>
    <t>CITY OF SANGER</t>
  </si>
  <si>
    <t>CITY OF GOLIAD</t>
  </si>
  <si>
    <t>CITY OF FROST</t>
  </si>
  <si>
    <t>CITY OF LAMPASAS</t>
  </si>
  <si>
    <t>HARRIS COUNTY FWSD NO 47</t>
  </si>
  <si>
    <t>CITY OF WESLACO</t>
  </si>
  <si>
    <t>CITY OF ALBA</t>
  </si>
  <si>
    <t>CITY OF JUSTIN</t>
  </si>
  <si>
    <t>CITY OF TERRELL</t>
  </si>
  <si>
    <t>CLEAR LAKE CITY WATER AUTHORITY</t>
  </si>
  <si>
    <t>CITY OF TATUM</t>
  </si>
  <si>
    <t>CITY OF ELKHART</t>
  </si>
  <si>
    <t>CITY OF LEFORS</t>
  </si>
  <si>
    <t>CITY OF PLEASANTON</t>
  </si>
  <si>
    <t>US DEPT OF THE AIR FORCE</t>
  </si>
  <si>
    <t>CITY OF BRYAN</t>
  </si>
  <si>
    <t>CITY OF BOYD</t>
  </si>
  <si>
    <t>CITY OF PILOT POINT</t>
  </si>
  <si>
    <t>CITY OF GEORGETOWN</t>
  </si>
  <si>
    <t>CITY OF MARION</t>
  </si>
  <si>
    <t>CITY OF ANNONA</t>
  </si>
  <si>
    <t>CITY OF COMANCHE</t>
  </si>
  <si>
    <t>CITY OF QUITMAN</t>
  </si>
  <si>
    <t>HARRIS COUNTY WCID NO 21</t>
  </si>
  <si>
    <t>CITY OF LULING</t>
  </si>
  <si>
    <t>CITY OF LA PORTE</t>
  </si>
  <si>
    <t>TRINITY RIVER AUTHORITY OF TEXAS</t>
  </si>
  <si>
    <t>MEMORIAL POINT UD</t>
  </si>
  <si>
    <t>HARRIS COUNTY FWSD 61</t>
  </si>
  <si>
    <t>CITY OF COLUMBUS</t>
  </si>
  <si>
    <t>CITY OF PORT NECHES</t>
  </si>
  <si>
    <t>CITY OF ROBERT LEE</t>
  </si>
  <si>
    <t>CITY OF SMITHVILLE</t>
  </si>
  <si>
    <t>CITY OF HOOKS</t>
  </si>
  <si>
    <t>CITY OF ALPINE</t>
  </si>
  <si>
    <t>CITY OF VERNON</t>
  </si>
  <si>
    <t>CITY OF BISHOP</t>
  </si>
  <si>
    <t>CITY OF KERENS</t>
  </si>
  <si>
    <t>CITY OF HAWKINS</t>
  </si>
  <si>
    <t>CITY OF PALACIOS</t>
  </si>
  <si>
    <t>HOUSTON COUNTY WCID 1</t>
  </si>
  <si>
    <t>CITY OF UVALDE</t>
  </si>
  <si>
    <t>CITY OF HILLSBORO</t>
  </si>
  <si>
    <t>CITY OF AZLE</t>
  </si>
  <si>
    <t>CITY OF HAMLIN</t>
  </si>
  <si>
    <t>CITY OF POINT COMFORT</t>
  </si>
  <si>
    <t>CITY OF CALDWELL</t>
  </si>
  <si>
    <t>CITY OF FLATONIA</t>
  </si>
  <si>
    <t>CITY OF SONORA</t>
  </si>
  <si>
    <t>CITY OF BRECKENRIDGE</t>
  </si>
  <si>
    <t>NEWPORT MUD</t>
  </si>
  <si>
    <t>CITY OF CELINA</t>
  </si>
  <si>
    <t>CITY OF SAVOY</t>
  </si>
  <si>
    <t>HARRIS COUNTY WCID NO 1</t>
  </si>
  <si>
    <t>COLORADO COUNTY WCID NO 2</t>
  </si>
  <si>
    <t>OAK MANOR MUD</t>
  </si>
  <si>
    <t>SAN DIEGO MUD 1</t>
  </si>
  <si>
    <t>CITY OF CROWELL</t>
  </si>
  <si>
    <t>CITY OF KEMP</t>
  </si>
  <si>
    <t>CITY OF KINGSVILLE</t>
  </si>
  <si>
    <t>CITY OF BREMOND</t>
  </si>
  <si>
    <t>QUAIL CREEK MUD</t>
  </si>
  <si>
    <t>MOUNT HOUSTON ROAD MUD</t>
  </si>
  <si>
    <t>CITY OF WOLFE CITY</t>
  </si>
  <si>
    <t>CITY OF WHITESBORO</t>
  </si>
  <si>
    <t>CITY OF KIRBYVILLE</t>
  </si>
  <si>
    <t>CITY OF GRUVER</t>
  </si>
  <si>
    <t>INVERNESS FOREST IMPROVEMENT DIST</t>
  </si>
  <si>
    <t>LAGUNA MADRE WATER DISTRICT</t>
  </si>
  <si>
    <t>GALVESTON COUNTY WCID NO 1</t>
  </si>
  <si>
    <t>GALVESTON COUNTY WCID NO 8</t>
  </si>
  <si>
    <t>RAYBURN COUNTRY MUD</t>
  </si>
  <si>
    <t>CITY OF EDGEWOOD</t>
  </si>
  <si>
    <t>CITY OF SILSBEE</t>
  </si>
  <si>
    <t>CITY OF MINERAL WELLS</t>
  </si>
  <si>
    <t>CITY OF CHICO</t>
  </si>
  <si>
    <t>ORANGE COUNTY WCID 1</t>
  </si>
  <si>
    <t>CITY OF HEMPSTEAD</t>
  </si>
  <si>
    <t>HARRIS COUNTY WCID 74</t>
  </si>
  <si>
    <t>CITY OF NASSAU BAY</t>
  </si>
  <si>
    <t>CITY OF WEST UNIVERSITY PLACE</t>
  </si>
  <si>
    <t>CITY OF LOCKHART &amp; GUADALUPE-BLANCO RIVER AUTHORITY</t>
  </si>
  <si>
    <t>CITY OF SOUR LAKE</t>
  </si>
  <si>
    <t>CITY OF ITASCA</t>
  </si>
  <si>
    <t>CITY OF MCGREGOR</t>
  </si>
  <si>
    <t>CITY OF TEXAS CITY</t>
  </si>
  <si>
    <t>CITY OF ABILENE</t>
  </si>
  <si>
    <t>CITY OF ROSEBUD</t>
  </si>
  <si>
    <t>CITY OF EASTLAND</t>
  </si>
  <si>
    <t>CITY OF MOODY</t>
  </si>
  <si>
    <t>SAN ANTONIO RIVER AUTHORITY</t>
  </si>
  <si>
    <t>CITY OF EDINBURG</t>
  </si>
  <si>
    <t>CITY OF QUANAH</t>
  </si>
  <si>
    <t>MATAGORDA COUNTY WCID 6</t>
  </si>
  <si>
    <t>CITY OF LIVINGSTON</t>
  </si>
  <si>
    <t>CITY OF PINEHURST</t>
  </si>
  <si>
    <t>CITY OF CELESTE</t>
  </si>
  <si>
    <t>CITY OF KRUM</t>
  </si>
  <si>
    <t>CITY OF PORT ARTHUR</t>
  </si>
  <si>
    <t>CITY OF STEPHENVILLE</t>
  </si>
  <si>
    <t>CITY OF ORE CITY</t>
  </si>
  <si>
    <t>CITY OF CUERO</t>
  </si>
  <si>
    <t>CITY OF EDNA</t>
  </si>
  <si>
    <t>CITY OF OLNEY</t>
  </si>
  <si>
    <t>NUECES COUNTY WCID NO 4</t>
  </si>
  <si>
    <t>CITY OF LUFKIN</t>
  </si>
  <si>
    <t>CITY OF SHERMAN</t>
  </si>
  <si>
    <t>CITY OF JASPER</t>
  </si>
  <si>
    <t>CITY OF SCHULENBURG</t>
  </si>
  <si>
    <t>CITY OF NAPLES</t>
  </si>
  <si>
    <t>CITY OF BOERNE</t>
  </si>
  <si>
    <t>CITY OF HARKER HEIGHTS</t>
  </si>
  <si>
    <t>CITY OF ROSENBERG</t>
  </si>
  <si>
    <t>CITY OF GRANDVIEW</t>
  </si>
  <si>
    <t>CITY OF SWEENY</t>
  </si>
  <si>
    <t>CITY OF RAYMONDVILLE</t>
  </si>
  <si>
    <t>CITY OF ALVIN</t>
  </si>
  <si>
    <t>CITY OF SINTON</t>
  </si>
  <si>
    <t>CITY OF WEBSTER</t>
  </si>
  <si>
    <t>AQUA TEXAS INC</t>
  </si>
  <si>
    <t>CITY OF GRAHAM</t>
  </si>
  <si>
    <t>SOUTHERN MONTGOMERY COUNTY MUD</t>
  </si>
  <si>
    <t>CITY OF RHOME</t>
  </si>
  <si>
    <t>CITY OF SAINT JO</t>
  </si>
  <si>
    <t>CITY OF IREDELL</t>
  </si>
  <si>
    <t>CITY OF THROCKMORTON</t>
  </si>
  <si>
    <t>CITY OF DIBOLL</t>
  </si>
  <si>
    <t>CITY OF JEFFERSON</t>
  </si>
  <si>
    <t>CITY OF DECATUR</t>
  </si>
  <si>
    <t>CITY OF CRANDALL</t>
  </si>
  <si>
    <t>CITY OF GATESVILLE</t>
  </si>
  <si>
    <t>SEIS LAGOS UD</t>
  </si>
  <si>
    <t>CITY OF ALTO</t>
  </si>
  <si>
    <t>BROOKSHIRE MWD</t>
  </si>
  <si>
    <t>CITY OF SEALY</t>
  </si>
  <si>
    <t>HARRIS COUNTY FWSD 51</t>
  </si>
  <si>
    <t>CITYOF LINDSAY</t>
  </si>
  <si>
    <t>DALLAS/FORT WORTH INTERNATIONAL AIRPORT BOARD</t>
  </si>
  <si>
    <t>023</t>
  </si>
  <si>
    <t>059</t>
  </si>
  <si>
    <t>CITY OF ECTOR</t>
  </si>
  <si>
    <t>CITY OF VICTORIA</t>
  </si>
  <si>
    <t>GUADALUPE-BLANCO RIVER AUTHORITY</t>
  </si>
  <si>
    <t>CITY OF HALLETTSVILLE</t>
  </si>
  <si>
    <t>COMMODORE COVE IMPROVEMENT DIST</t>
  </si>
  <si>
    <t>CITY OF DEER PARK</t>
  </si>
  <si>
    <t>CITY OF ATHENS</t>
  </si>
  <si>
    <t>MONTGOMERY COUNTY WCID NO 1</t>
  </si>
  <si>
    <t>HARRIS COUNTY WCID 70</t>
  </si>
  <si>
    <t>CITY OF STAMFORD</t>
  </si>
  <si>
    <t>CITY OF PITTSBURG</t>
  </si>
  <si>
    <t>CITY OF PALESTINE</t>
  </si>
  <si>
    <t>CITY OF BRENHAM</t>
  </si>
  <si>
    <t>CITY OF BRIDGE CITY</t>
  </si>
  <si>
    <t>CITY OF GILMER</t>
  </si>
  <si>
    <t>CITY OF HUTTO</t>
  </si>
  <si>
    <t>CITY OF BRAZORIA</t>
  </si>
  <si>
    <t>EL DORADO UTILITY DISTRICT</t>
  </si>
  <si>
    <t>RIVER PLANTATION MUD</t>
  </si>
  <si>
    <t>CITY OF ARANSAS PASS</t>
  </si>
  <si>
    <t>CITY OF MENARD</t>
  </si>
  <si>
    <t>CITY OF KATY</t>
  </si>
  <si>
    <t>CITY OF HOLLIDAY</t>
  </si>
  <si>
    <t>CITY OF LAKE JACKSON</t>
  </si>
  <si>
    <t>CITY OF AMARILLO</t>
  </si>
  <si>
    <t>CITY OF WOODVILLE</t>
  </si>
  <si>
    <t>WHARTON COUNTY WCID NO 2</t>
  </si>
  <si>
    <t>CITY OF HEARNE</t>
  </si>
  <si>
    <t>CITY OF CROCKETT</t>
  </si>
  <si>
    <t>CITY OF WEIMAR</t>
  </si>
  <si>
    <t>CITY OF WALLIS</t>
  </si>
  <si>
    <t>CITY OF CARRIZO SPRINGS</t>
  </si>
  <si>
    <t>CITY OF NEW BOSTON</t>
  </si>
  <si>
    <t>CITY OF GANADO</t>
  </si>
  <si>
    <t>CITY OF YOAKUM</t>
  </si>
  <si>
    <t>CITY OF SHINER</t>
  </si>
  <si>
    <t>CITY OF MART</t>
  </si>
  <si>
    <t>CITY OF WEST COLUMBIA</t>
  </si>
  <si>
    <t>SPRING CREEK UTILITY DISTRICT</t>
  </si>
  <si>
    <t>DOWDELL PUD</t>
  </si>
  <si>
    <t>SPENCER ROAD PUD</t>
  </si>
  <si>
    <t>HARRIS COUNTY MUD 5</t>
  </si>
  <si>
    <t>HARRIS COUNTY MUD 6</t>
  </si>
  <si>
    <t>HARRIS COUNTY FWSD 52</t>
  </si>
  <si>
    <t>CITY OF NEDERLAND</t>
  </si>
  <si>
    <t>CITY OF BURNET</t>
  </si>
  <si>
    <t>CITIES OF WACO, WOODWAY, BELLMEAD, LACY-LAKEVIEW, ROBINSON...</t>
  </si>
  <si>
    <t>CITY OF SEYMOUR</t>
  </si>
  <si>
    <t>CITY OF WHITE OAK</t>
  </si>
  <si>
    <t>CITY OF KILGORE</t>
  </si>
  <si>
    <t>TOWN OF LAKEWOOD VILLAGE</t>
  </si>
  <si>
    <t>CITY OF BARDWELL</t>
  </si>
  <si>
    <t>CITY OF HICO</t>
  </si>
  <si>
    <t>CITY OF PALMER</t>
  </si>
  <si>
    <t>CITY OF MADISONVILLE</t>
  </si>
  <si>
    <t>CITY OF SEADRIFT</t>
  </si>
  <si>
    <t>CITY OF RUNAWAY BAY</t>
  </si>
  <si>
    <t>ROLLING FORK PUD</t>
  </si>
  <si>
    <t>EL PASO WATER UTILITIES PUBLIC SERVICE BOARD</t>
  </si>
  <si>
    <t>CITY OF BLUE RIDGE</t>
  </si>
  <si>
    <t>CITY OF HAMILTON</t>
  </si>
  <si>
    <t>CITY OF VAN ALSTYNE</t>
  </si>
  <si>
    <t>CITY OF HASKELL</t>
  </si>
  <si>
    <t>CITY OF HALLSVILLE</t>
  </si>
  <si>
    <t>CITY OF BURKBURNETT</t>
  </si>
  <si>
    <t>CITY OF ELECTRA</t>
  </si>
  <si>
    <t>CITY OF SOUTHSIDE PLACE</t>
  </si>
  <si>
    <t>CITY OF BARTLETT</t>
  </si>
  <si>
    <t>CITY OF DAINGERFIELD</t>
  </si>
  <si>
    <t>CORINTHIAN POINT MUD NO 2</t>
  </si>
  <si>
    <t>CITY OF ROGERS</t>
  </si>
  <si>
    <t>HARRIS COUNTY FWSD 6</t>
  </si>
  <si>
    <t>CITY OF ALEDO</t>
  </si>
  <si>
    <t>CITY OF LOVELADY</t>
  </si>
  <si>
    <t>HARRIS COUNTY WCID NO 50</t>
  </si>
  <si>
    <t>CITY OF PINELAND</t>
  </si>
  <si>
    <t>CITY OF BELLEVUE</t>
  </si>
  <si>
    <t>CITY OF ROCKDALE</t>
  </si>
  <si>
    <t>CITY OF GUNTER</t>
  </si>
  <si>
    <t>CITY OF GONZALES</t>
  </si>
  <si>
    <t>CITY OF MORGANS POINT</t>
  </si>
  <si>
    <t>CONROE BAY WATER SEWER SUPPLY CORP</t>
  </si>
  <si>
    <t>EMERALD FOREST UD</t>
  </si>
  <si>
    <t>CITY OF NORMANGEE</t>
  </si>
  <si>
    <t>WHARTON COUNTY WCID 1</t>
  </si>
  <si>
    <t>CITY OF TAFT</t>
  </si>
  <si>
    <t>CITY OF EUSTACE</t>
  </si>
  <si>
    <t>CITY OF COTULLA</t>
  </si>
  <si>
    <t>CITY OF JOSEPHINE</t>
  </si>
  <si>
    <t>CITY OF WAXAHACHIE</t>
  </si>
  <si>
    <t>CITY OF GRAND SALINE</t>
  </si>
  <si>
    <t>CITY OF PAMPA</t>
  </si>
  <si>
    <t>CITY OF NEEDVILLE</t>
  </si>
  <si>
    <t>JACKSON COUNTY WCID  NO 2</t>
  </si>
  <si>
    <t>WESTWOOD SHORES MUD</t>
  </si>
  <si>
    <t>CITY OF TOLAR</t>
  </si>
  <si>
    <t>HARDIN COUNTY WCID 1</t>
  </si>
  <si>
    <t>AQUA UTILITIES INC</t>
  </si>
  <si>
    <t>CITY OF FRISCO</t>
  </si>
  <si>
    <t>CITY OF MEMPHIS</t>
  </si>
  <si>
    <t>HARRIS COUNTY FWSD 58</t>
  </si>
  <si>
    <t>CITY OF KENEDY</t>
  </si>
  <si>
    <t>CITY OF RIO HONDO</t>
  </si>
  <si>
    <t>CITY OF GALVESTON</t>
  </si>
  <si>
    <t>CITY OF PARIS</t>
  </si>
  <si>
    <t>RANDOLPH WSC</t>
  </si>
  <si>
    <t>CITY OF COOPER</t>
  </si>
  <si>
    <t>DIANA SPECIAL UTILITY DISTRICT</t>
  </si>
  <si>
    <t>UNIVERSAL FOREST PRODUCTS TEXAS LLC</t>
  </si>
  <si>
    <t>HOUSTON FMC-IREIC LLC AND FMC TECHNOLOGIES INC</t>
  </si>
  <si>
    <t>NUCOR STEEL LONGVIEW LLC</t>
  </si>
  <si>
    <t>CAPITOL AGGREGATES INC</t>
  </si>
  <si>
    <t>BIG BROWN POWER CO LLC AND LUMINANT GENERATION CO LLC</t>
  </si>
  <si>
    <t>LYONDELL CHEMICAL CO</t>
  </si>
  <si>
    <t>LEVERETTS CHAPEL ISD</t>
  </si>
  <si>
    <t>TEXAS HEALTH AND HUMAN SERVICES COMMISSION</t>
  </si>
  <si>
    <t>TEXAS DEPT OF AGING AND DISABILITES SERVICES</t>
  </si>
  <si>
    <t>WEST HARDIN CISD</t>
  </si>
  <si>
    <t>KM LIQUIDS TERMINALS LLC</t>
  </si>
  <si>
    <t>VOPAK LOGISTICS SERVICES USA INC</t>
  </si>
  <si>
    <t>SOUTHERN WATER CORP</t>
  </si>
  <si>
    <t>BEECHWOOD WSC</t>
  </si>
  <si>
    <t>WESTWOOD WSC</t>
  </si>
  <si>
    <t>BROOKELAND FWSD</t>
  </si>
  <si>
    <t>DOUGLAS UTILITY CO</t>
  </si>
  <si>
    <t>HFOTCO LLC</t>
  </si>
  <si>
    <t>TEXAS DEPT OF CRIMINAL JUSTICE</t>
  </si>
  <si>
    <t>CITY OF GRAPEVINE</t>
  </si>
  <si>
    <t>D BAR B WATER WASTEWATER SUPPLY CORP</t>
  </si>
  <si>
    <t>CITY OF SPEARMAN</t>
  </si>
  <si>
    <t>CITY OF ATLANTA</t>
  </si>
  <si>
    <t>CITY OF CARTHAGE</t>
  </si>
  <si>
    <t>CITY OF THORNDALE</t>
  </si>
  <si>
    <t>CITY OF POTEET</t>
  </si>
  <si>
    <t>BRAZORIA COUNTY FWSD 1</t>
  </si>
  <si>
    <t>CITY OF WALLER</t>
  </si>
  <si>
    <t>EAST TEXAS MUD OF SMITH COUNTY</t>
  </si>
  <si>
    <t>CITY OF REFUGIO (TOWN OF REFUGIO)</t>
  </si>
  <si>
    <t>MONTGOMERY COUNTY UD NO 2</t>
  </si>
  <si>
    <t>TEXAS PARKS &amp; WILDLIFE DEPT</t>
  </si>
  <si>
    <t>TOWN OF WOODSBORO</t>
  </si>
  <si>
    <t>CITY OF SPRINGTOWN</t>
  </si>
  <si>
    <t>CITY OF COMO</t>
  </si>
  <si>
    <t>CITY OF BASTROP</t>
  </si>
  <si>
    <t>CITY OF LA FERIA</t>
  </si>
  <si>
    <t>CITY OF PEARSALL</t>
  </si>
  <si>
    <t>CITY OF PEARLAND</t>
  </si>
  <si>
    <t>RIO GRANDE VALLEY SUGAR GROWERS INC</t>
  </si>
  <si>
    <t>ROCKPORT TERMINALS LLC</t>
  </si>
  <si>
    <t>RIVER HILLS OWNERS ASSN INC</t>
  </si>
  <si>
    <t>SASSON ELI GRAVRIEL</t>
  </si>
  <si>
    <t>TXBR RAMBLEWOOD MHP LLC</t>
  </si>
  <si>
    <t>HARRIS COUNTY WCID NO 109</t>
  </si>
  <si>
    <t>CITY OF WHITEWRIGHT</t>
  </si>
  <si>
    <t>CITY OF BIG SANDY</t>
  </si>
  <si>
    <t>CITY OF GLEN ROSE</t>
  </si>
  <si>
    <t>CITY OF FREEPORT</t>
  </si>
  <si>
    <t>CITY OF AGUA DULCE</t>
  </si>
  <si>
    <t>CITY OF CHARLOTTE</t>
  </si>
  <si>
    <t>CITY OF FRANKSTON</t>
  </si>
  <si>
    <t>CITY OF CHANDLER</t>
  </si>
  <si>
    <t>CITY OF TROUP</t>
  </si>
  <si>
    <t>BOLING MWD</t>
  </si>
  <si>
    <t>CITY OF CLIFTON</t>
  </si>
  <si>
    <t>CITY OF ANAHUAC &amp; TRINITY BAY CONSERV DIST</t>
  </si>
  <si>
    <t>CITY OF ALICE</t>
  </si>
  <si>
    <t>CITY OF BRADY</t>
  </si>
  <si>
    <t>CITY OF HUMBLE</t>
  </si>
  <si>
    <t>CITY OF COLLINSVILLE</t>
  </si>
  <si>
    <t>HARRIS COUNTY WCID 84</t>
  </si>
  <si>
    <t>CITY OF CLUTE</t>
  </si>
  <si>
    <t>CITY OF WAELDER</t>
  </si>
  <si>
    <t>CITY OF BAY CITY</t>
  </si>
  <si>
    <t>CITY OF TEAGUE</t>
  </si>
  <si>
    <t>MAVERICK TUBE CORPORATION</t>
  </si>
  <si>
    <t>GULF CHEMICAL &amp; METALLURGICAL CORP</t>
  </si>
  <si>
    <t>CITY OF QUEEN CITY</t>
  </si>
  <si>
    <t>GULF COAST TRADES CENTER</t>
  </si>
  <si>
    <t>US DEPARTMENT OF THE AIR FORCE</t>
  </si>
  <si>
    <t>QUAIL VALLEY UD</t>
  </si>
  <si>
    <t>CITY OF KNOX CITY</t>
  </si>
  <si>
    <t>NERRO SUPPLY LLC</t>
  </si>
  <si>
    <t>ENCANTO REAL UD</t>
  </si>
  <si>
    <t>WYMAN-GORDON FORGINGS INC</t>
  </si>
  <si>
    <t>CITY OF NOCONA</t>
  </si>
  <si>
    <t>CITY OF HOLLAND</t>
  </si>
  <si>
    <t>JACKRABBIT ROAD PUD</t>
  </si>
  <si>
    <t>BAMMEL UD</t>
  </si>
  <si>
    <t>MEADOWHILL REGIONAL MUD</t>
  </si>
  <si>
    <t>MEMORIAL HILLS UD</t>
  </si>
  <si>
    <t>TIMBER LANE UTILITY DISTRICT</t>
  </si>
  <si>
    <t>PRESTONWOOD FOREST UTILITY DISTRICT</t>
  </si>
  <si>
    <t>HARRIS COUNTY WCID 116</t>
  </si>
  <si>
    <t>TRESCHWIG JOINT POWERS BOARD</t>
  </si>
  <si>
    <t>HARRIS COUNTY WCID 99</t>
  </si>
  <si>
    <t>PONDEROSA JOINT POWERS AGENCY</t>
  </si>
  <si>
    <t>CYPRESS-KLEIN UD</t>
  </si>
  <si>
    <t>KLEINWOOD JOINT POWERS BOARD</t>
  </si>
  <si>
    <t>LAKE FOREST PLANT ADVISORY COUNCIL</t>
  </si>
  <si>
    <t>CHARTERWOOD MUD</t>
  </si>
  <si>
    <t>TIMBERLAKE IMPROVEMENT DISTRICT</t>
  </si>
  <si>
    <t>VENATOR CHEMICALS LLC</t>
  </si>
  <si>
    <t>CITY OF AUSTIN</t>
  </si>
  <si>
    <t>CITY OF BEAUMONT</t>
  </si>
  <si>
    <t>CITY OF BEEVILLE</t>
  </si>
  <si>
    <t>CITY OF BIG SPRING</t>
  </si>
  <si>
    <t>CITY OF BORGER</t>
  </si>
  <si>
    <t>CITY OF BROWNWOOD</t>
  </si>
  <si>
    <t>CITY OF CORPUS CHRISTI</t>
  </si>
  <si>
    <t>CITY OF CLEBURNE</t>
  </si>
  <si>
    <t>CITY OF COLLEGE STATION</t>
  </si>
  <si>
    <t>CITY OF DENTON</t>
  </si>
  <si>
    <t>CITY OF DEL RIO</t>
  </si>
  <si>
    <t>CITY OF DENISON</t>
  </si>
  <si>
    <t>CITY OF ENNIS</t>
  </si>
  <si>
    <t>CITY OF FORT WORTH</t>
  </si>
  <si>
    <t>CITY OF KERRVILLE</t>
  </si>
  <si>
    <t>CITY OF MCALLEN</t>
  </si>
  <si>
    <t>MEMORIAL VILLAGES WATER AUTHORITY</t>
  </si>
  <si>
    <t>CITY OF PORT LAVACA</t>
  </si>
  <si>
    <t>CITY OF PLAINVIEW</t>
  </si>
  <si>
    <t>CITY OF TEMPLE</t>
  </si>
  <si>
    <t>CITY OF WICHITA FALLS</t>
  </si>
  <si>
    <t>CITY OF WEATHERFORD</t>
  </si>
  <si>
    <t>ARCOSA LWS LLC</t>
  </si>
  <si>
    <t>CITY OF SNYDER</t>
  </si>
  <si>
    <t>CITY OF HARLINGEN WATERWORKS SYSTEM</t>
  </si>
  <si>
    <t>CITY OF SAN MARCOS</t>
  </si>
  <si>
    <t>CITY OF TYLER</t>
  </si>
  <si>
    <t>CITY OF AUSTWELL</t>
  </si>
  <si>
    <t>GULF COAST AUTHORITY</t>
  </si>
  <si>
    <t>SAN ANTONIO WATER SYSTEM</t>
  </si>
  <si>
    <t>CITY OF HENDERSON</t>
  </si>
  <si>
    <t>CITY OF GOLDTHWAITE</t>
  </si>
  <si>
    <t>CITY OF LA VERNIA</t>
  </si>
  <si>
    <t>CITY OF HUGHES SPRINGS</t>
  </si>
  <si>
    <t>CITY OF LEWISVILLE</t>
  </si>
  <si>
    <t>HARRIS COUNTY MUD NO 102</t>
  </si>
  <si>
    <t>CITY OF IOWA PARK</t>
  </si>
  <si>
    <t>CITY OF LINDALE</t>
  </si>
  <si>
    <t>CITY OF JOHNSON CITY</t>
  </si>
  <si>
    <t>CITY OF CUMBY</t>
  </si>
  <si>
    <t>CITY OF MEXIA</t>
  </si>
  <si>
    <t>W &amp; P DEVELOPMENT CORP</t>
  </si>
  <si>
    <t>CITY OF CHILLICOTHE</t>
  </si>
  <si>
    <t>WESTLAKE MUD NO 1</t>
  </si>
  <si>
    <t>CITY OF THE COLONY</t>
  </si>
  <si>
    <t>CITY OF MOULTON</t>
  </si>
  <si>
    <t>CITY OF HUBBARD</t>
  </si>
  <si>
    <t>CITY OF MONT BELVIEU</t>
  </si>
  <si>
    <t>REID ROAD MUD 1</t>
  </si>
  <si>
    <t>CITY OF BELLS</t>
  </si>
  <si>
    <t>CITY OF LOTT</t>
  </si>
  <si>
    <t>CITY OF CRYSTAL CITY</t>
  </si>
  <si>
    <t>CITY OF HUNTINGTON</t>
  </si>
  <si>
    <t>CITY OF DAWSON</t>
  </si>
  <si>
    <t>MCLENNAN COUNTY WCID 2</t>
  </si>
  <si>
    <t>CITY OF CLEVELAND</t>
  </si>
  <si>
    <t>CITY OF AVERY</t>
  </si>
  <si>
    <t>CITY OF BANGS</t>
  </si>
  <si>
    <t>CHILTON WATER SUPPLY &amp; SEWER SERVICE CORP</t>
  </si>
  <si>
    <t>CITY OF ROXTON</t>
  </si>
  <si>
    <t>NORTH ORANGE WATER &amp; SEWER LLC</t>
  </si>
  <si>
    <t>CITY OF MAYPEARL</t>
  </si>
  <si>
    <t>CITY OF BUFFALO</t>
  </si>
  <si>
    <t>BLUE RIDGE WEST MUD</t>
  </si>
  <si>
    <t>CITY OF CAMERON</t>
  </si>
  <si>
    <t>CITY OF MERIDIAN</t>
  </si>
  <si>
    <t>CITY OF CISCO</t>
  </si>
  <si>
    <t>TOWN OF LITTLE ELM</t>
  </si>
  <si>
    <t>SHINTECH INC</t>
  </si>
  <si>
    <t>CITY OF MEADOWS PLACE</t>
  </si>
  <si>
    <t>CITY OF CUSHING</t>
  </si>
  <si>
    <t>CITY OF BEASLEY</t>
  </si>
  <si>
    <t>CITY OF CANADIAN</t>
  </si>
  <si>
    <t>CITY OF JACINTO CITY</t>
  </si>
  <si>
    <t>CITY OF CALVERT</t>
  </si>
  <si>
    <t>MATAGORDA WASTE DISPOSAL &amp; WSC</t>
  </si>
  <si>
    <t>CITY OF VAN</t>
  </si>
  <si>
    <t>REFUGIO COUNTY WCID 1</t>
  </si>
  <si>
    <t>OREAL INC</t>
  </si>
  <si>
    <t>CROSBY MUD</t>
  </si>
  <si>
    <t>CITY OF NOME</t>
  </si>
  <si>
    <t>SAN JACINTO RIVER AUTHORITY</t>
  </si>
  <si>
    <t>CITY OF ARP</t>
  </si>
  <si>
    <t>CITY OF LEONARD</t>
  </si>
  <si>
    <t>CITY OF STOCKDALE</t>
  </si>
  <si>
    <t>CITY OF DUBLIN</t>
  </si>
  <si>
    <t>LAKE CONROE HILLS MUD</t>
  </si>
  <si>
    <t>CITY OF RUSK</t>
  </si>
  <si>
    <t>CITY OF LEXINGTON</t>
  </si>
  <si>
    <t>CITY OF GROESBECK</t>
  </si>
  <si>
    <t>CITY OF ARCHER CITY</t>
  </si>
  <si>
    <t>CITY OF BEVIL OAKS</t>
  </si>
  <si>
    <t>CITY OF TRINIDAD</t>
  </si>
  <si>
    <t>CITY OF BLANCO</t>
  </si>
  <si>
    <t>CITY OF YORKTOWN</t>
  </si>
  <si>
    <t>CITY OF WINNSBORO</t>
  </si>
  <si>
    <t>CITY OF CRAWFORD</t>
  </si>
  <si>
    <t>CITY OF FALLS CITY</t>
  </si>
  <si>
    <t>PETTUS MUD</t>
  </si>
  <si>
    <t>NORTH ORANGE WATER AND SEWER LLC</t>
  </si>
  <si>
    <t>ORANGE COUNTY WCID NO 2</t>
  </si>
  <si>
    <t>CITY OF DE LEON</t>
  </si>
  <si>
    <t>CITY OF GOREE</t>
  </si>
  <si>
    <t>CITY OF FAYETTEVILLE</t>
  </si>
  <si>
    <t>CITY OF NACOGDOCHES</t>
  </si>
  <si>
    <t>CNP UTILITY DISTRICT</t>
  </si>
  <si>
    <t>CITY OF TOM BEAN</t>
  </si>
  <si>
    <t>CITY OF TIOGA</t>
  </si>
  <si>
    <t>CITY OF GRAPELAND</t>
  </si>
  <si>
    <t>CITY OF SADLER</t>
  </si>
  <si>
    <t>CITY OF PORTLAND</t>
  </si>
  <si>
    <t>BROWNSVILLE PUBLIC UTILITIES BOARD</t>
  </si>
  <si>
    <t>CITY OF SOMERVILLE</t>
  </si>
  <si>
    <t>CITY OF EVANT</t>
  </si>
  <si>
    <t>CITY OF DETROIT</t>
  </si>
  <si>
    <t>CITY OF GREENVILLE</t>
  </si>
  <si>
    <t>TROPHY CLUB MUD NO 1</t>
  </si>
  <si>
    <t>CITY OF HILLCREST VILLAGE</t>
  </si>
  <si>
    <t>ANGELINA &amp; NECHES RIVER AUTHORITY</t>
  </si>
  <si>
    <t>CITY OF SNOOK</t>
  </si>
  <si>
    <t>CITY OF FLORESVILLE</t>
  </si>
  <si>
    <t>CITY OF REDWATER</t>
  </si>
  <si>
    <t>CITY OF ANGLETON</t>
  </si>
  <si>
    <t>PECAN GROVE MUD</t>
  </si>
  <si>
    <t>CHELFORD CITY MUD</t>
  </si>
  <si>
    <t>HARRIS COUNTY MUD NO 26</t>
  </si>
  <si>
    <t>SPORT HARBOUR LLC</t>
  </si>
  <si>
    <t>CITY OF AUBREY</t>
  </si>
  <si>
    <t>CITY OF KENNARD</t>
  </si>
  <si>
    <t>CITY OF MORGAN</t>
  </si>
  <si>
    <t>CITY OF ANNA</t>
  </si>
  <si>
    <t>CITY OF NEW WAVERLY</t>
  </si>
  <si>
    <t>CITY OF MONTGOMERY</t>
  </si>
  <si>
    <t>CITY OF DANBURY</t>
  </si>
  <si>
    <t>CITY OF CORSICANA</t>
  </si>
  <si>
    <t>US DEPT OF JUSTICE</t>
  </si>
  <si>
    <t>BISSONNET MUD</t>
  </si>
  <si>
    <t>CITY OF LADONIA</t>
  </si>
  <si>
    <t>WHITE OAK BAYOU JOINT POWERS BOARD</t>
  </si>
  <si>
    <t>CITY OF COOLIDGE</t>
  </si>
  <si>
    <t>HARRIS COUNTY MUD NO 50</t>
  </si>
  <si>
    <t>CITY OF DODD CITY</t>
  </si>
  <si>
    <t>CITY OF GALENA PARK</t>
  </si>
  <si>
    <t>CITY OF DALHART</t>
  </si>
  <si>
    <t>CITY OF BECKVILLE</t>
  </si>
  <si>
    <t>CITY OF NEWARK</t>
  </si>
  <si>
    <t>BYK ADDITIVES INC</t>
  </si>
  <si>
    <t>CITY OF SOUTH HOUSTON</t>
  </si>
  <si>
    <t>CITY OF BLOOMBURG</t>
  </si>
  <si>
    <t>CITY OF BUDA AND GBRA</t>
  </si>
  <si>
    <t>CITY OF LYTLE</t>
  </si>
  <si>
    <t>LOWER COLORADO RIVER AUTHORITY</t>
  </si>
  <si>
    <t>CITY OF SAN JUAN</t>
  </si>
  <si>
    <t>CITY OF EDCOUCH</t>
  </si>
  <si>
    <t>CITY OF ALAMO</t>
  </si>
  <si>
    <t>CITY OF ALVORD</t>
  </si>
  <si>
    <t>PURE UTILITIES LC</t>
  </si>
  <si>
    <t>CITY OF BROADDUS</t>
  </si>
  <si>
    <t>COLLIN PARK MARINA INC</t>
  </si>
  <si>
    <t>US ARMY CORPS OF ENGINEERS</t>
  </si>
  <si>
    <t>CITY OF CLARKSVILLE</t>
  </si>
  <si>
    <t>CITY OF SUGAR LAND</t>
  </si>
  <si>
    <t>BLUE WATER OAKS PROPERTY OWNERS ASSN SEWER SERVICE AND WSC</t>
  </si>
  <si>
    <t>CITY OF TEMPLE AND CITY OF BELTON</t>
  </si>
  <si>
    <t>CITY OF HIDALGO</t>
  </si>
  <si>
    <t>WILLIAMSBURG REGIONAL SEWAGE AUTHORITY</t>
  </si>
  <si>
    <t>NORTH FOREST MUD</t>
  </si>
  <si>
    <t>HARRIS COUNTY MUD 1</t>
  </si>
  <si>
    <t>NORTHAMPTON MUD</t>
  </si>
  <si>
    <t>CITY OF TAYLOR LANDING</t>
  </si>
  <si>
    <t>CITY OF SULPHUR SPRINGS</t>
  </si>
  <si>
    <t>HARRIS COUNTY MUD NO 109</t>
  </si>
  <si>
    <t>MONUMENT CHEMICAL BAYTOWN LLC</t>
  </si>
  <si>
    <t>YOUNG MENS CHRISTIAN ASSOCIATION OF THE GREATER HOUSTON AREA</t>
  </si>
  <si>
    <t>WINTER GARDEN PARK CORP</t>
  </si>
  <si>
    <t>CITY OF HEMPHILL</t>
  </si>
  <si>
    <t>PILOT INDUSTRIES OF TEXAS INC</t>
  </si>
  <si>
    <t>SOUTHWESTERN ELECTRIC POWER COMPANY</t>
  </si>
  <si>
    <t>HARRIS COUNTY MUD 70</t>
  </si>
  <si>
    <t>HARRIS COUNTY WCID NO 113</t>
  </si>
  <si>
    <t>BRAZOS ELECTRIC POWER COOPERATIVE INC</t>
  </si>
  <si>
    <t>CITY OF PHARR</t>
  </si>
  <si>
    <t>HARRIS COUNTY MUD 23</t>
  </si>
  <si>
    <t>CITY OF HITCHCOCK</t>
  </si>
  <si>
    <t>INEOS CALABRIAN CORP</t>
  </si>
  <si>
    <t>NATIONAL OILWELL VARCO LP</t>
  </si>
  <si>
    <t>NECHES RIVER TREATMENT CORP AND LOWER NECHES VALLEY AUTHORITY</t>
  </si>
  <si>
    <t>CITY OF BROWNSBORO</t>
  </si>
  <si>
    <t>CITY OF CENTER</t>
  </si>
  <si>
    <t>PILGRIMS PRIDE CORPORATION</t>
  </si>
  <si>
    <t>ROYALWOOD MUD</t>
  </si>
  <si>
    <t>CITY OF MOUNT VERNON</t>
  </si>
  <si>
    <t>TEXAS A&amp;M UNIVERSITY AT GALVESTON DEVELOPMENT</t>
  </si>
  <si>
    <t>MONTEREY MUSHROOMS INC</t>
  </si>
  <si>
    <t>CITY PUBLIC SERVICE OF SAN ANTONIO</t>
  </si>
  <si>
    <t>101</t>
  </si>
  <si>
    <t>WOODLOCH MHP LLC</t>
  </si>
  <si>
    <t>CSA LIMITED INC</t>
  </si>
  <si>
    <t>LCRA</t>
  </si>
  <si>
    <t>GEORGIA-PACIFIC WOOD PRODUCTS SOUTH LLC</t>
  </si>
  <si>
    <t>GEORGIA-PACIFIC WOOD PRODUCTS WOUTH LLC</t>
  </si>
  <si>
    <t>CITY OF WEST TAWAKONI</t>
  </si>
  <si>
    <t>INTEGRITY GOLDEN TRIANGLE MARINE SERVICES LLC</t>
  </si>
  <si>
    <t>LANGHAM CREEK UD</t>
  </si>
  <si>
    <t>TXI OPERATIONS LP</t>
  </si>
  <si>
    <t>DSM NUTRITIONAL PRODUCTS INC</t>
  </si>
  <si>
    <t>STP NUCLEAR OPERATING CO</t>
  </si>
  <si>
    <t>JACKSON COUNTY WCID 1</t>
  </si>
  <si>
    <t>EL PASO COUNTY WCID NO 4</t>
  </si>
  <si>
    <t>BEN WHEELER WSC</t>
  </si>
  <si>
    <t>OWENS CORNING INSULATING SYSTEMS LLC</t>
  </si>
  <si>
    <t>COMANCHE PEAK POWER CO LLC</t>
  </si>
  <si>
    <t>RESCAR COMPANIES</t>
  </si>
  <si>
    <t>KINGSLAND MUD</t>
  </si>
  <si>
    <t>FORT DAVIS WSC</t>
  </si>
  <si>
    <t>LAKEVIEW METHODIST ASSEMBLY</t>
  </si>
  <si>
    <t>BLUE BELL MANOR UTILITY CO INC</t>
  </si>
  <si>
    <t>ELLINGER SEWER WSC</t>
  </si>
  <si>
    <t>SUBLIGHT ENTERPRISES INC</t>
  </si>
  <si>
    <t>TARRANT BAPTIST ASSN INC</t>
  </si>
  <si>
    <t>SAINT FRANCIS VILLAGE INC</t>
  </si>
  <si>
    <t>THE FORT WORTH BOAT CLUB</t>
  </si>
  <si>
    <t>BC HUMBLE ENTERPRISES LLC</t>
  </si>
  <si>
    <t>OPTIMUS STEEL LLC</t>
  </si>
  <si>
    <t>CITY OF COPPERAS COVE</t>
  </si>
  <si>
    <t>NEW BRAUNFELS UTILITIES</t>
  </si>
  <si>
    <t>SI GROUP INC</t>
  </si>
  <si>
    <t>SABINE VALLEY REGIONAL MENTAL HEALTH AND MENTAL RETARDATION CENTER</t>
  </si>
  <si>
    <t>OAK GROVE MANAGEMENT CO LLC</t>
  </si>
  <si>
    <t>TEXAS AIRSTREAM HARBOR INC</t>
  </si>
  <si>
    <t>HARRIS COUNTY</t>
  </si>
  <si>
    <t>INTERCONTINENTAL TERMINALS CO LLC</t>
  </si>
  <si>
    <t>CITY OF NATALIA</t>
  </si>
  <si>
    <t>TEXAS NATIONAL MUD</t>
  </si>
  <si>
    <t>BRAZOS ISD</t>
  </si>
  <si>
    <t>CITY OF POTTSBORO</t>
  </si>
  <si>
    <t>CITY OF RIO GRANDE CITY</t>
  </si>
  <si>
    <t>OXBOW CALCINING LLC</t>
  </si>
  <si>
    <t>CITY OF WILLIS</t>
  </si>
  <si>
    <t>J&amp;S WATER CO LLC</t>
  </si>
  <si>
    <t>CITY OF HUDSON</t>
  </si>
  <si>
    <t>CITY OF TENAHA</t>
  </si>
  <si>
    <t>CITY OF ORCHARD</t>
  </si>
  <si>
    <t>WEST CEDAR CREEK MUD</t>
  </si>
  <si>
    <t>BELL COUNTY WCID 3</t>
  </si>
  <si>
    <t>CITY OF JOAQUIN</t>
  </si>
  <si>
    <t>LAZY RIVER IMPROVEMENT DISTRICT</t>
  </si>
  <si>
    <t>MONTGOMERY COUNTY UD NO 3</t>
  </si>
  <si>
    <t>CITY OF DE KALB</t>
  </si>
  <si>
    <t>TOWN OF MILLERS COVE</t>
  </si>
  <si>
    <t>CITY OF SMILEY</t>
  </si>
  <si>
    <t>CITY OF JACKSBORO</t>
  </si>
  <si>
    <t>BISHOP CONSOLIDATED ISD</t>
  </si>
  <si>
    <t>CITY OF HIGGINS</t>
  </si>
  <si>
    <t>CITY OF MISSION</t>
  </si>
  <si>
    <t>COLETO CREEK POWER LP</t>
  </si>
  <si>
    <t>ZAPATA COUNTY</t>
  </si>
  <si>
    <t>MASSEY JIMMIE WAYNE</t>
  </si>
  <si>
    <t>BNSF RAILWAY CO</t>
  </si>
  <si>
    <t>NITSCH &amp; SON UTILITY CO INC</t>
  </si>
  <si>
    <t>PORT TERMINAL RAILROAD ASSN</t>
  </si>
  <si>
    <t>UIC 13 LLC</t>
  </si>
  <si>
    <t>CITY OF NIXON</t>
  </si>
  <si>
    <t>CITY OF MIAMI</t>
  </si>
  <si>
    <t>HARRIS COUNTY MUD NO 105</t>
  </si>
  <si>
    <t>CITY OF WELLS</t>
  </si>
  <si>
    <t>CITY OF GRANGER</t>
  </si>
  <si>
    <t>CITY OF ASHERTON</t>
  </si>
  <si>
    <t>LUMINANT MINING COMPANY LLC</t>
  </si>
  <si>
    <t>CITY OF MASON</t>
  </si>
  <si>
    <t>HYDER SYED NOORIDUN</t>
  </si>
  <si>
    <t>CITY OF BULLARD</t>
  </si>
  <si>
    <t>HYDRIL USA MANUFACTURING LLC</t>
  </si>
  <si>
    <t>MONTGOMERY COUNTY MUD NO 24</t>
  </si>
  <si>
    <t>CITY OF DEVERS</t>
  </si>
  <si>
    <t>HARRIS COUNTY MUD NO 82</t>
  </si>
  <si>
    <t>CITY OF POINT</t>
  </si>
  <si>
    <t>BOYS AND GIRLS COUNTRY OF HOUSTON INC</t>
  </si>
  <si>
    <t>CASTLEWOOD MUD</t>
  </si>
  <si>
    <t>CITY OF OMAHA</t>
  </si>
  <si>
    <t>CITY OF CHINA</t>
  </si>
  <si>
    <t>FOREST GLEN INC</t>
  </si>
  <si>
    <t>CITY OF NAVASOTA</t>
  </si>
  <si>
    <t>CITY OF AVINGER</t>
  </si>
  <si>
    <t>FOREST HILLS MUD</t>
  </si>
  <si>
    <t>SAN LEON MUD</t>
  </si>
  <si>
    <t>CITY OF MURCHISON</t>
  </si>
  <si>
    <t>AZTEC COVE PROPERTY OWNERS ASSN INC</t>
  </si>
  <si>
    <t>BRIDGESTONE MUD</t>
  </si>
  <si>
    <t>HC MANVEL INC</t>
  </si>
  <si>
    <t>JOHNSON, ANA ARAUJO</t>
  </si>
  <si>
    <t>GEORGIA GULF CHEMICALS &amp; VINYL LLC</t>
  </si>
  <si>
    <t>GEORGIA GULF CHEMICALS &amp; VINYLLLC</t>
  </si>
  <si>
    <t>CITY OF STREETMAN</t>
  </si>
  <si>
    <t>NORTHWEST HARRIS CO MUD 5</t>
  </si>
  <si>
    <t>FAULKEY GULLY MUD</t>
  </si>
  <si>
    <t>CITY OF CALLISBURG</t>
  </si>
  <si>
    <t>CITY OF CAMPBELL</t>
  </si>
  <si>
    <t>DYNAMIC PRODUCTS INC</t>
  </si>
  <si>
    <t>LIBERTY-DANVILLE FWSD NO 2</t>
  </si>
  <si>
    <t>NORTH PARK PUD</t>
  </si>
  <si>
    <t>CITY OF OYSTER CREEK</t>
  </si>
  <si>
    <t>CITY OF MAGNOLIA</t>
  </si>
  <si>
    <t>TOWN OF WINDOM</t>
  </si>
  <si>
    <t>MAGELLAN TERMINALS HOLDINGS LP, MAGELLAN PROCESSING LP</t>
  </si>
  <si>
    <t>CITY OF WHITEHOUSE</t>
  </si>
  <si>
    <t>CITY OF ODESSA</t>
  </si>
  <si>
    <t>POLYNT COMPOSITES USA INC</t>
  </si>
  <si>
    <t>CITY OF EAGLE LAKE</t>
  </si>
  <si>
    <t>HARRIS COUNTY MUD NO 150</t>
  </si>
  <si>
    <t>TYSON FARMS INC</t>
  </si>
  <si>
    <t>TOWN OF BUCKHOLTS</t>
  </si>
  <si>
    <t>CITY OF ANGUS</t>
  </si>
  <si>
    <t>CLP SPLASHTOWN LLC</t>
  </si>
  <si>
    <t>CITY OF WINONA</t>
  </si>
  <si>
    <t>CITY OF ORANGE</t>
  </si>
  <si>
    <t>CITY OF ELGIN</t>
  </si>
  <si>
    <t>MEMORIAL MUD</t>
  </si>
  <si>
    <t>TRAIL OF THE LAKES MUD</t>
  </si>
  <si>
    <t>HARRIS COUNTY MUD 33</t>
  </si>
  <si>
    <t>TILLES TINA LEE</t>
  </si>
  <si>
    <t>FORT BEND COUNTY MUD NO 23</t>
  </si>
  <si>
    <t>PCS DEVELOPMENT CO</t>
  </si>
  <si>
    <t>BRASKEM AMERICA INC</t>
  </si>
  <si>
    <t>CITY OF LIBERTY</t>
  </si>
  <si>
    <t>TOSHIBA INTERNATIONAL CORP</t>
  </si>
  <si>
    <t>HARRIS COUNTY MUD 58</t>
  </si>
  <si>
    <t>CITY OF SOMERSET</t>
  </si>
  <si>
    <t>HARRIS COUNTY MUD NO 71</t>
  </si>
  <si>
    <t>TEXAS MUNICIPAL POWER AGENCY</t>
  </si>
  <si>
    <t>HARRIS COUNTY MUD NO 49</t>
  </si>
  <si>
    <t>HARRIS COUNTY MUD NO 104</t>
  </si>
  <si>
    <t>CITY OF JEWETT</t>
  </si>
  <si>
    <t>EAST CENTRAL ISD</t>
  </si>
  <si>
    <t>SWWC UTILITIES INC</t>
  </si>
  <si>
    <t>EAST CEDAR CREEK FWSD</t>
  </si>
  <si>
    <t>LUCE BAYOU PUD</t>
  </si>
  <si>
    <t>CORIX UTILITIES TEXAS INC</t>
  </si>
  <si>
    <t>HARRIS COUNTY MUD NO 157</t>
  </si>
  <si>
    <t>MILLS ROAD MUD</t>
  </si>
  <si>
    <t>NORTHWEST HARRIS COUNTY MUD 10</t>
  </si>
  <si>
    <t>CITY OF ROUND ROCK CITY OF CEDAR PARK AND CITY OF AUSTIN</t>
  </si>
  <si>
    <t>NORTHWEST FREEWAY MUD</t>
  </si>
  <si>
    <t>NORTHWEST HARRIS COUNTY MUD 9</t>
  </si>
  <si>
    <t>LBC HOUSTON LP</t>
  </si>
  <si>
    <t>NUSTAR TERMINALS PARTNERS TX LP</t>
  </si>
  <si>
    <t>CITY OF ABBOTT</t>
  </si>
  <si>
    <t>CITY OF BLOOMING GROVE</t>
  </si>
  <si>
    <t>CITY OF BYERS</t>
  </si>
  <si>
    <t>CITY OF SANTA ROSA</t>
  </si>
  <si>
    <t>RED RIVER AUTHORITY OF TEXAS</t>
  </si>
  <si>
    <t>CITY OF RISING STAR</t>
  </si>
  <si>
    <t>CITY OF THORNTON</t>
  </si>
  <si>
    <t>CITY OF VALLEY MILLS</t>
  </si>
  <si>
    <t>WOODCREEK MUD</t>
  </si>
  <si>
    <t>TOWN OF WOODLOCH</t>
  </si>
  <si>
    <t>HARRIS COUNTY MUD NO 8</t>
  </si>
  <si>
    <t>MOSCOW WSC</t>
  </si>
  <si>
    <t>HUFFMAN ISD</t>
  </si>
  <si>
    <t>MEDINA COUNTY WCID 2</t>
  </si>
  <si>
    <t>NORTHWEST HARRIS COUNTY MUD NO 15</t>
  </si>
  <si>
    <t>TOWN OF RANSOM CANYON</t>
  </si>
  <si>
    <t>FERNCO DEVELOPMENT LTD LENCO DEV LTD NORCO DEV LTD</t>
  </si>
  <si>
    <t>CITY OF FAIRFIELD</t>
  </si>
  <si>
    <t>HARRIS COUNTY MUD 208</t>
  </si>
  <si>
    <t>CITY OF OBRIEN</t>
  </si>
  <si>
    <t>SHANNON LYNN GOINS</t>
  </si>
  <si>
    <t>CITY OF BLOSSOM</t>
  </si>
  <si>
    <t>NORTHWEST HARRIS COUNTY MUD 16</t>
  </si>
  <si>
    <t>WARREN ISD</t>
  </si>
  <si>
    <t>COUNTRY TERRACE WATER CO INC</t>
  </si>
  <si>
    <t>CITY OF FARMERSVILLE</t>
  </si>
  <si>
    <t>CITY OF GROVETON</t>
  </si>
  <si>
    <t>PORT MANSFIELD PUD AND WILLACY CO NAVIGATION DISTRICT</t>
  </si>
  <si>
    <t>THE UNIVERSITY OF TEXAS AT AUSTIN</t>
  </si>
  <si>
    <t>HARRIS COUNTY WCID 110</t>
  </si>
  <si>
    <t>CITY OF GARRISON</t>
  </si>
  <si>
    <t>MONTGOMERY COUNTY MUD 19</t>
  </si>
  <si>
    <t>PLANTATION MUD</t>
  </si>
  <si>
    <t>WHITE OAK BEND MUD</t>
  </si>
  <si>
    <t>MAYDE CREEK MUD</t>
  </si>
  <si>
    <t>CORPUS CHRISTI PEOPLES BAPTIST CHURCH</t>
  </si>
  <si>
    <t>FRY ROAD MUD</t>
  </si>
  <si>
    <t>TOWER OAK BEND WSC</t>
  </si>
  <si>
    <t>HARRIS COUNTY MUD 24</t>
  </si>
  <si>
    <t>SEQUA CORP</t>
  </si>
  <si>
    <t>UA HOLDINGS 1994-5 LP</t>
  </si>
  <si>
    <t>FORT BEND COUNTY MUD 25</t>
  </si>
  <si>
    <t>CIBOLO CREEK MUNICIPAL AUTHORITY</t>
  </si>
  <si>
    <t>CITY OF WOODBRANCH VILLAGE</t>
  </si>
  <si>
    <t>TEXAS DEPT OF TRANSPORTATION</t>
  </si>
  <si>
    <t>LEE COUNTY FWSD NO 1</t>
  </si>
  <si>
    <t>NEEDVILLE ISD</t>
  </si>
  <si>
    <t>MANITOU LTD INC</t>
  </si>
  <si>
    <t>INEOS NITRILES USA LLC</t>
  </si>
  <si>
    <t>CANEY CREEK UTILITIES INC</t>
  </si>
  <si>
    <t>LIBERTY CITY WSC</t>
  </si>
  <si>
    <t>CITY OF CENTERVILLE</t>
  </si>
  <si>
    <t>BILMA PUD</t>
  </si>
  <si>
    <t>CITY OF FLORENCE</t>
  </si>
  <si>
    <t>MONARCH UTILITIES I LP</t>
  </si>
  <si>
    <t>RAYFORD ROAD MUD</t>
  </si>
  <si>
    <t>MONTGOMERY COUNTY MUD 16</t>
  </si>
  <si>
    <t>HARRIS COUNTY MUD 368</t>
  </si>
  <si>
    <t>GALVESTON COUNTY WCID NO 12</t>
  </si>
  <si>
    <t>SCHLUMBERGER TECHNOLOGY CORP</t>
  </si>
  <si>
    <t>GULF MARINE FABRICATORS LP</t>
  </si>
  <si>
    <t>FORT BEND COUNTY MUD NO 30</t>
  </si>
  <si>
    <t>ALDINE ISD</t>
  </si>
  <si>
    <t>HARRIS COUNTY MUD 86</t>
  </si>
  <si>
    <t>POLK COUNTY FWSD 2</t>
  </si>
  <si>
    <t>HOOKS MOBILE HOME PARK LTD</t>
  </si>
  <si>
    <t>FORT BEND COUNTY MUD 26</t>
  </si>
  <si>
    <t>MILLER WASTE MILLS INC</t>
  </si>
  <si>
    <t>GOLDEN STATE HOLDINGS INC</t>
  </si>
  <si>
    <t>RENN ROAD MUD</t>
  </si>
  <si>
    <t>LAVACA-NAVIDAD RIVER AUTHORITY</t>
  </si>
  <si>
    <t>IGLOO PRODUCTS CORP</t>
  </si>
  <si>
    <t>HAMPSHIRE-FANNET ISD</t>
  </si>
  <si>
    <t>HARRIS COUNTY MUD 170</t>
  </si>
  <si>
    <t>KATY ISD</t>
  </si>
  <si>
    <t>COLUMBIA BRAZORIA ISD</t>
  </si>
  <si>
    <t>ORBIT SYSTEMS INC</t>
  </si>
  <si>
    <t>WEST HARRIS COUNTY MUD 4</t>
  </si>
  <si>
    <t>CITY OF KAUFMAN</t>
  </si>
  <si>
    <t>HARRIS COUNTY MUD 180</t>
  </si>
  <si>
    <t>HORSEPEN BAYOU MUD</t>
  </si>
  <si>
    <t>TEXAS DISTRIBUTION SERVICES INC</t>
  </si>
  <si>
    <t>WEST HARRIS COUNTY MUD 7</t>
  </si>
  <si>
    <t>WHITE OAK OWNERS ASSN INC</t>
  </si>
  <si>
    <t>HARRIS COUNTY MUD 185</t>
  </si>
  <si>
    <t>CITY OF WINFIELD</t>
  </si>
  <si>
    <t>CITY OF EDEN</t>
  </si>
  <si>
    <t>FIN &amp; FEATHER RESORT LLC</t>
  </si>
  <si>
    <t>NORTHWEST HARRIS COUNTY MUD NO 21, 22, AND 23</t>
  </si>
  <si>
    <t>FESTIVAL PROPERTIES INC</t>
  </si>
  <si>
    <t>NORTHWEST HARRIS COUNTY MUD NO 19</t>
  </si>
  <si>
    <t>NORTHWEST HARRIS COUNTY MUD NO 20</t>
  </si>
  <si>
    <t>LAJITAS MUNICIPAL SERVICES CO LLC</t>
  </si>
  <si>
    <t>GEORGIA-PACIFIC CHEMICALS LLC</t>
  </si>
  <si>
    <t>CITY OF RENO</t>
  </si>
  <si>
    <t>WEST HARRIS COUNTY MUD 10</t>
  </si>
  <si>
    <t>LUTHERAN OUTDOORS MINISTRY OF TEXAS INC</t>
  </si>
  <si>
    <t>CITY OF JOURDANTON</t>
  </si>
  <si>
    <t>AGINUS HOLDINGS LLC AND BELLVILLE TUBE CO</t>
  </si>
  <si>
    <t>KATY SUN PARKS LTD</t>
  </si>
  <si>
    <t>RIEDEL, ANTHONY JOHN</t>
  </si>
  <si>
    <t>CITY OF YANTIS</t>
  </si>
  <si>
    <t>FRUITVALE HOUSING AUTHORITY</t>
  </si>
  <si>
    <t>CITY OF GREGORY</t>
  </si>
  <si>
    <t>CITY OF BURTON</t>
  </si>
  <si>
    <t>STRUCTURAL METALS INC</t>
  </si>
  <si>
    <t>CONROE ISD</t>
  </si>
  <si>
    <t>NORTH GREEN MUD</t>
  </si>
  <si>
    <t>YES COMPANIES LLC</t>
  </si>
  <si>
    <t>ASH GROVE CEMENT COMPANY</t>
  </si>
  <si>
    <t>SAN MIGUEL ELECTRIC COOPERATIVE INC</t>
  </si>
  <si>
    <t>WEST HARRIS COUNTY MUD 15</t>
  </si>
  <si>
    <t>HARRIS COUNTY MUD 127</t>
  </si>
  <si>
    <t>HARRIS COUNTY MUD NO 189</t>
  </si>
  <si>
    <t>KLEIN ISD</t>
  </si>
  <si>
    <t>VEOLIA ES TECHNICAL SOLUTIONS LLC</t>
  </si>
  <si>
    <t>AMC FACILITIES LP</t>
  </si>
  <si>
    <t>THE ADELPHI ORGANIZATION AND ADELPHI COMMUNITY COOP</t>
  </si>
  <si>
    <t>PORTER MUD</t>
  </si>
  <si>
    <t>UTILITIES INVESTMENT CO INC</t>
  </si>
  <si>
    <t>HARRIS COUNTY MUD 36</t>
  </si>
  <si>
    <t>VAM USA LLC</t>
  </si>
  <si>
    <t>VOPAK TERMINAL DEER PARK INC</t>
  </si>
  <si>
    <t>SMITH INTERNATIONAL INDUSTRIAL SUBDIVISION WATER SUPPLY AND SEWER</t>
  </si>
  <si>
    <t>EXPLORER PIPELINE CO</t>
  </si>
  <si>
    <t>CITY OF COVINGTON</t>
  </si>
  <si>
    <t>BEECHNUT MUD</t>
  </si>
  <si>
    <t>WEST HARRIS COUNTY MUD 17</t>
  </si>
  <si>
    <t>HARRIS COUNTY MUD NO 122</t>
  </si>
  <si>
    <t>BAYOU FOREST VILLAGE INC</t>
  </si>
  <si>
    <t>NEW CANEY MUD</t>
  </si>
  <si>
    <t>AKRAM SOLHJOU</t>
  </si>
  <si>
    <t>CITY OF LYFORD</t>
  </si>
  <si>
    <t>METTON AMERICA INC</t>
  </si>
  <si>
    <t>GREEN TRAILS MUD</t>
  </si>
  <si>
    <t>HARRIS COUNTY MUD 200</t>
  </si>
  <si>
    <t>FORT BEND COUNTY MUD NO 34</t>
  </si>
  <si>
    <t>ILP COLLEGE STATION LLC</t>
  </si>
  <si>
    <t>FORMOSA PLASTICS CO TEXAS AND FORMOSA UTILITY VENTURE LTD</t>
  </si>
  <si>
    <t>CHIMNEY HILL MUD</t>
  </si>
  <si>
    <t>CITY OF LEAGUE CITY</t>
  </si>
  <si>
    <t>PETTY WATER SUPPLY &amp; SEWER SERVICE CORP</t>
  </si>
  <si>
    <t>CITY OF CEDAR PARK</t>
  </si>
  <si>
    <t>FRITO-LAY INC</t>
  </si>
  <si>
    <t>R &amp; K WEIMAN MHP LC</t>
  </si>
  <si>
    <t>HAILIANG COPPER TEXAS INC</t>
  </si>
  <si>
    <t>TIKI LEASING COMPANY LTD</t>
  </si>
  <si>
    <t>MONUMENT CHEMICAL HOUSTON LTD</t>
  </si>
  <si>
    <t>UNIVAR USA INC</t>
  </si>
  <si>
    <t>CYPRESS HILL MUD 1</t>
  </si>
  <si>
    <t>HORIZON REGIONAL MUD</t>
  </si>
  <si>
    <t>TERRA VERDE UTILITY CO LLC</t>
  </si>
  <si>
    <t>BCD SERVICES INC</t>
  </si>
  <si>
    <t>LABARGE COATING LLC</t>
  </si>
  <si>
    <t>BRAZORIA COUNTY MUD NO 3</t>
  </si>
  <si>
    <t>WEST PARK MUD</t>
  </si>
  <si>
    <t>LAMBERTI USA INC</t>
  </si>
  <si>
    <t>WESTMORELAND JEWETT MINING LLC</t>
  </si>
  <si>
    <t>PELICAN ISLAND STORAGE TERMINAL INC</t>
  </si>
  <si>
    <t>MHC TT INC</t>
  </si>
  <si>
    <t>HARRIS COUNTY MUD NO 345</t>
  </si>
  <si>
    <t>FORT BEND COUNTY MUD 37</t>
  </si>
  <si>
    <t>TRINITY PINES CONFERENCE CENTER INC</t>
  </si>
  <si>
    <t>NORTH MISSION GLEN MUD</t>
  </si>
  <si>
    <t>CITY OF VALLEY VIEW</t>
  </si>
  <si>
    <t>CITY OF NEW LONDON</t>
  </si>
  <si>
    <t>FRESH AQUATICS LLC</t>
  </si>
  <si>
    <t>LION ELASTOMERS LLC</t>
  </si>
  <si>
    <t>GBW RAILCAR SERVICES LLC</t>
  </si>
  <si>
    <t>CITY OF HONDO</t>
  </si>
  <si>
    <t>RITA LAURA REDOW KARBALAI</t>
  </si>
  <si>
    <t>PUBLIC SERVICE CO OF OKLAHOMA</t>
  </si>
  <si>
    <t>CITY OF GOODRICH</t>
  </si>
  <si>
    <t>SOLVAY CHEMICALS INC</t>
  </si>
  <si>
    <t>PORT OF HOUSTON AUTHORITY</t>
  </si>
  <si>
    <t>CITY OF LONE STAR</t>
  </si>
  <si>
    <t>STONETOWN WOODGATE LLC</t>
  </si>
  <si>
    <t>WALNUT COVE WSC</t>
  </si>
  <si>
    <t>AIVAZIAN GEORGE</t>
  </si>
  <si>
    <t>DIAMOND SHAMROCK REFINING CO LP</t>
  </si>
  <si>
    <t>LAKE SOUTH WSC</t>
  </si>
  <si>
    <t>VALLOUREC STAR LP</t>
  </si>
  <si>
    <t>TRINITY RCT GP LLC</t>
  </si>
  <si>
    <t>SOLVAY USA INC</t>
  </si>
  <si>
    <t>CITY OF TRINITY</t>
  </si>
  <si>
    <t>HARRIS COUNTY MUD NO 196</t>
  </si>
  <si>
    <t>TIFCO INDUSTRIES INC</t>
  </si>
  <si>
    <t>THE SABINE MINING CO</t>
  </si>
  <si>
    <t>050</t>
  </si>
  <si>
    <t>OCEANEERING INTERNATIONAL INC</t>
  </si>
  <si>
    <t>HARRIS COUNTY MUD NO 221</t>
  </si>
  <si>
    <t>ODFJELL TERMINALS (HOUSTON) INC</t>
  </si>
  <si>
    <t>FORT BEND COUNTY MUD 41</t>
  </si>
  <si>
    <t>TIMKENSTEEL MATERIAL SERVICES LLC</t>
  </si>
  <si>
    <t>NOTTINGHAM COUNTRY MUD</t>
  </si>
  <si>
    <t>LIBERTY UTILITIES SILVERLEAF WATER LLC</t>
  </si>
  <si>
    <t>HARRIS COUNTY MUD 166</t>
  </si>
  <si>
    <t>GEO SPECIALTY CHEMICALS INC</t>
  </si>
  <si>
    <t>WEST HARRIS COUNTY MUD 6</t>
  </si>
  <si>
    <t>CONROE RESORT UTILITIES LLC</t>
  </si>
  <si>
    <t>MONTGOMERY COUNTY MUD 56</t>
  </si>
  <si>
    <t>NUSTAR TERMINALS OPERATIONS PARTNERSHIP LP</t>
  </si>
  <si>
    <t>WEATHERFORD US LP</t>
  </si>
  <si>
    <t>VAITHI DEVELOPMENT INC</t>
  </si>
  <si>
    <t>NCI GROUP INC</t>
  </si>
  <si>
    <t>CHATEAU WOODS MUD</t>
  </si>
  <si>
    <t>HOLCIM (TEXAS) LP</t>
  </si>
  <si>
    <t>HARRIS COUNTY MUD NO 191</t>
  </si>
  <si>
    <t>PALMER PLANTATION MUD 1</t>
  </si>
  <si>
    <t>WESTFIELD MOBILE HOME COMMUNITY LTD</t>
  </si>
  <si>
    <t>LEON SPRINGS UTILITY CO</t>
  </si>
  <si>
    <t>SAN MIGUEL ELECTRIC COOP INC</t>
  </si>
  <si>
    <t>WILLIAM DONALD SMITH</t>
  </si>
  <si>
    <t>SPRING WEST MUD</t>
  </si>
  <si>
    <t>MILLENIUM RAIL INC</t>
  </si>
  <si>
    <t>SEADRIFT COKE LP</t>
  </si>
  <si>
    <t>202</t>
  </si>
  <si>
    <t>203</t>
  </si>
  <si>
    <t>303</t>
  </si>
  <si>
    <t>ELITE COMPUTER CONSULTANTS LP</t>
  </si>
  <si>
    <t>THE LUBRIZOL CORP</t>
  </si>
  <si>
    <t>CITY OF LOS FRESNOS</t>
  </si>
  <si>
    <t>MATAGORDA COUNTY WCID 5</t>
  </si>
  <si>
    <t>HARRIS COUNTY MUD 130</t>
  </si>
  <si>
    <t>8 MILE PARK LP</t>
  </si>
  <si>
    <t>BRIARWOOD LUTHERAN MINISTRIES</t>
  </si>
  <si>
    <t>HARRIS COUNTY UTILITY DIST NO 16</t>
  </si>
  <si>
    <t>WADSWORTH WSC</t>
  </si>
  <si>
    <t>HARRIS COUNTY MUD 149</t>
  </si>
  <si>
    <t>HOUSTON METRO RV PARK INC</t>
  </si>
  <si>
    <t>CRYSTAL SPRINGS WATER CO INC</t>
  </si>
  <si>
    <t>BRYER ROBERT F</t>
  </si>
  <si>
    <t>BISTONE MUNICIPAL WATER SUPPLY DIST</t>
  </si>
  <si>
    <t>SPRING CENTER INC</t>
  </si>
  <si>
    <t>STOLTHAVEN HOUSTON INC</t>
  </si>
  <si>
    <t>HARRIS COUNTY MUD 202</t>
  </si>
  <si>
    <t>SOUTHWEST HARRIS COUNTY MUD 1</t>
  </si>
  <si>
    <t>PINEWOOD COMMUNITY LIMITED PARTNERSHIP</t>
  </si>
  <si>
    <t>WEST ROAD WSC &amp; MCDONALDS CORP</t>
  </si>
  <si>
    <t>TRINITY SO GP, LLC</t>
  </si>
  <si>
    <t>FARMERS TRANSPORT INC</t>
  </si>
  <si>
    <t>CITY OF LEANDER</t>
  </si>
  <si>
    <t>CITY OF GOODLOW</t>
  </si>
  <si>
    <t>CITY OF ELDORADO</t>
  </si>
  <si>
    <t>SOUTHWEST SHIPYARD LP</t>
  </si>
  <si>
    <t>NORTHWEST HARRIS COUNTY MUD 24</t>
  </si>
  <si>
    <t>IOLA ISD</t>
  </si>
  <si>
    <t>CITGO REFINING &amp; CHEMICALS CO LP</t>
  </si>
  <si>
    <t>QUADVEST LP</t>
  </si>
  <si>
    <t>CITY OF MEGARGEL</t>
  </si>
  <si>
    <t>HARRIS COUNTY MUD 216</t>
  </si>
  <si>
    <t>CITY OF JERSEY VILLAGE</t>
  </si>
  <si>
    <t>H &amp; R REALTY INVESTMENTS LLC</t>
  </si>
  <si>
    <t>GRIMES COUNTY MUD 1</t>
  </si>
  <si>
    <t>KARBALAI RITA LAURA REDOW</t>
  </si>
  <si>
    <t>LUMBERTON MUD</t>
  </si>
  <si>
    <t>MAGNOLIA ISD</t>
  </si>
  <si>
    <t>HUFFSMITH-KOHRVILLE INC</t>
  </si>
  <si>
    <t>HARRIS COUNTY MUD 119</t>
  </si>
  <si>
    <t>ALLIANCE HC III LP</t>
  </si>
  <si>
    <t>RICHEY ROAD MUD</t>
  </si>
  <si>
    <t>HARRIS COUNTY MUD NO 285</t>
  </si>
  <si>
    <t>CITY OF MISSOURI CITY</t>
  </si>
  <si>
    <t>STONETOWN BENBROOK LLC</t>
  </si>
  <si>
    <t>ROMAN FOREST CONSOLIDATED MUD</t>
  </si>
  <si>
    <t>POSTIVE FEED LTD</t>
  </si>
  <si>
    <t>VICTORIA COUNTY WCID 2</t>
  </si>
  <si>
    <t>KIMBERLY CLARK CORP</t>
  </si>
  <si>
    <t>GREENS PARKWAY MUD</t>
  </si>
  <si>
    <t>PWT ENTERPRISES INC</t>
  </si>
  <si>
    <t>KARBALIA, RITA LAURA REDOW</t>
  </si>
  <si>
    <t>UNITED STRUCTURES OF AMERICA INC</t>
  </si>
  <si>
    <t>CITY OF SHENANDOAH</t>
  </si>
  <si>
    <t>HARRIS COUNTY MUD NO 250</t>
  </si>
  <si>
    <t>MARINE QUEST-HIDDEN COVE LP</t>
  </si>
  <si>
    <t>NORTHWEST HARRIS COUNTY MUD 29</t>
  </si>
  <si>
    <t>GULF COAST UTILITY CO INC</t>
  </si>
  <si>
    <t>HARRIS COUNTY MUD NO 238</t>
  </si>
  <si>
    <t>LEASE BUILDERS LLC</t>
  </si>
  <si>
    <t>OXBOW ENERGY SOLUTIONS LLC</t>
  </si>
  <si>
    <t>CITY OF DRISCOLL</t>
  </si>
  <si>
    <t>HARRIS COUNTY MUD NO 167</t>
  </si>
  <si>
    <t>RICHARD CLARK ENTERPRISES LLC</t>
  </si>
  <si>
    <t>US DEPT OF THE INTERIOR</t>
  </si>
  <si>
    <t>HARRIS COUNTY MUD 230</t>
  </si>
  <si>
    <t>TECHNIP UMBILICALS INC</t>
  </si>
  <si>
    <t>CITY OF PFLUGERVILLE</t>
  </si>
  <si>
    <t>KARBALAI, RITA LAURA REDOW</t>
  </si>
  <si>
    <t>BAHRAM SOLHJOU</t>
  </si>
  <si>
    <t>CITY OF MANOR</t>
  </si>
  <si>
    <t>HARRIS COUNTY MUD 285</t>
  </si>
  <si>
    <t>CITY OF KOUNTZE</t>
  </si>
  <si>
    <t>HARTZOG LINDA DIANNE</t>
  </si>
  <si>
    <t>HARRIS COUNTY MUD 276</t>
  </si>
  <si>
    <t>KMCO LLC</t>
  </si>
  <si>
    <t>NORTH PARK BUSINESS CENTER LTD</t>
  </si>
  <si>
    <t>FATIMA FAMILY VILLAGE INC</t>
  </si>
  <si>
    <t>HARRIS COUNTY MUD 284</t>
  </si>
  <si>
    <t>HINOJOSA RENE</t>
  </si>
  <si>
    <t>K C UTILITIES INC</t>
  </si>
  <si>
    <t>HARRIS COUNTY WCID 89</t>
  </si>
  <si>
    <t>002C</t>
  </si>
  <si>
    <t>BOLIVAR UTILITY SERVICES LLC</t>
  </si>
  <si>
    <t>LAKE FORK MARINA INC</t>
  </si>
  <si>
    <t>GRAVITY MIDSTREAM CORPUS CHRISTI LLC</t>
  </si>
  <si>
    <t>LAMAR CONSOLIDATED ISD</t>
  </si>
  <si>
    <t>THE FALLS MUD</t>
  </si>
  <si>
    <t>FARCO MINING INC</t>
  </si>
  <si>
    <t>BIG OAKS MUD</t>
  </si>
  <si>
    <t>HARRIS COUNTY MUD 286</t>
  </si>
  <si>
    <t>RANKIN ROAD WEST MUD</t>
  </si>
  <si>
    <t>ALUMAX MILL PRODUCTS INC</t>
  </si>
  <si>
    <t>LAKE OAKS LANDING INC</t>
  </si>
  <si>
    <t>HARRIS CO MUD 278</t>
  </si>
  <si>
    <t>CW-MHP LTD</t>
  </si>
  <si>
    <t>HARRIS COUNTY MUD 304</t>
  </si>
  <si>
    <t>HARMONY ISD</t>
  </si>
  <si>
    <t>RA-TE INC</t>
  </si>
  <si>
    <t>ROLLING CREEK UTILITY DISTRICT</t>
  </si>
  <si>
    <t>ROVING MEADOWS UTILITIES INC</t>
  </si>
  <si>
    <t>TWINWOOD US INC</t>
  </si>
  <si>
    <t>EAGLE MOUNTAIN RV PARK LLC</t>
  </si>
  <si>
    <t>CLOVERCREEK MUD</t>
  </si>
  <si>
    <t>MCBRIDE, JOSEPH EDWARD</t>
  </si>
  <si>
    <t>FRIEDMAN STEPHEN</t>
  </si>
  <si>
    <t>MIDFIELD WATER SUPPLY CORPORATION</t>
  </si>
  <si>
    <t>CROCKETT COUNTY WCID 1</t>
  </si>
  <si>
    <t>KWIK-KOPY CORP</t>
  </si>
  <si>
    <t>CRESTCHEM LLC</t>
  </si>
  <si>
    <t>NORTHWEST HARRIS COUNTY MUD 32</t>
  </si>
  <si>
    <t>STEPHEN F AUSTIN STATE UNIVERSITY</t>
  </si>
  <si>
    <t>HOLIDAY HARBOR WATER/WASTE WATER SUPPLY CORP</t>
  </si>
  <si>
    <t>LIBERTY UTILITIES WOODMARK SEWER CORP</t>
  </si>
  <si>
    <t>DAVID LEE SHEFFIELD</t>
  </si>
  <si>
    <t>CITY OF KENDLETON</t>
  </si>
  <si>
    <t>CINCO MUD NO 1</t>
  </si>
  <si>
    <t>DOUBLE DIAMOND UTILITIES CO</t>
  </si>
  <si>
    <t>BROOKELAND ISD</t>
  </si>
  <si>
    <t>CITY OF CANTON</t>
  </si>
  <si>
    <t>SANJUAN, ESMERALDA</t>
  </si>
  <si>
    <t>SNIDER INDUSTRIES LLP</t>
  </si>
  <si>
    <t>CITY OF TEXARKANA</t>
  </si>
  <si>
    <t>CHAPMAN MOBILE HOME PARK LLC</t>
  </si>
  <si>
    <t>CITY OF WILLOW PARK</t>
  </si>
  <si>
    <t>HUNGERFORD MUD NO 1</t>
  </si>
  <si>
    <t>GRAND LAKES MUD 4</t>
  </si>
  <si>
    <t>ACME BRICK CO</t>
  </si>
  <si>
    <t>CITY OF LONE OAK</t>
  </si>
  <si>
    <t>FORT BEND COUNTY MUD NO 50</t>
  </si>
  <si>
    <t>HARRIS COUNTY MUD NO 155</t>
  </si>
  <si>
    <t>CITY OF DAYTON</t>
  </si>
  <si>
    <t>MAMIE DELL BAKER</t>
  </si>
  <si>
    <t>MONTGOMERY COUNTY MUD NO 18</t>
  </si>
  <si>
    <t>CITY OF JACKSONVILLE</t>
  </si>
  <si>
    <t>CITY OF COLMESNEIL</t>
  </si>
  <si>
    <t>CITY OF OGLESBY</t>
  </si>
  <si>
    <t>OPTIM ENERGY ALTURA COGEN LLC</t>
  </si>
  <si>
    <t>TALL TIMBERS UTILITY CO INC</t>
  </si>
  <si>
    <t>CITY OF FULSHEAR</t>
  </si>
  <si>
    <t>OIL STATES INDUSTRIES INC</t>
  </si>
  <si>
    <t>MAJOR OAK POWER LLC</t>
  </si>
  <si>
    <t>PRINTPACK  INC</t>
  </si>
  <si>
    <t>TEXAS MILITARY FORCES</t>
  </si>
  <si>
    <t>CITY OF EAST TAWAKONI</t>
  </si>
  <si>
    <t>REMINGTON MUD NO 1</t>
  </si>
  <si>
    <t>KT MINING LLC</t>
  </si>
  <si>
    <t>GE PACKAGED POWER INC</t>
  </si>
  <si>
    <t>PALO PINTO COUNTY</t>
  </si>
  <si>
    <t>NXP USA INC</t>
  </si>
  <si>
    <t>JIM HOGG COUNTY WCID 2</t>
  </si>
  <si>
    <t>UNIVERSAL SERVICES FORT HOOD INC</t>
  </si>
  <si>
    <t>WHITE ROCK ESTATES PROPERTY OWNERS CIVIC ASSN</t>
  </si>
  <si>
    <t>THE LIBERTY LAKES PROPERTY OWNERS ASSN INC &amp; DAVIS BAYOU SERVICE CO</t>
  </si>
  <si>
    <t>CITY OF DEVINE</t>
  </si>
  <si>
    <t>MONARCH UTILITIES I  LP</t>
  </si>
  <si>
    <t>CROSS ROADS ISD</t>
  </si>
  <si>
    <t>SRC WATER SUPPLY INC &amp; LASS WATER CO INC</t>
  </si>
  <si>
    <t>SHELBYVILLE ISD</t>
  </si>
  <si>
    <t>ENTERPRISE PRODUCTS OPERATING LLC</t>
  </si>
  <si>
    <t>CITY OF ARCOLA</t>
  </si>
  <si>
    <t>CITY OF SPLENDORA</t>
  </si>
  <si>
    <t>CALLISBURG ISD</t>
  </si>
  <si>
    <t>THIRTY-TWO REAL ESTATE INVESTMENT LTD</t>
  </si>
  <si>
    <t>BRAZOS REGIONAL PUBLIC UTILITY AGENCY</t>
  </si>
  <si>
    <t>S&amp;K OAKRIDGE SQUARE PROPERTIES LLC</t>
  </si>
  <si>
    <t>NALCO COMPANY LLC</t>
  </si>
  <si>
    <t>CITY OF MIDWAY</t>
  </si>
  <si>
    <t>KLEBERG COUNTY</t>
  </si>
  <si>
    <t>UNION GROVE ISD</t>
  </si>
  <si>
    <t>LIBERTY UTILITIES (SILVERLEAF WATER) LLC</t>
  </si>
  <si>
    <t>LA CASITA HOLDINGS INC</t>
  </si>
  <si>
    <t>GREENVILLE ELECTRIC UTILITY SYSTEM</t>
  </si>
  <si>
    <t>FOUNTAIN LAKE OWNERS WSC</t>
  </si>
  <si>
    <t>CITY OF HACKBERRY</t>
  </si>
  <si>
    <t>EXIDE TECHNOLOGIES</t>
  </si>
  <si>
    <t>POPE AND COBB CORP</t>
  </si>
  <si>
    <t>PARADISE ISD</t>
  </si>
  <si>
    <t>POWELL JACKIE DIANE</t>
  </si>
  <si>
    <t>PARIS GENERATION LP</t>
  </si>
  <si>
    <t>LONE STAR GROWERS LP</t>
  </si>
  <si>
    <t>GSE ENVIRONMENTAL LLC</t>
  </si>
  <si>
    <t>PATEL, CHHOTUBHAI THAKORBHAI</t>
  </si>
  <si>
    <t>WILDWOOD PROPERTY OWNERS ASSN</t>
  </si>
  <si>
    <t>SHERIDAN WSC</t>
  </si>
  <si>
    <t>TAIWAN SHRIMP VILLAGE ASSOC INC &amp; ARROYO AQUACULTURE ASSN INC</t>
  </si>
  <si>
    <t>KINDER MORGAN PETCOKE LP</t>
  </si>
  <si>
    <t>DEL LAGO ESTATES WSC</t>
  </si>
  <si>
    <t>UNIMIN CORP</t>
  </si>
  <si>
    <t>SOUTH CENTRAL CALHOUN COUNTY WCID 1</t>
  </si>
  <si>
    <t>POLK HEALTH HOLDINGS LLC &amp; LIVINGSTON CARE ASSOCIATES INC</t>
  </si>
  <si>
    <t>CITY OF OVERTON</t>
  </si>
  <si>
    <t>THE CENTER SERVING PERSONS W MENTAL RETARDATION</t>
  </si>
  <si>
    <t>US ECOLOGY TEXAS INC</t>
  </si>
  <si>
    <t>ALON USA LP</t>
  </si>
  <si>
    <t>CHANNEL SHIPYARD CO INC</t>
  </si>
  <si>
    <t>CITY OF GODLEY</t>
  </si>
  <si>
    <t>MILITARY HIGHWAY WSC</t>
  </si>
  <si>
    <t>GULF WEST LANDFILL TX LP</t>
  </si>
  <si>
    <t>CITY OF GRAFORD</t>
  </si>
  <si>
    <t>WOODRIDGE LIMITED PARTNERSHIP</t>
  </si>
  <si>
    <t>TEXAS H2O INC</t>
  </si>
  <si>
    <t>OCCIDENTAL CHEMICAL CORP</t>
  </si>
  <si>
    <t>CITY OF BIG WELLS</t>
  </si>
  <si>
    <t>HARRIS COUNTY MUD NO 344</t>
  </si>
  <si>
    <t>CITY OF ELSA</t>
  </si>
  <si>
    <t>CITY OF KOSSE</t>
  </si>
  <si>
    <t>CITY OF LINDEN</t>
  </si>
  <si>
    <t>CITY OF LA WARD</t>
  </si>
  <si>
    <t>ACTON MUD</t>
  </si>
  <si>
    <t>CITY OF MOUNT PLEASANT</t>
  </si>
  <si>
    <t>CITY OF CLYDE</t>
  </si>
  <si>
    <t>CITY OF GRANBURY</t>
  </si>
  <si>
    <t>BEST SEA-PACK OF TEXAS INC</t>
  </si>
  <si>
    <t>FLINT HILLS RESOURCES PORT ARTHUR LLC</t>
  </si>
  <si>
    <t>HARRIS COUNTY MUD 358</t>
  </si>
  <si>
    <t>MAXEY ROAD WSC</t>
  </si>
  <si>
    <t>MARKWEST JAVELINA CO LLC</t>
  </si>
  <si>
    <t>EMCAD WATER AND WASTEWATER LLC</t>
  </si>
  <si>
    <t>TOWN OF OAK RIDGE</t>
  </si>
  <si>
    <t>LA POYNOR ISD</t>
  </si>
  <si>
    <t>BEACH ROAD MUD</t>
  </si>
  <si>
    <t>KINGS MANOR MUD</t>
  </si>
  <si>
    <t>FORT BEND COUNTY MUD 81</t>
  </si>
  <si>
    <t>SOUTH COAST TERMINALS LP</t>
  </si>
  <si>
    <t>CITY OF LUBBOCK</t>
  </si>
  <si>
    <t>BOSQUE UTILITIES CORP</t>
  </si>
  <si>
    <t>RICHARDS ISD</t>
  </si>
  <si>
    <t>SPECIAL CAMPS FOR SPECIAL KIDS</t>
  </si>
  <si>
    <t>CITY OF KEENE</t>
  </si>
  <si>
    <t>GULFLANDER PARTNERS GROUP LP</t>
  </si>
  <si>
    <t>HMS 850 HOLDINGS LLC</t>
  </si>
  <si>
    <t>CITY OF WHITNEY</t>
  </si>
  <si>
    <t>HULL FWSD</t>
  </si>
  <si>
    <t>US DEPT OF ENERGY AND CONSOLIDATED NUCLEAR SECURITY LLC</t>
  </si>
  <si>
    <t>CITY OF HUXLEY</t>
  </si>
  <si>
    <t>CITY OF EAGLE PASS WATER WORKS SYSTEM</t>
  </si>
  <si>
    <t>CITY OF BAILEY</t>
  </si>
  <si>
    <t>CITY OF LA COSTE</t>
  </si>
  <si>
    <t>TOWN OF VAN HORN</t>
  </si>
  <si>
    <t>CITY OF NEW SUMMERFIELD</t>
  </si>
  <si>
    <t>PEASTER ISD PUBLIC FACILITY CORP</t>
  </si>
  <si>
    <t>FORTERRA PRESSURE PIPE INC</t>
  </si>
  <si>
    <t>NORTHWEST HARRIS COUNTY MUD NO 36</t>
  </si>
  <si>
    <t>BELLE OAKS WATER AND SEWER CO INC</t>
  </si>
  <si>
    <t>PHILLIPS 66 PIPELINE LLC AND PHILLIPS 66 CARRIER LLC</t>
  </si>
  <si>
    <t>MPM SILICONES LLC</t>
  </si>
  <si>
    <t>INTEPLAST GROUP CORP</t>
  </si>
  <si>
    <t>DOS REPUBLICAS COAL PARTNERSHIP</t>
  </si>
  <si>
    <t>WEST HARRIS COUNTY MUD 21</t>
  </si>
  <si>
    <t>C&amp;R WATER SUPPLY INC</t>
  </si>
  <si>
    <t>WOOD TRACE MUD 1</t>
  </si>
  <si>
    <t>MEADOWLAND UTILITY CORP</t>
  </si>
  <si>
    <t>CITY OF TEAGUE &amp; CITY OF FAIRFIELD</t>
  </si>
  <si>
    <t>SAN PATRICIO COUNTY MUD 1</t>
  </si>
  <si>
    <t>STEAMBOAT SHORES OWNERS ASSN</t>
  </si>
  <si>
    <t>PRAIRIE VIEW A&amp;M UNIVERSITY</t>
  </si>
  <si>
    <t>CITY OF BOWIE</t>
  </si>
  <si>
    <t>CITY OF LIPAN</t>
  </si>
  <si>
    <t>CITY OF MERKEL</t>
  </si>
  <si>
    <t>A SCHULMAN INC</t>
  </si>
  <si>
    <t>TRINITY INDUSTRIES INC</t>
  </si>
  <si>
    <t>CAYUGA ISD</t>
  </si>
  <si>
    <t>JEFFERSON COUNTY WCID 10</t>
  </si>
  <si>
    <t>WAL-MART STORES EAST LP</t>
  </si>
  <si>
    <t>HARRIS COUNTY MUD 11</t>
  </si>
  <si>
    <t>WEST HARRIS COUNTY MUD 11</t>
  </si>
  <si>
    <t>COOPER NATURAL RESOURCES INC</t>
  </si>
  <si>
    <t>CITY OF BRACKETVILLE AND FORT CLARK MUD</t>
  </si>
  <si>
    <t>PORT OCONNOR IMPROVEMENT DISTRICT</t>
  </si>
  <si>
    <t>CITY OF PENELOPE</t>
  </si>
  <si>
    <t>NALCO COMPANY</t>
  </si>
  <si>
    <t>ADDICKS UD</t>
  </si>
  <si>
    <t>CITY OF CUNEY</t>
  </si>
  <si>
    <t>REED LAMAR BOWERS</t>
  </si>
  <si>
    <t>CITY OF TIMPSON</t>
  </si>
  <si>
    <t>RIVIERA WCID</t>
  </si>
  <si>
    <t>SAFE HAVEN SHIPYARD INC</t>
  </si>
  <si>
    <t>SEBASTIAN MUD</t>
  </si>
  <si>
    <t>HARRIS COUNTY MUD 360</t>
  </si>
  <si>
    <t>ST MARTIN AQUACULTURE INC</t>
  </si>
  <si>
    <t>PHILIPS ELECTRONICS NORTH AMERICA CORP</t>
  </si>
  <si>
    <t>SANDERSON FARMS INC PROCESSING DIVISION</t>
  </si>
  <si>
    <t>MEBB ENTERPRISES LLC</t>
  </si>
  <si>
    <t>MONUMENT INN INC</t>
  </si>
  <si>
    <t>OLMITO WSC</t>
  </si>
  <si>
    <t>EASTLAND COUNTY WSD</t>
  </si>
  <si>
    <t>AMERIFORGE CORP</t>
  </si>
  <si>
    <t>NORTH ALAMO WSC</t>
  </si>
  <si>
    <t>CAMP FOR ALL FOUNDATION</t>
  </si>
  <si>
    <t>LATEXO ISD</t>
  </si>
  <si>
    <t>CITY OF LA MARQUE</t>
  </si>
  <si>
    <t>MAURICEVILLE MUD</t>
  </si>
  <si>
    <t>NEW ULM WSC</t>
  </si>
  <si>
    <t>ALLIED PETROCHEMICAL LLC</t>
  </si>
  <si>
    <t>AUSTWELL AQUA FARM INC</t>
  </si>
  <si>
    <t>WHARTON COUNTY GENERATION LLC</t>
  </si>
  <si>
    <t>TEXAS LIME CO</t>
  </si>
  <si>
    <t>CITY OF RICHMOND</t>
  </si>
  <si>
    <t>HUDSPETH COUNTY WCID 1</t>
  </si>
  <si>
    <t>HARRIS-FORT BEND COUNTIES MUD 5</t>
  </si>
  <si>
    <t>HARRIS COUNTY MUD 383</t>
  </si>
  <si>
    <t>HARRIS COUNTY MUD NO 365</t>
  </si>
  <si>
    <t>HARRIS COUNTY MUD 249</t>
  </si>
  <si>
    <t>BRENNTAG SOUTHWEST INC</t>
  </si>
  <si>
    <t>TOWN OF BAYSIDE</t>
  </si>
  <si>
    <t>CITY OF OAKWOOD</t>
  </si>
  <si>
    <t>KAUFMAN COUNTY FWSD NO 1A</t>
  </si>
  <si>
    <t>BRUNI RURAL WSC</t>
  </si>
  <si>
    <t>CITY OF INDUSTRY</t>
  </si>
  <si>
    <t>KMTEX LLC</t>
  </si>
  <si>
    <t>CITY OF ANDERSON</t>
  </si>
  <si>
    <t>FORT BEND COUNTY MUD 118</t>
  </si>
  <si>
    <t>ROYAL VALLEY UTILITIES INC</t>
  </si>
  <si>
    <t>WEST JEFFERSON COUNTY MWD</t>
  </si>
  <si>
    <t>BISHOP TRAVIS LYNN</t>
  </si>
  <si>
    <t>RIVERCREST ISD</t>
  </si>
  <si>
    <t>KOPPERL ISD</t>
  </si>
  <si>
    <t>KENDALL COUNTY WCID 1</t>
  </si>
  <si>
    <t>CALPINE CONSTRUCTION FINANCE CO LP &amp; CALPINE OPERATING SERVICES CO INC</t>
  </si>
  <si>
    <t>FRONTERA GENERATION LP</t>
  </si>
  <si>
    <t>LONE STAR INDUSTRIES INC</t>
  </si>
  <si>
    <t>COUPLAND WATER SUPPLY CORP</t>
  </si>
  <si>
    <t>WLSK-PASADENA LLC</t>
  </si>
  <si>
    <t>WASTE CONTROL SPECIALISTS LLC AND ANDREWS CO</t>
  </si>
  <si>
    <t>RICE WATER SUPPLY &amp; SEWER SERVICE CORP</t>
  </si>
  <si>
    <t>HARRIS COUNTY MUD 371</t>
  </si>
  <si>
    <t>POLONIA WSC</t>
  </si>
  <si>
    <t>CITY OF DILLEY</t>
  </si>
  <si>
    <t>WALLACE ALLEN RAYNOR</t>
  </si>
  <si>
    <t>BOGGS SUGAR PINES LLC</t>
  </si>
  <si>
    <t>AQUA DEVELOPMENT INC</t>
  </si>
  <si>
    <t>MONARCH UTILITIES  I LP</t>
  </si>
  <si>
    <t>STAFFORD MOBILE HOME PARK INC</t>
  </si>
  <si>
    <t>HAMMOND MOUND UTILITIES INC</t>
  </si>
  <si>
    <t>SPLENDORA ISD</t>
  </si>
  <si>
    <t>CITY OF MAUD</t>
  </si>
  <si>
    <t>CITY OF PASADENA</t>
  </si>
  <si>
    <t>CITY OF ROMA</t>
  </si>
  <si>
    <t>CITY OF MARQUEZ</t>
  </si>
  <si>
    <t>INLINE UTILITIES LLC</t>
  </si>
  <si>
    <t>SG LAND HOLDINGS LLC</t>
  </si>
  <si>
    <t>AUS-TEX PARTS &amp; SERVICE LTD</t>
  </si>
  <si>
    <t>COLE CREEK BUSINESS PARK ASSN INC</t>
  </si>
  <si>
    <t>MONTGOMERY COUNTY MUD 89</t>
  </si>
  <si>
    <t>CITY OF GUSTINE</t>
  </si>
  <si>
    <t>VALLEY MUD NO 2</t>
  </si>
  <si>
    <t>CLEAN HARBORS SAN LEON INC</t>
  </si>
  <si>
    <t>CITY OF COLDSPRING</t>
  </si>
  <si>
    <t>SYNTECH CHEMICALS INC</t>
  </si>
  <si>
    <t>NATIONAL OIL COMPANY AND TERSCO PROPERTY MANAGEMENT LIMITED</t>
  </si>
  <si>
    <t>HARRIS CO MUD DIST NO 500</t>
  </si>
  <si>
    <t>BOTTOM LINE HOLDING COMPANY</t>
  </si>
  <si>
    <t>QUARTERS LLC</t>
  </si>
  <si>
    <t>COWTOWN RV PARK LTD</t>
  </si>
  <si>
    <t>RICETEC INC</t>
  </si>
  <si>
    <t>CITY OF ROBINSON</t>
  </si>
  <si>
    <t>CITY OF HONEY GROVE</t>
  </si>
  <si>
    <t>CITY OF GROVES</t>
  </si>
  <si>
    <t>ZAVALA COUNTY</t>
  </si>
  <si>
    <t>RANCHO LA FUENTE PARTNERS LLC</t>
  </si>
  <si>
    <t>HOOKS ISD</t>
  </si>
  <si>
    <t>WHITE RIVER MUNICIPAL WATER DISTRICT</t>
  </si>
  <si>
    <t>QUALITY PRODUCT FINISHING INC</t>
  </si>
  <si>
    <t>FORT BEND COUNTY MUD NO 130</t>
  </si>
  <si>
    <t>JP ENERGY CADDO LLC</t>
  </si>
  <si>
    <t>CITY OF HAPPY</t>
  </si>
  <si>
    <t>CHEVRON USA INC</t>
  </si>
  <si>
    <t>SUEZ WTS SERVICES USA INC</t>
  </si>
  <si>
    <t>MARINE FUELING SERVICE INC</t>
  </si>
  <si>
    <t>SOUTHERN UTILITIES CO</t>
  </si>
  <si>
    <t>MEEKER, MARC ROGER</t>
  </si>
  <si>
    <t>VLS RECOVERY SERVICES LLC</t>
  </si>
  <si>
    <t>CITY OF SWEETWATER</t>
  </si>
  <si>
    <t>MARTINSVILLE ISD</t>
  </si>
  <si>
    <t>HUNTERS GLEN MUD</t>
  </si>
  <si>
    <t>LINDE GAS NORTH AMERICA LLC</t>
  </si>
  <si>
    <t>CITY OF MANVEL</t>
  </si>
  <si>
    <t>CHEMICALS INC</t>
  </si>
  <si>
    <t>WEBB COUNTY</t>
  </si>
  <si>
    <t>UNION HILL ISD</t>
  </si>
  <si>
    <t>ASARCO LLC</t>
  </si>
  <si>
    <t>ACME BRICK COMPANY</t>
  </si>
  <si>
    <t>TENASKA GATEWAY PARTNERS LTD</t>
  </si>
  <si>
    <t>GULF REDUCTION CORP</t>
  </si>
  <si>
    <t>FAIRVIEW GARDENS DEVELOPMENTS LLC</t>
  </si>
  <si>
    <t>PROTESTANT EPISCOPAL CHURCH COUNCIL OF THE DIOCES</t>
  </si>
  <si>
    <t>CITY OF RANGER</t>
  </si>
  <si>
    <t>MATHESON TRI-GAS INC</t>
  </si>
  <si>
    <t>SHALIMAR FORT WORTH LP</t>
  </si>
  <si>
    <t>US LAND CORP</t>
  </si>
  <si>
    <t>NORTH TEXAS DIST COUNCIL ASSEMBLIES OF GOD</t>
  </si>
  <si>
    <t>CHRISTIAN TABERNACLE OF HOUSTON INC</t>
  </si>
  <si>
    <t>HUDSON PRODUCTS CORP</t>
  </si>
  <si>
    <t>APPLE SPRINGS ISD</t>
  </si>
  <si>
    <t>AQUA TEXAS CO</t>
  </si>
  <si>
    <t>CITY OF ZAVALLA</t>
  </si>
  <si>
    <t>CITY OF MULLIN</t>
  </si>
  <si>
    <t>GULF STATES AQUACULTURE LLC</t>
  </si>
  <si>
    <t>WASTEWATER RESIDUALS MANAGEMENTS LLC</t>
  </si>
  <si>
    <t>SAM HOUSTON AREA COUNCIL BOYS SCOUTS OF AMERICA</t>
  </si>
  <si>
    <t>CITY OF MUNDAY</t>
  </si>
  <si>
    <t>BIG OAK LTD</t>
  </si>
  <si>
    <t>KATY-HOCKLEY CORP</t>
  </si>
  <si>
    <t>NORTHGATE CROSSING MUD 2</t>
  </si>
  <si>
    <t>AVIATION UTILITIES SERVICES INC</t>
  </si>
  <si>
    <t>SET ENVIRONMENTAL INC</t>
  </si>
  <si>
    <t>ALVARADO ISD</t>
  </si>
  <si>
    <t>AUS-TEX PARTS &amp; SERVICES INC</t>
  </si>
  <si>
    <t>LA FRONTERA HOLDINGS LLC</t>
  </si>
  <si>
    <t>MCCARTY ROAD LANDFILL TX LP</t>
  </si>
  <si>
    <t>SOUTHWEST MILAM WSC</t>
  </si>
  <si>
    <t>BASF TOTAL PETROCHEMICALS LLC</t>
  </si>
  <si>
    <t>SKIDMORE WSC</t>
  </si>
  <si>
    <t>CAMP OLYMPIA INC</t>
  </si>
  <si>
    <t>CALPINE HIDALGO ENERGY CEN; CALPINE OP SERV CO; BROWNSVILLE PUB</t>
  </si>
  <si>
    <t>HARRIS COUNTY MUD NO 366</t>
  </si>
  <si>
    <t>WASTE MANAGEMENT OF TEXAS INC</t>
  </si>
  <si>
    <t>CITY OF KYLE</t>
  </si>
  <si>
    <t>HALLIBURTON ENERGY SERVICES INC</t>
  </si>
  <si>
    <t>FRANCIS MILONE REID</t>
  </si>
  <si>
    <t>SIENNA PLANTATION MUD NO 1</t>
  </si>
  <si>
    <t>ST PAUL WSC</t>
  </si>
  <si>
    <t>MAVERICK COUNTY WCID 1</t>
  </si>
  <si>
    <t>TYNAN WSC</t>
  </si>
  <si>
    <t>SOLHJOU ALI MOHAMMAD</t>
  </si>
  <si>
    <t>TIMBERCREST PARTNERS LLC</t>
  </si>
  <si>
    <t>ANGELINA WSC</t>
  </si>
  <si>
    <t>CORPUS CHRISTI COGENERATION LLC &amp; CALPINE OPERATING SERVICES CO INC</t>
  </si>
  <si>
    <t>FPG CT OWNER LP</t>
  </si>
  <si>
    <t>EQUISTAR CHEMICALS LP AND LYONDELLBASELL ACETYLS LLC</t>
  </si>
  <si>
    <t>UTILITIES INVESTMENT COMPANY INC</t>
  </si>
  <si>
    <t>FORT BEND COUNTY MUD 124</t>
  </si>
  <si>
    <t>CALPINE BOSQUE ENERGY CENTER LLC AND CALPINE OPERATING SERVICES CO INC</t>
  </si>
  <si>
    <t>AQUA WSC</t>
  </si>
  <si>
    <t>THOMPSON WATER CO INC</t>
  </si>
  <si>
    <t>NORTHLAKE PARTNERS LTD</t>
  </si>
  <si>
    <t>TENASKA FRONTIER PARTNERS LTD</t>
  </si>
  <si>
    <t>BRIXMOR GA MOUNT HOUSTON TX LP</t>
  </si>
  <si>
    <t>CAL-TEX LUMBER CO INC</t>
  </si>
  <si>
    <t>LAKE FORK PARADISE RV RESORTS LLC</t>
  </si>
  <si>
    <t>BASTROP ENERGY PARTNERS LP</t>
  </si>
  <si>
    <t>PALO PINTO COUNTY WCID 1</t>
  </si>
  <si>
    <t>REUNION 20 TRAVEL VILLAGE LTD</t>
  </si>
  <si>
    <t>CITY OF MOUNT ENTERPRISE</t>
  </si>
  <si>
    <t>UPPER LEON RIVER MUNCIPAL WATER DIST</t>
  </si>
  <si>
    <t>DIA-DEN LTD</t>
  </si>
  <si>
    <t>VICTORIA COUNTY WCID 1</t>
  </si>
  <si>
    <t>RANCH UTILITIES LP</t>
  </si>
  <si>
    <t>POSSUM KINGDOM WSC</t>
  </si>
  <si>
    <t>WOODLAND OAKS UTILITY LP</t>
  </si>
  <si>
    <t>FOREMARK PERFORMANCE CHEMICALS INC</t>
  </si>
  <si>
    <t>CITY OF CRANFILLS GAP</t>
  </si>
  <si>
    <t>CAMP SUMMIT INC</t>
  </si>
  <si>
    <t>CANEY CREEK MUD</t>
  </si>
  <si>
    <t>SULYUKMANOV, NADIJA BALABAN &amp; SULYUKMANOV, ALBERT FARHATOVICH</t>
  </si>
  <si>
    <t>FORT BEND COUNTY MUD 122</t>
  </si>
  <si>
    <t>EVADALE WCID 1</t>
  </si>
  <si>
    <t>MANVEL UTILITIES LP</t>
  </si>
  <si>
    <t>WILLBARGER CREEK MUD NO 2</t>
  </si>
  <si>
    <t>FOLEY KENNARD TOM</t>
  </si>
  <si>
    <t>COTTONWOOD ENERGY CO LP</t>
  </si>
  <si>
    <t>CITY OF ITALY</t>
  </si>
  <si>
    <t>FORT BEND COUNTY MUD NO 131</t>
  </si>
  <si>
    <t>CITY OF WEATHERFORD MUNICIPAL UTILITY BOARD OF TRUSTEES</t>
  </si>
  <si>
    <t>SOUTHERN FOREST PRODUCTS LLC</t>
  </si>
  <si>
    <t>MIRANDO CITY WSC</t>
  </si>
  <si>
    <t>CITY OF SEMINOLE</t>
  </si>
  <si>
    <t>KAMPGROUNDS OF AMERICA INC</t>
  </si>
  <si>
    <t>STEELY LUMBER CO INC</t>
  </si>
  <si>
    <t>JACK A FUSCO ENERGY CENTER LLC; CALPINE OPERATING SERVICES CO INC</t>
  </si>
  <si>
    <t>MALLARD POINT WWTP LLC</t>
  </si>
  <si>
    <t>ROCKY POINT ESTATES LAND TRUST &amp; CASE, STEVEN LEE</t>
  </si>
  <si>
    <t>ARCHDIOCESE OF GALVESTONHOUSTON</t>
  </si>
  <si>
    <t>BRAZORIA COUNTY MUD 21</t>
  </si>
  <si>
    <t>MPB PROPERTIES LLC AND CORPUS CHRISTI PEOPLES BAPTIST CHURCH</t>
  </si>
  <si>
    <t>SABINE RIVER AUTHORITY OF TEXAS</t>
  </si>
  <si>
    <t>GRAND MISSION MUD 1</t>
  </si>
  <si>
    <t>WOLF HOLLOW SERVICES LLC</t>
  </si>
  <si>
    <t>MOORE WSC</t>
  </si>
  <si>
    <t>TOWN OF PONDER</t>
  </si>
  <si>
    <t>HOLIDAY BEACH WSC</t>
  </si>
  <si>
    <t>FREESTONE POWER GENERATION LLC; CALPINE OPERATING SERVICES CO INC</t>
  </si>
  <si>
    <t>SP UTILITY CO INC</t>
  </si>
  <si>
    <t>BRAZORIA CO MUD NO 29</t>
  </si>
  <si>
    <t>TEXAS PARKS AND WILDLIFE DEPT</t>
  </si>
  <si>
    <t>CITY OF STAR HARBOR</t>
  </si>
  <si>
    <t>WATERWOOD MUD 1</t>
  </si>
  <si>
    <t>UPPER JASPER COUNTY WATER AUTHORITY</t>
  </si>
  <si>
    <t>SMITH, WILLIAM DONALD</t>
  </si>
  <si>
    <t>ALI MOHAMMAD SOLHJOU</t>
  </si>
  <si>
    <t>C &amp; R WATER SUPPLY INC</t>
  </si>
  <si>
    <t>DEER PARK ENERGY CENTER LLC AND CALPINE OPERATING SERVICES CO INC</t>
  </si>
  <si>
    <t>CARLISLE ISD</t>
  </si>
  <si>
    <t>FPLE FORNEY LLC</t>
  </si>
  <si>
    <t>SHIN-ETSU SILICONES OF AMERICA INC</t>
  </si>
  <si>
    <t>HARRIS-FORT BEND COUNTIES MUD 3</t>
  </si>
  <si>
    <t>SR SUPERIOR LLC</t>
  </si>
  <si>
    <t>SLIDELL ISD</t>
  </si>
  <si>
    <t>NE TX ELECTRIC COOP INC; ENTERGY POWER OP US INC; E TX ELECTRIC COOP</t>
  </si>
  <si>
    <t>SOUTHWESTERN PUBLIC SERVICE CO</t>
  </si>
  <si>
    <t>EAST MONTGOMERY MUD 4</t>
  </si>
  <si>
    <t>BROWNSVILLE PUB; SOUTHMOST RWA</t>
  </si>
  <si>
    <t>SKY RANCHES INC</t>
  </si>
  <si>
    <t>ELENA SLEPTSOVA ODA</t>
  </si>
  <si>
    <t>TIDWELL WASTEWATER UTILITY LLC</t>
  </si>
  <si>
    <t>BRAZORIA CO MUD NO 25</t>
  </si>
  <si>
    <t>BAYOU DEVELOPMENT LLC</t>
  </si>
  <si>
    <t>HARRIS COUNTY MUD NO 391</t>
  </si>
  <si>
    <t>NACOGDOCHES POWER LLC</t>
  </si>
  <si>
    <t>CINCO SOUTHWEST MUD NO 1</t>
  </si>
  <si>
    <t>LUND ROGER ALLEN</t>
  </si>
  <si>
    <t>HARRIS COUNTY MUD NO 387</t>
  </si>
  <si>
    <t>JOHNSON COUNTY SUD</t>
  </si>
  <si>
    <t>HARRIS COUNTY MUD 374</t>
  </si>
  <si>
    <t>TXDOT</t>
  </si>
  <si>
    <t>CITY OF BAIRD</t>
  </si>
  <si>
    <t>HARRIS COUNTY MUD NO 287</t>
  </si>
  <si>
    <t>TOWN OF MUSTANG</t>
  </si>
  <si>
    <t>SUNFIELD MUD NO 4 &amp; GBRA</t>
  </si>
  <si>
    <t>EAST MONTGOMERY COUNTY MUD 3</t>
  </si>
  <si>
    <t>HOLY TRINITY EPISCOPAL SCHOOL OF GREATER HOUSTON INC</t>
  </si>
  <si>
    <t>WESTPHALIA WATER &amp; SEWER SUPPLY CORP</t>
  </si>
  <si>
    <t>REGEANT CHEMICAL AND RESEARCH INC</t>
  </si>
  <si>
    <t>BELL COUNTY WCID NO 1</t>
  </si>
  <si>
    <t>BATESVILLE WSC</t>
  </si>
  <si>
    <t>FAYETTE COUNTY</t>
  </si>
  <si>
    <t>FORT BEND CO MUD NO 142</t>
  </si>
  <si>
    <t>AGUA SUD</t>
  </si>
  <si>
    <t>242 LLC</t>
  </si>
  <si>
    <t>VILLAGE OF SALADO</t>
  </si>
  <si>
    <t>DIXIE CHEMICAL CO INC</t>
  </si>
  <si>
    <t>HARRIS COUNTY MUD NO 400</t>
  </si>
  <si>
    <t>HARRIS COUNTY MUD NO 401</t>
  </si>
  <si>
    <t>AUSTIN COUNTY WSC</t>
  </si>
  <si>
    <t>THE COLONY MUD 1A</t>
  </si>
  <si>
    <t>BOLIVAR UTILITIES SERVICES LLC</t>
  </si>
  <si>
    <t>CHENIERE LAND HOLDINGS LLC</t>
  </si>
  <si>
    <t>WALTON TEXAS LP</t>
  </si>
  <si>
    <t>HARRIS COUNTY MUD NO 389</t>
  </si>
  <si>
    <t>MARMAC LLC</t>
  </si>
  <si>
    <t>HARRIS COUNTY MUD NO 405</t>
  </si>
  <si>
    <t>CORPUS CHRISTI ALUMINA LLC</t>
  </si>
  <si>
    <t>FORT BEND COUNTY MUD NO 146</t>
  </si>
  <si>
    <t>SCHERTZ/SEGUIN LOCAL GOVERNMENT CORP</t>
  </si>
  <si>
    <t>BRAZORIA CO MUD NO 30</t>
  </si>
  <si>
    <t>BUCKLEY OIL COMPANY</t>
  </si>
  <si>
    <t>RIVERBEND WATER RESOURCES DISTRICT</t>
  </si>
  <si>
    <t>SCURRY-ROSSER ISD</t>
  </si>
  <si>
    <t>PRAIRILAND ISD</t>
  </si>
  <si>
    <t>HARRIS COUNTY MUD NO 418</t>
  </si>
  <si>
    <t>CITY OF ALVARADO</t>
  </si>
  <si>
    <t>LAKE MUNICIPAL UD</t>
  </si>
  <si>
    <t>CITY OF LIBERTY HILL</t>
  </si>
  <si>
    <t>MONTGOMERY COUNTY MUD NO 83</t>
  </si>
  <si>
    <t>METHODIST CHILDREN'S HOME</t>
  </si>
  <si>
    <t>YOUNG MEN'S CHRISTIAN ASSOCIATON OF METROPOLITAN DALLAS</t>
  </si>
  <si>
    <t>MUNSON POINT LTD</t>
  </si>
  <si>
    <t>PLANTATION CROSSING OWNERS ASSOCIATION INC</t>
  </si>
  <si>
    <t>US STEEL OILWELL SERVICES LLC</t>
  </si>
  <si>
    <t>IS ZEN CENTER</t>
  </si>
  <si>
    <t>TEXAS BARGE AND BOAT INC</t>
  </si>
  <si>
    <t>PRASEKS HILLJE SMOKEHOUSE INC</t>
  </si>
  <si>
    <t>SRALLA MHP LP</t>
  </si>
  <si>
    <t>SOUTHWEST MILAM WATER SUPPLY CORP</t>
  </si>
  <si>
    <t>FORT BEND COUNTY MUD NO 57</t>
  </si>
  <si>
    <t>CITY OF MORGAN'S POINT RESORT</t>
  </si>
  <si>
    <t>PORT ARTHUR STEAM ENERGY LP</t>
  </si>
  <si>
    <t>THE SALVATION ARMY</t>
  </si>
  <si>
    <t>FORT BEND COUNTY MUD NO 133</t>
  </si>
  <si>
    <t>CITY OF ODEM</t>
  </si>
  <si>
    <t>FORT BEND COUNTY MUD NO 58</t>
  </si>
  <si>
    <t>CITY OF HAWK COVE</t>
  </si>
  <si>
    <t>MONTGOMERY CO MUD NO 88</t>
  </si>
  <si>
    <t>LOWER NECHES VALLEY AUTHORITY</t>
  </si>
  <si>
    <t>HARRIS COUNTY MUD 412</t>
  </si>
  <si>
    <t>FORT BEND COUNTY MUD NO 151</t>
  </si>
  <si>
    <t>EL PASO COUNTY TORNILLO WID</t>
  </si>
  <si>
    <t>FORT BEND COUNTY MUD NO 152</t>
  </si>
  <si>
    <t>CITY OF DAISETTA</t>
  </si>
  <si>
    <t>EAST MONTGOMERY COUNTY MUD 4</t>
  </si>
  <si>
    <t>FAYETTE WSC</t>
  </si>
  <si>
    <t>BRAZORIA COUNTY MUD 31</t>
  </si>
  <si>
    <t>EAST RIO HONDO WSC</t>
  </si>
  <si>
    <t>DUVAL CO CONSERVATION AND RECLAMATION DIST</t>
  </si>
  <si>
    <t>FORT BEND CO MUD NO 162</t>
  </si>
  <si>
    <t>UNITED DEVELOPMENT FUNDING LP</t>
  </si>
  <si>
    <t>SANDY CREEK ENERGY ASSOCIATES LP AND SANDY CREEK SERVICES LLC</t>
  </si>
  <si>
    <t>WALLER COUNTY RID 1</t>
  </si>
  <si>
    <t>CITY OF CLARKSVILLE CITY</t>
  </si>
  <si>
    <t>PEN JOINT TENANTS AND NORTH CAMERON RWSC</t>
  </si>
  <si>
    <t>HARRIS COUNTY MUD NO 434</t>
  </si>
  <si>
    <t>CITY OF LA JOYA</t>
  </si>
  <si>
    <t>CITY OF LAVON</t>
  </si>
  <si>
    <t>BLOOMINGTON ISD</t>
  </si>
  <si>
    <t>CAROLINA CREEK CHRISTIAN CAMP</t>
  </si>
  <si>
    <t>HARRIS COUNTY MUD NO 165</t>
  </si>
  <si>
    <t>MONTGOMERY MUD NO 105</t>
  </si>
  <si>
    <t>FALL CREEK UTILITY CO INC</t>
  </si>
  <si>
    <t>HARRIS COUNTY MUD NO 432</t>
  </si>
  <si>
    <t>SOUTH CENTRAL WATER CO</t>
  </si>
  <si>
    <t>CITY OF JARRELL</t>
  </si>
  <si>
    <t>VALLEY RANCH MUD 1</t>
  </si>
  <si>
    <t>LAKE MUD</t>
  </si>
  <si>
    <t>MONTGOMERY COUNTY MUD NO 99</t>
  </si>
  <si>
    <t>DALLAS 2100 ROSS LP</t>
  </si>
  <si>
    <t>EL PASO ELECTRIC CO</t>
  </si>
  <si>
    <t>HARRIS COUNTY MUD NO 480</t>
  </si>
  <si>
    <t>VALLEY MUNICIPAL UTILITY DISTRICT NO 2</t>
  </si>
  <si>
    <t>SOUTH CENTRAL WATER COMPANY</t>
  </si>
  <si>
    <t>SIENNA PLANTATION MUD NO 5</t>
  </si>
  <si>
    <t>MAUDINE BRUBAKER</t>
  </si>
  <si>
    <t>BEARPEN CREEK LP</t>
  </si>
  <si>
    <t>CITY OF BLANKET</t>
  </si>
  <si>
    <t>RANKIN PARK MAINTENANCE &amp; UTILITIES CO INC</t>
  </si>
  <si>
    <t>GENERATION PARK MANAGEMENT DISTRICT</t>
  </si>
  <si>
    <t>LCY ELASTOMERS LP</t>
  </si>
  <si>
    <t>HELMS TRAIL PROPERTIES INC</t>
  </si>
  <si>
    <t>HARRIS COUNTY MUD NO 449</t>
  </si>
  <si>
    <t>MSEC ENTERPRISES INC</t>
  </si>
  <si>
    <t>2006 MUSTANG CREEK DEVELOPMENT INC</t>
  </si>
  <si>
    <t>NORTHWEST HARRIS CO MUD NO 10</t>
  </si>
  <si>
    <t>NORTH HAYS COUNTY MUD 1</t>
  </si>
  <si>
    <t>NORTHWEST HARRIS CO MUD NO 5</t>
  </si>
  <si>
    <t>WILLOW CREEK FARMS MUD</t>
  </si>
  <si>
    <t>NORTHEAST HARRIS COUNTY MUD 1</t>
  </si>
  <si>
    <t>DRIL-QUIP INC</t>
  </si>
  <si>
    <t>MONTGOMERY COUNTY MUD NO 119</t>
  </si>
  <si>
    <t>CHAMBERS COUNTY IMPROVEMENT DISTRICT NO 1</t>
  </si>
  <si>
    <t>NAVASOTA ISD</t>
  </si>
  <si>
    <t>COLORADO BEND SERVICES LLC</t>
  </si>
  <si>
    <t>CITY OF CADDO MILLS</t>
  </si>
  <si>
    <t>HEMANI, FRANK</t>
  </si>
  <si>
    <t>MONTGOMERY COUNTY MUD NO 112</t>
  </si>
  <si>
    <t>HAYS CO WCID NO 1</t>
  </si>
  <si>
    <t>CIRCLE T RESORT LLC</t>
  </si>
  <si>
    <t>CITY OF PRESIDIO</t>
  </si>
  <si>
    <t>SOUTH FORT WORTH RV RANCH LLC</t>
  </si>
  <si>
    <t>SANDERSON FARMS INC (PROCESSING DIVISION)</t>
  </si>
  <si>
    <t>COMBINED CONSUMERS SPECIAL UTILITY DISTRICT</t>
  </si>
  <si>
    <t>CITY OF SABINAL</t>
  </si>
  <si>
    <t>DALLAS COUNTY PARK CITIES MUD</t>
  </si>
  <si>
    <t>FORT BEND MUD #185</t>
  </si>
  <si>
    <t>MILITARY HWY  WSC</t>
  </si>
  <si>
    <t>HOLMES FOOD INC</t>
  </si>
  <si>
    <t>MIRALOMAS MUD</t>
  </si>
  <si>
    <t>LOST RIVER RV LLC</t>
  </si>
  <si>
    <t>FORT BEND CO MUD NO.134A</t>
  </si>
  <si>
    <t>UPPER LEON RIVER MWD</t>
  </si>
  <si>
    <t>AES DEEPWATER LLC</t>
  </si>
  <si>
    <t>CITY OF LAKEPORT</t>
  </si>
  <si>
    <t>CITY OF WALNUT SPRINGS</t>
  </si>
  <si>
    <t>ARANSAS CO MUD NO 1</t>
  </si>
  <si>
    <t>NORTHSIDE SUBDIVISION WATER PLANT AND DISTRIBUTION CORP</t>
  </si>
  <si>
    <t>CITY OF LAMESA</t>
  </si>
  <si>
    <t>FORT HANCOCK WCID</t>
  </si>
  <si>
    <t>HARRIS CO MUD NO 500</t>
  </si>
  <si>
    <t>WYLIE NORTHEAST SPECIAL UTILITY DISTRICT</t>
  </si>
  <si>
    <t>FORT BEND MUD NO 169 AND CITY OF FULSHEAR</t>
  </si>
  <si>
    <t>ALLEN JAMES LEWIS</t>
  </si>
  <si>
    <t>SEDONA LAKES MUD 1</t>
  </si>
  <si>
    <t>NESTLE WATERS NORTH AMERICA INC</t>
  </si>
  <si>
    <t>FORT BEND COUNTY MUD NO 5</t>
  </si>
  <si>
    <t>FORT BEND COUNTY MUD NO 182</t>
  </si>
  <si>
    <t>ORANGEFIELD WSC</t>
  </si>
  <si>
    <t>TEXAS DEPARTMENT OF TRANSPORTATION</t>
  </si>
  <si>
    <t>HARRIS COUNTY MUD NO 1</t>
  </si>
  <si>
    <t>TA OPERATING LLC</t>
  </si>
  <si>
    <t>CITY OF CASTROVILLE</t>
  </si>
  <si>
    <t>TWAN DEVELOPMENT LLC</t>
  </si>
  <si>
    <t>VAL VERDE UTILITY CO LLC</t>
  </si>
  <si>
    <t>METROPLEX QUARRYS INC</t>
  </si>
  <si>
    <t>METROPLES QUARRYS INC</t>
  </si>
  <si>
    <t>PINE COVE INC</t>
  </si>
  <si>
    <t>CITIES OF WACO, WOODWAY, BELLMEAD, LORENA, HEWITT, ROBINSON, LACY LAKE</t>
  </si>
  <si>
    <t>AUC GROUP LP</t>
  </si>
  <si>
    <t>BRAZORIA COUNTY MUD 55</t>
  </si>
  <si>
    <t>FORT BEND COUNTY MUD 190</t>
  </si>
  <si>
    <t>FAR HILLS UTILITY DISTRICT</t>
  </si>
  <si>
    <t>ERVIN DON CRUTCHER</t>
  </si>
  <si>
    <t>290 WR HOLDINGS LP</t>
  </si>
  <si>
    <t>JOHN DAVID HAGERMAN AND MARTHA VOSS BYRD</t>
  </si>
  <si>
    <t>THE GEO GROUP INC</t>
  </si>
  <si>
    <t>LAS LOMAS MUD NO 4 OF KAUFMAN COUNTY</t>
  </si>
  <si>
    <t>CITY OF CRESSON</t>
  </si>
  <si>
    <t>MONTGOMERY CO MUD 113</t>
  </si>
  <si>
    <t>GUADALUPE DELTA BAY RESORT LLC</t>
  </si>
  <si>
    <t>TEXAS CONFERENCE ASSOCIATION OF SENVENTH-DAY ADVENTISTS</t>
  </si>
  <si>
    <t>TALLEY LAND DEVELOPMENT</t>
  </si>
  <si>
    <t>IPSCO KOPPEL TUBULARS LLC</t>
  </si>
  <si>
    <t>BARKER UTILITIES GP LLC</t>
  </si>
  <si>
    <t>JDB TURNER CREST WASTEWATER LLC</t>
  </si>
  <si>
    <t>TPC GROUP LLC</t>
  </si>
  <si>
    <t>201</t>
  </si>
  <si>
    <t>CITY OF BEDIAS</t>
  </si>
  <si>
    <t>IVY VALLEY UTILITIES</t>
  </si>
  <si>
    <t>RICE CISD</t>
  </si>
  <si>
    <t>CITY OF KARNES CITY</t>
  </si>
  <si>
    <t>WHITEOAK SHORES SEWER SERVICE CORP</t>
  </si>
  <si>
    <t>MANN, JANICE SUE</t>
  </si>
  <si>
    <t>RAYFORD CROSING LTD</t>
  </si>
  <si>
    <t>SABINE RIVER AUTHORITY (SRA) OF TX, SRA-STATE OF LA AND ENTERGY TX INC</t>
  </si>
  <si>
    <t>ERA ISD</t>
  </si>
  <si>
    <t>CANYON REGIONAL WATER AUTHORITY</t>
  </si>
  <si>
    <t>COUNTRY CLUB RETIREMENT COMMUNITY LP</t>
  </si>
  <si>
    <t>PILOT TRAVEL CENTERS LLC</t>
  </si>
  <si>
    <t>HARRIS COUNTY MUD NO 148</t>
  </si>
  <si>
    <t>CITY OF PENITAS</t>
  </si>
  <si>
    <t>001B</t>
  </si>
  <si>
    <t>PARKER COUNTY SUD</t>
  </si>
  <si>
    <t>BASTROP COUNTY MUD NO 1</t>
  </si>
  <si>
    <t>STRATUS BLOCK 21 LLC</t>
  </si>
  <si>
    <t>LOCHINVAR GOLF CLUB</t>
  </si>
  <si>
    <t>ANDREWS COUNTY AND WASTE CONTROL SPECIALISTS LLC</t>
  </si>
  <si>
    <t>WATERFRONT LAND INVESTMENTS FUND I LP</t>
  </si>
  <si>
    <t>BAY BLUFF LP</t>
  </si>
  <si>
    <t>STRIPES LLC</t>
  </si>
  <si>
    <t>COLORADO RIVER MWD</t>
  </si>
  <si>
    <t>LONE STAR NGL MONT BELVIEU LP</t>
  </si>
  <si>
    <t>SOMERVELL COUNTY WATER DISTRICT</t>
  </si>
  <si>
    <t>DXC TECHNOLOGY SERVICES LLC</t>
  </si>
  <si>
    <t>JOHN BLUDWORTH SHIPYARD LLC</t>
  </si>
  <si>
    <t>TEXAS NEW COMMUNITY ALLIANCE</t>
  </si>
  <si>
    <t>STEPHENVILLE MOBILE HOME PARK LTD</t>
  </si>
  <si>
    <t>LA JOYA ISD</t>
  </si>
  <si>
    <t>WALLER COUNTY MUD NO 9A</t>
  </si>
  <si>
    <t>ROYAL WAILEA INVESTMENT LP</t>
  </si>
  <si>
    <t>XS RANCH FUND VI LP</t>
  </si>
  <si>
    <t>HIDALGO COUNTY MUD NO 1</t>
  </si>
  <si>
    <t>DEVEREUX FOUNDATION</t>
  </si>
  <si>
    <t>BUCKLEY OIL CO</t>
  </si>
  <si>
    <t>HARRIS COUNTY MUD NO 433</t>
  </si>
  <si>
    <t>GREATWOOD HOSPITALITY INC</t>
  </si>
  <si>
    <t>WESTON MUD</t>
  </si>
  <si>
    <t>JMH HOMES-HOUSTON LLC</t>
  </si>
  <si>
    <t>CITY OF BRIDGEPORT</t>
  </si>
  <si>
    <t>LATERNA VILLA MHP LLC</t>
  </si>
  <si>
    <t>AMERICAN WATER OPERATIONS AND MAINTENANCE INC</t>
  </si>
  <si>
    <t>BEACON ESTATES WSC</t>
  </si>
  <si>
    <t>HARRIS COUNTY IMPROVEMENT DISTRICT NO 18</t>
  </si>
  <si>
    <t>SAMPOGNA PROPERTIES LP</t>
  </si>
  <si>
    <t>TARKINGTON ISD</t>
  </si>
  <si>
    <t>CITY OF FREDERICKSBURG</t>
  </si>
  <si>
    <t>HUBER CARBONATES LLC</t>
  </si>
  <si>
    <t>CITY OF SUNRAY</t>
  </si>
  <si>
    <t>RIO GRANDE MINING CO</t>
  </si>
  <si>
    <t>MANVILLE WATER SUPPLY CORPORATION</t>
  </si>
  <si>
    <t>MCMULLEN COUNTY</t>
  </si>
  <si>
    <t>THE SABINE MINING COMPANY</t>
  </si>
  <si>
    <t>ROLLING V RANCH WCID NO 1 OF WISE COUNTY</t>
  </si>
  <si>
    <t>PLAINVIEW BIOENERGY LLC</t>
  </si>
  <si>
    <t>PREMIUM WATERS INC</t>
  </si>
  <si>
    <t>EASTWOOD HILLS MOBILE HOME PARK LP</t>
  </si>
  <si>
    <t>OCEAN HOME MOBILE HOME PARK LLC</t>
  </si>
  <si>
    <t>INTERNATIONAL EDUCATIONAL SERVICES INC</t>
  </si>
  <si>
    <t>CITY OF GEORGE WEST</t>
  </si>
  <si>
    <t>CITY OF DONNA</t>
  </si>
  <si>
    <t>THE CARDON GROUP LLC</t>
  </si>
  <si>
    <t>SKYMARK DEVELOPMENT CO INC</t>
  </si>
  <si>
    <t>NK VII PARTNERS LTD</t>
  </si>
  <si>
    <t>EAST TEXAS ELECTRIC COOPERATIVE INC</t>
  </si>
  <si>
    <t>VULCAN CONSTRUCTION MATERIALS LLC</t>
  </si>
  <si>
    <t>WILLIAM EMMETT HARTZOG JR</t>
  </si>
  <si>
    <t>WEST WISE SPECIAL UTILITY DISTRICT</t>
  </si>
  <si>
    <t>SOUTH ATLANTIC SERVICES INC</t>
  </si>
  <si>
    <t>ARANSAS BAY UTILITIES CO LLC</t>
  </si>
  <si>
    <t>RPM WSC</t>
  </si>
  <si>
    <t>ABRAXAS CORP</t>
  </si>
  <si>
    <t>SAN JACINTO BARGE REPAIR INC</t>
  </si>
  <si>
    <t>DEVELOPMENT SOLUTIONS CW LLC</t>
  </si>
  <si>
    <t>EXPLORER PIPELINE COMPANY</t>
  </si>
  <si>
    <t>STUDY BUTTE WSC</t>
  </si>
  <si>
    <t>CITY OF NEWTON</t>
  </si>
  <si>
    <t>QUAIL RUN SERVICES LLC</t>
  </si>
  <si>
    <t>WOOD GROUP USA INC</t>
  </si>
  <si>
    <t>NORTH TEXAS MWD</t>
  </si>
  <si>
    <t>CITY OF LA VILLA</t>
  </si>
  <si>
    <t>ANGELINA COUNTY WCID NO 3</t>
  </si>
  <si>
    <t>TOWN OF ROUND TOP</t>
  </si>
  <si>
    <t>CITGO REFINING AND CHEMICALS CO</t>
  </si>
  <si>
    <t>MANSFIELD ISD</t>
  </si>
  <si>
    <t>CITY OF LAWN</t>
  </si>
  <si>
    <t>BAYOU PINES LLC</t>
  </si>
  <si>
    <t>HWY 300 LLC</t>
  </si>
  <si>
    <t>FOREST GLEN UTILITY CO</t>
  </si>
  <si>
    <t>CHAPPELL HILL SERVICE CO LLC</t>
  </si>
  <si>
    <t>PANOLA-BETHANY WSC</t>
  </si>
  <si>
    <t>CLIFF VIEW CONDOMINIUM COMMUNITY INC</t>
  </si>
  <si>
    <t>BATTLEGROUND OIL SPECIALTY TERMINAL COMPANY LLC</t>
  </si>
  <si>
    <t>MARSHALL MINE LLC</t>
  </si>
  <si>
    <t>TARGA DOWNSTREAM LLC</t>
  </si>
  <si>
    <t>TRINITY @ WINDFERN LLC</t>
  </si>
  <si>
    <t>KIRBY INLAND MARINE LP</t>
  </si>
  <si>
    <t>5732 WOODARD PARTNERS LTD</t>
  </si>
  <si>
    <t>SEVENTY SEVEN LAND CO LLC</t>
  </si>
  <si>
    <t>REAGENT CHEMICAL &amp; RESEARCH INC</t>
  </si>
  <si>
    <t>AQUA WATER SUPPLY CORP</t>
  </si>
  <si>
    <t>CARDET WHOLESALE INC</t>
  </si>
  <si>
    <t>TRINITY RURAL WSC</t>
  </si>
  <si>
    <t>ELLWOOD TEXAS FORGE NAVASOTA LLC</t>
  </si>
  <si>
    <t>JIVANJI NOMAN BURHANI</t>
  </si>
  <si>
    <t>CITY OF MERTENS</t>
  </si>
  <si>
    <t>FORT BEND COUNTY MUD 206</t>
  </si>
  <si>
    <t>CITY OF CORRIGAN</t>
  </si>
  <si>
    <t>PERRIN-WHITT CISD</t>
  </si>
  <si>
    <t>DHJB DEVELOPMENT LLC</t>
  </si>
  <si>
    <t>PI DOCK FACILITIES LLC</t>
  </si>
  <si>
    <t>AGUA SPECIAL UTILITY DISTRICT</t>
  </si>
  <si>
    <t>MULTI CHEM GROUP LLC</t>
  </si>
  <si>
    <t>EAST MONTGOMERY COUNTY MUD 5</t>
  </si>
  <si>
    <t>CITY OF BULVERDE</t>
  </si>
  <si>
    <t>APEX BETHEL ENERGY CENTER LLC</t>
  </si>
  <si>
    <t>HALEPASKA PROPERTY MANAGEMENT LLC</t>
  </si>
  <si>
    <t>CITY OF TRENTON</t>
  </si>
  <si>
    <t>WILLOW POINT MUD</t>
  </si>
  <si>
    <t>HELMS, TONDA JOLANE</t>
  </si>
  <si>
    <t>MARKHAM MUD</t>
  </si>
  <si>
    <t>529 #35 LTD</t>
  </si>
  <si>
    <t>GREENBAY REAL ESTATE INVESTMENT LP</t>
  </si>
  <si>
    <t>CONRAD ORANGE SHIPYARD INC</t>
  </si>
  <si>
    <t>CONRAD ORABGE SHIPYARD INC</t>
  </si>
  <si>
    <t>WODEN ISD</t>
  </si>
  <si>
    <t>NORTHEAST TEXAS MUNICIPAL WATER DISTRICT</t>
  </si>
  <si>
    <t>AVNOOR MAHI LLC</t>
  </si>
  <si>
    <t>MONTGOMERY COUNTY MUD 139</t>
  </si>
  <si>
    <t>MULTI-CHEM GROUP LLC</t>
  </si>
  <si>
    <t>M&amp;D DEVELOPMENT LLC</t>
  </si>
  <si>
    <t>CRAFT-TURNEY WSC</t>
  </si>
  <si>
    <t>DTT LLC</t>
  </si>
  <si>
    <t>ELG METALS INC</t>
  </si>
  <si>
    <t>GRANT ROAD PUD</t>
  </si>
  <si>
    <t>M&amp;G RESINS USA LLC</t>
  </si>
  <si>
    <t>JBS PACKING COMPANY INC</t>
  </si>
  <si>
    <t>EF90 LLC</t>
  </si>
  <si>
    <t>GOSPEL FOR ASIA INC</t>
  </si>
  <si>
    <t>HARRIS COUNTY MUD 530</t>
  </si>
  <si>
    <t>JUDSON ISD</t>
  </si>
  <si>
    <t>CITY OF BYNUM</t>
  </si>
  <si>
    <t>MONTGOMERY COUNTY MUD 137</t>
  </si>
  <si>
    <t>S I ENTERPRISES LLC</t>
  </si>
  <si>
    <t>EAST RIO HONDO WATER SUPPLY CO</t>
  </si>
  <si>
    <t>NORTH ALAMO WATER SUPPLY CORP</t>
  </si>
  <si>
    <t>VOESTALPINE TEXAS LLC</t>
  </si>
  <si>
    <t>HARBORLIGHT MARINA AND RESORT LLC</t>
  </si>
  <si>
    <t>EVANGELICAL CHRISTIAN CREDIT UNION</t>
  </si>
  <si>
    <t>HIGH ISLAND ISD</t>
  </si>
  <si>
    <t>THE ESTATES PARTNERS LLC</t>
  </si>
  <si>
    <t>R&amp;A HARRIS SOUTH LP</t>
  </si>
  <si>
    <t>CITY OF WHEELER</t>
  </si>
  <si>
    <t>INTERURBAN FOREST LLP</t>
  </si>
  <si>
    <t>TENASKA ROANS PRAIRIE PARTNERS LLC</t>
  </si>
  <si>
    <t>SHERRY SMITH MILNER</t>
  </si>
  <si>
    <t>LINDE LLC</t>
  </si>
  <si>
    <t>HARRIS COUNTY MUD NO 531</t>
  </si>
  <si>
    <t>LEON ISD</t>
  </si>
  <si>
    <t>TWO SEVENTY SEVEN LIMITED &amp; GBRA</t>
  </si>
  <si>
    <t>HARRIS COUNTY MUD 495</t>
  </si>
  <si>
    <t>GREENS PORT CBR LLC</t>
  </si>
  <si>
    <t>CINCO MUD 1</t>
  </si>
  <si>
    <t>PORT O'CONNOR IMPROVEMENT DISTRICT</t>
  </si>
  <si>
    <t>CYPRESS 600 DEV PARTNERS LP</t>
  </si>
  <si>
    <t>FOREST WSC</t>
  </si>
  <si>
    <t>MHP UTILITY SYSTEMS INC</t>
  </si>
  <si>
    <t>FORT BEND COUNTY MUD 143</t>
  </si>
  <si>
    <t>BETHESDA LUTHERAN COMMUNITIES INC</t>
  </si>
  <si>
    <t>3180 MAVERICK INVESTMENTS LLC</t>
  </si>
  <si>
    <t>NJM PROPERTY LTD</t>
  </si>
  <si>
    <t>HOA KHUONG BUI AND CHUONG ANH NGUYEN</t>
  </si>
  <si>
    <t>FOSSIL RIM WILDLIFE CENTER INC</t>
  </si>
  <si>
    <t>CITY OF RIO VISTA</t>
  </si>
  <si>
    <t>FANNETT SEWER SERVICE &amp; WATER SUPPLY CORP</t>
  </si>
  <si>
    <t>CITY OF WIMBERLY</t>
  </si>
  <si>
    <t>HARRIS COUNTY MUD NO 171</t>
  </si>
  <si>
    <t>CITY OF SAN BENITO</t>
  </si>
  <si>
    <t>CRYSTAL CLEAR SUD</t>
  </si>
  <si>
    <t>CADDO BASIN SUD</t>
  </si>
  <si>
    <t>CITY OF DUMAS</t>
  </si>
  <si>
    <t>BRAZORIA COUNTY MUD NO 43</t>
  </si>
  <si>
    <t>PALO PINTO COUNTY MWD 1AND CITY OF MINERAL WELLS</t>
  </si>
  <si>
    <t>LA PALOMA ENERGY CENTER LLC</t>
  </si>
  <si>
    <t>SANDERSON FARMS INC PRODUCTION DIVISION</t>
  </si>
  <si>
    <t>ARTESIAN LAKES LTD</t>
  </si>
  <si>
    <t>KINDER MORGAN CRUDE &amp; CONDENSATE LLC</t>
  </si>
  <si>
    <t>BLUEJACK DEVELOPMENT CO LLC</t>
  </si>
  <si>
    <t>MONTGOMERY COUNTY MUD NO 96</t>
  </si>
  <si>
    <t>LENNAR HOMES OF TEXAS LAND AND CONSTRUCTION LTD</t>
  </si>
  <si>
    <t>HARRIS COUNTY MUD 536</t>
  </si>
  <si>
    <t>DMS REAL TREE LLC</t>
  </si>
  <si>
    <t>CITY OF PATTON VILLAGE</t>
  </si>
  <si>
    <t>DRY CREEK (HOUSTON) ASLI VII LLC</t>
  </si>
  <si>
    <t>WOODLANDS OAKS UTILITY LP</t>
  </si>
  <si>
    <t>PETRA NOVA CCS I LLC</t>
  </si>
  <si>
    <t>GOSLING OFFICE PARK LLC</t>
  </si>
  <si>
    <t>J WEST DEVELOPMENT INC</t>
  </si>
  <si>
    <t>FOLLETS ISLAND CUSTOM HOMES LLC</t>
  </si>
  <si>
    <t>NATGASOLINE LLC</t>
  </si>
  <si>
    <t>APEX TEXAS POWER LLC</t>
  </si>
  <si>
    <t>FORT BEND COUNTY MUD NO 142</t>
  </si>
  <si>
    <t>BRAZOSPORT WATER AUTHORITY</t>
  </si>
  <si>
    <t>CENTRAL TEXAS WSC</t>
  </si>
  <si>
    <t>FULSHEAR LAKES LTD</t>
  </si>
  <si>
    <t>CHEVRON PHILLIPS CHEMICAL COMPANY LP</t>
  </si>
  <si>
    <t>ROSEHILL RESERVE LTD</t>
  </si>
  <si>
    <t>MONTGOMERY COUNTY MUD NO 127</t>
  </si>
  <si>
    <t>MAMMOET USA SOUTH INC</t>
  </si>
  <si>
    <t>CITY OF LLANO</t>
  </si>
  <si>
    <t>MEYER RANCH MUD OF COMAL COUNTY</t>
  </si>
  <si>
    <t>CENTERVILLE PETROLEUM LLC</t>
  </si>
  <si>
    <t>FORT BEND MUD NO 198</t>
  </si>
  <si>
    <t>GRAND PARKWAY INDUSTRIAL LP</t>
  </si>
  <si>
    <t>FOSTER TIMBER LTD</t>
  </si>
  <si>
    <t>CLEAR WATER SOLUTIONS LLC</t>
  </si>
  <si>
    <t>STYN LLC</t>
  </si>
  <si>
    <t>CITY OF DOMINO</t>
  </si>
  <si>
    <t>FORT BEND COUNTY MUD 134E</t>
  </si>
  <si>
    <t>FMC TECHNOLOGIES INC</t>
  </si>
  <si>
    <t>NEW WATER SUPPLY CORPORATION</t>
  </si>
  <si>
    <t>LARG MANAGEMENT GROUP LLC</t>
  </si>
  <si>
    <t>GOODMAN MANUFACTURING COMPANY LP</t>
  </si>
  <si>
    <t>THE SIGNORELLI COMPANY</t>
  </si>
  <si>
    <t>CRYSTAL SPRINGS WATER CO</t>
  </si>
  <si>
    <t>MILE 533 MARINE WAYS INC</t>
  </si>
  <si>
    <t>TIDEHAVEN INDEPENDENT SCHOOL DISTRICT</t>
  </si>
  <si>
    <t>HILL COUNTRY CAMP</t>
  </si>
  <si>
    <t>SPRING CYPRESS WATER SUPPLY CORPORATION</t>
  </si>
  <si>
    <t>NEW WSC</t>
  </si>
  <si>
    <t>SOLVAY SPECIALTY POLYMERS USA LLC</t>
  </si>
  <si>
    <t>GREEN VALLEY SPECIAL UTILITY DISTRICT</t>
  </si>
  <si>
    <t>CITY OF SCHERTZ AND CIBOLO CREEK MUNICIPAL AUTHORITY</t>
  </si>
  <si>
    <t>MONTGOMERY RIDGE LTD</t>
  </si>
  <si>
    <t>BRIGHT STAR-SALEM SPECIAL UTILITY DISTRICT</t>
  </si>
  <si>
    <t>OCP - TRES RIOS LLC</t>
  </si>
  <si>
    <t>ALF PROPERTIES LLC</t>
  </si>
  <si>
    <t>NANTUCKET HOUSING LLC</t>
  </si>
  <si>
    <t>FORT BEND COUNTY MUD 213</t>
  </si>
  <si>
    <t>LIGHTHOUSE RV PARK LLC</t>
  </si>
  <si>
    <t>HARRIS COUNTY MUD NO 438</t>
  </si>
  <si>
    <t>MOMIN, ZEHRABEN</t>
  </si>
  <si>
    <t>TRI-COUNTY POINT PROPERTY OWNERS ASSOCIATION</t>
  </si>
  <si>
    <t>BENTON CITY WSC</t>
  </si>
  <si>
    <t>TIGER SANITATION INC</t>
  </si>
  <si>
    <t>TARGA TERMINALS LLC</t>
  </si>
  <si>
    <t>GAINES COUNTY WATER COMPANY LLC</t>
  </si>
  <si>
    <t>METRO WATER SYSTEMS INC</t>
  </si>
  <si>
    <t>99 WEST 570 PARTNERS LLC</t>
  </si>
  <si>
    <t>AIRGAS USA LLC</t>
  </si>
  <si>
    <t>JOHNSON COUNTY PIPE INC</t>
  </si>
  <si>
    <t>WALKER AERO ENVIRONMENTAL LLC</t>
  </si>
  <si>
    <t>TOWN OF ANTHONY</t>
  </si>
  <si>
    <t>TEXAS PACK INC</t>
  </si>
  <si>
    <t>SR AUS LLC</t>
  </si>
  <si>
    <t>SUNDOWN RANCH INC</t>
  </si>
  <si>
    <t>BISTONE MUNICIPAL WATER SUPPLY DISTRICT</t>
  </si>
  <si>
    <t>VIA BAYOU INC</t>
  </si>
  <si>
    <t>CITY OF DRIPPING SPRINGS</t>
  </si>
  <si>
    <t>CITY OF SKELLYTOWN</t>
  </si>
  <si>
    <t>HARRIS COUNTY MUD NO 525</t>
  </si>
  <si>
    <t>JEFFERSON RAILPORT TERMINAL I (TEXAS) LLC</t>
  </si>
  <si>
    <t>LAND TEJAS COMPANIES LTD</t>
  </si>
  <si>
    <t>RONAN BAILEY SMITH</t>
  </si>
  <si>
    <t>PLUM CREEK FWSD NO 1</t>
  </si>
  <si>
    <t>FORT BEND COUNTY MUD NO 134A</t>
  </si>
  <si>
    <t>FULSHEAR MUD NO 3B</t>
  </si>
  <si>
    <t>GALVESTION COUNTY MUD NO 51</t>
  </si>
  <si>
    <t>CITY OF CHILDRESS</t>
  </si>
  <si>
    <t>JTI CONSTRUCTORS</t>
  </si>
  <si>
    <t>CITY OF DEPORT</t>
  </si>
  <si>
    <t>SAM HOUSTON AREA COUNCIL BOY SCOUTS OF AMERICA</t>
  </si>
  <si>
    <t>CITY OF ROSE CITY</t>
  </si>
  <si>
    <t>BAILEY BARK MATERIALS INC</t>
  </si>
  <si>
    <t>CITY OF GORDON</t>
  </si>
  <si>
    <t>TEXAS PROVIDENCE INVESTMENTS LLC</t>
  </si>
  <si>
    <t>DOWNSTREAM ENVIRONMENTAL LLC</t>
  </si>
  <si>
    <t>DENNIS J WILKERSON TRUST</t>
  </si>
  <si>
    <t>ROMERICA ENTERTAINMENT LLC</t>
  </si>
  <si>
    <t>WINDY HILL UTILITY CO LLC</t>
  </si>
  <si>
    <t>BIG SKY TRAILS LTD</t>
  </si>
  <si>
    <t>CANUTILLO ISD</t>
  </si>
  <si>
    <t>DAEDELUS CORPS</t>
  </si>
  <si>
    <t>290 KICKAPOO DEVELOPMENT INC</t>
  </si>
  <si>
    <t>MANVEL CENTER LTD</t>
  </si>
  <si>
    <t>NUECES COUNTY WCID NO 5</t>
  </si>
  <si>
    <t>DUNHAM POINTE DEVELOPMENT LLC</t>
  </si>
  <si>
    <t>CITY OF THREE RIVERS</t>
  </si>
  <si>
    <t>BLUE WATER RESORT INC</t>
  </si>
  <si>
    <t>7E PROPERTY HOLDINGS LP</t>
  </si>
  <si>
    <t>BP PRODUCTS NORTH AMERICA INC</t>
  </si>
  <si>
    <t>MAVERICK TERMINALS LLC</t>
  </si>
  <si>
    <t>MAVERICK FUEL OIL TERMINAL LLC</t>
  </si>
  <si>
    <t>GENERAL POLYMER SERVICES LLC</t>
  </si>
  <si>
    <t>MARLINE TREATMENT</t>
  </si>
  <si>
    <t>OSR 786 LLC</t>
  </si>
  <si>
    <t>CITY OF STRAWN</t>
  </si>
  <si>
    <t>GULBRANDSEN TECHNOLOGIES INC</t>
  </si>
  <si>
    <t>KOCH SULFUR PRODUCTS CO LLC</t>
  </si>
  <si>
    <t>MUSTANG SPECIAL UTILITY DISTRICT</t>
  </si>
  <si>
    <t>GRAND NORTHWEST MUD</t>
  </si>
  <si>
    <t>NASHTEC LLC</t>
  </si>
  <si>
    <t>GREGORY POWER PARTNERS LLC</t>
  </si>
  <si>
    <t>PORT COMFORT POWER LLC</t>
  </si>
  <si>
    <t>GSL WELCOME BP 32 LLC</t>
  </si>
  <si>
    <t>CHIRENO ISD</t>
  </si>
  <si>
    <t>HP GIBBS LP</t>
  </si>
  <si>
    <t>WELLBORN SUD</t>
  </si>
  <si>
    <t>SMILING MALLARD DEVELOPMENT LTD</t>
  </si>
  <si>
    <t>CITY OF SHEPHERD</t>
  </si>
  <si>
    <t>TOPSAIL ENERGY BAYTOWN LLC</t>
  </si>
  <si>
    <t>WE HEREFORD LLC</t>
  </si>
  <si>
    <t>UNITED FRONT LLC</t>
  </si>
  <si>
    <t>EAST FORK PARTNERS LLC</t>
  </si>
  <si>
    <t>SIMONTON MANAGEMENT DISTRICT NO 1</t>
  </si>
  <si>
    <t>JOMOVSM LLC</t>
  </si>
  <si>
    <t>TOWN OF PECOS CITY</t>
  </si>
  <si>
    <t>TWINWOOD (US) INC</t>
  </si>
  <si>
    <t>GCGV ASSET HOLDING LLC</t>
  </si>
  <si>
    <t>HOLLY LAKE CONDOMINIUM ASSOCIATION INC</t>
  </si>
  <si>
    <t>SSPS PROPERTIES LLC</t>
  </si>
  <si>
    <t>CITY OF WORTHAM</t>
  </si>
  <si>
    <t>UNITED FRONT SHEPHERD LLC</t>
  </si>
  <si>
    <t>NIRANJAN SHANTILAL PATEL</t>
  </si>
  <si>
    <t>CW CONSTRUCTION DEVELOPMENT LP</t>
  </si>
  <si>
    <t>GULF COAST AMMONIA LLC</t>
  </si>
  <si>
    <t>HILCO UNITED SERVICES INC</t>
  </si>
  <si>
    <t>SAWYER-CLEVELAND PARTNERSHIP LTD</t>
  </si>
  <si>
    <t>RIVER RANCH HOLDINGS LLC</t>
  </si>
  <si>
    <t>SBE CHEMICAL PARTNERS I LLC</t>
  </si>
  <si>
    <t>CiTY OF DILLEY</t>
  </si>
  <si>
    <t>NIAZI FAMILY INVESTMENTS LTD</t>
  </si>
  <si>
    <t>RICHMOND RV RESORT</t>
  </si>
  <si>
    <t>POOL BROTHERS LLC</t>
  </si>
  <si>
    <t>HARRIS COUNTY MUD NO 495</t>
  </si>
  <si>
    <t>MONTGOMERY COUNTY MUD NO 111</t>
  </si>
  <si>
    <t>LOVES TRAVEL STOPS AND COUNTRY STORES INC</t>
  </si>
  <si>
    <t>LOUIS VUITTON US MANUFACTURING INC</t>
  </si>
  <si>
    <t>MORTON LAKE COMPANY INC</t>
  </si>
  <si>
    <t>SPIRIT OF AGGIELAND RV RESORT LLC</t>
  </si>
  <si>
    <t>JLM 717 KAUFMAN LP AND KAUFMAN COUNTY FWSD 4A</t>
  </si>
  <si>
    <t>PLUM CREEK UTILITY COMPANY LLC</t>
  </si>
  <si>
    <t>HANOVER ESTATES LTD</t>
  </si>
  <si>
    <t>CHARLESTON CMI LTD</t>
  </si>
  <si>
    <t>VICTORIA PORT ARTHUR LLC</t>
  </si>
  <si>
    <t>BRADBURY DEVELOPMENT LIMITED</t>
  </si>
  <si>
    <t>TEXAS MILITARY DEPARTMENT</t>
  </si>
  <si>
    <t>MCALISTER OPPORTUNITY FUND 2012 LP</t>
  </si>
  <si>
    <t>GONZALES COUNTY WSC</t>
  </si>
  <si>
    <t>CORNELIUS ERIKS AND SUSAN CHARLOTTE ERIKS</t>
  </si>
  <si>
    <t>CITY OF ROCKSPRINGS</t>
  </si>
  <si>
    <t>TOWN OF QUINTANA</t>
  </si>
  <si>
    <t>DTB INVESTMENTS LP</t>
  </si>
  <si>
    <t>HILL MCKNIGHT DISHMAN</t>
  </si>
  <si>
    <t>ST IVES RV RESORT LLC</t>
  </si>
  <si>
    <t>LAND ADVISORS LTD</t>
  </si>
  <si>
    <t>PORT OF CORPUS CHRISTI AUTHORITY OF NUECES COUNTY</t>
  </si>
  <si>
    <t>PARK SEWER COMPANY</t>
  </si>
  <si>
    <t>WORLD ENERGY BIOX BIOFUELS LLC</t>
  </si>
  <si>
    <t>JOSHUA LAND FARM LLC</t>
  </si>
  <si>
    <t>NORHILL ENERGY LLC</t>
  </si>
  <si>
    <t>THE CAMP RECOVERY CENTERS LLC</t>
  </si>
  <si>
    <t>CRANE CO</t>
  </si>
  <si>
    <t>NORTHWEST AIRPORT MANAGEMENT LP</t>
  </si>
  <si>
    <t>WPS I LLC</t>
  </si>
  <si>
    <t>CITY OF MIDLAND</t>
  </si>
  <si>
    <t>FRIENDSWOOD DEVELOPMENT CO LLC</t>
  </si>
  <si>
    <t>GRANGERLAND DEVELOPMENT LLC</t>
  </si>
  <si>
    <t>DR HORTON TEXAS LTD</t>
  </si>
  <si>
    <t>CROCKETT MARTIN CORP</t>
  </si>
  <si>
    <t>TOMBALL ISD</t>
  </si>
  <si>
    <t>CITY OF HOWE AND HOWE COMMERCIAL LTD</t>
  </si>
  <si>
    <t>MARKUM LAND PROPERTIES LLC</t>
  </si>
  <si>
    <t>MERCY SHIPS FOUNDATION</t>
  </si>
  <si>
    <t>PAMPA INVESTMENT GROUP LP</t>
  </si>
  <si>
    <t>MCALISTER OPPORTUNITY FUND III LP</t>
  </si>
  <si>
    <t>LKW SALINE CREEK SENIOR VILLAGE LTD</t>
  </si>
  <si>
    <t>CITY OF VENUS</t>
  </si>
  <si>
    <t>BASSICHIS DEVELOPMENT LLC</t>
  </si>
  <si>
    <t>SIGMA PRO PROPERTIES LLC</t>
  </si>
  <si>
    <t>VICTOR DEE TURLEY AND ALEXIS HILL TURLEY</t>
  </si>
  <si>
    <t>CITY OF BRUCEVILLE-EDDY</t>
  </si>
  <si>
    <t>VICTORIA PORT POWER II LLC</t>
  </si>
  <si>
    <t>HAPPY HILL FARM CHILDRENS HOME</t>
  </si>
  <si>
    <t>CHERRYVILLE GP INC AND CHERRYVILLE NO 5 LTD</t>
  </si>
  <si>
    <t>MONT 200 LLC</t>
  </si>
  <si>
    <t>OAKMONT RESERVE LTD</t>
  </si>
  <si>
    <t>GOLDEN SHAMROCK REALTY INC</t>
  </si>
  <si>
    <t>HUMBLE JOINT VENTURE 1 LLC</t>
  </si>
  <si>
    <t>KB HOME LONE STAR INC</t>
  </si>
  <si>
    <t>LANDMARK INDUSTRIES</t>
  </si>
  <si>
    <t>SOUTH 9 LLC</t>
  </si>
  <si>
    <t>LANTANA AT ROUND TOP LLC AND ROUND TOP COMPOUND LLC</t>
  </si>
  <si>
    <t>NOLTEX LLC</t>
  </si>
  <si>
    <t>OAKVILLE RANCH RV RESORT LLC</t>
  </si>
  <si>
    <t>CHAPARRAL INDUSTRIAL SERVICES LLC</t>
  </si>
  <si>
    <t>WHITE ROCK HOMEOWNERS ASSOCIATION INC</t>
  </si>
  <si>
    <t>MCNABB UTILITIES LLC</t>
  </si>
  <si>
    <t>COTTON LOGISTICS INC</t>
  </si>
  <si>
    <t>LEGACY HOUSING CORPORATION</t>
  </si>
  <si>
    <t>TAWAKONI WASTE LLC</t>
  </si>
  <si>
    <t>AMDT LLC</t>
  </si>
  <si>
    <t>NGO INDUSTRIAL HOLDINGS LLC AND ACME BRICK CO</t>
  </si>
  <si>
    <t>NGO INDUSTRIAL HOLDINGS LLC</t>
  </si>
  <si>
    <t>PLUM CREEK UTILITY CO LLC</t>
  </si>
  <si>
    <t>CRYSTAL CLEAR SUD AND MCLB LAND LLC</t>
  </si>
  <si>
    <t>WALLER COUNTY MUD 19</t>
  </si>
  <si>
    <t>JW DEVELOPMENT PARTNERS LLC</t>
  </si>
  <si>
    <t>93 SCHIEL ROAD LTD</t>
  </si>
  <si>
    <t>WILLIAMSON COUNTY MUD 16</t>
  </si>
  <si>
    <t>PROENERGY SERVICES LLC</t>
  </si>
  <si>
    <t>GREAT ESCAPES OPPORTUNITY ZONE FUND LLC</t>
  </si>
  <si>
    <t>HARRIS COUNTY MUD 43</t>
  </si>
  <si>
    <t>HK REAL ESTATE DEVELOPMENT LLC</t>
  </si>
  <si>
    <t>KENDALL WEST UTILITY LLC</t>
  </si>
  <si>
    <t>HOUSTON POLYMERS TERMINAL LP</t>
  </si>
  <si>
    <t>NORTHLAKE CORNERS LLC</t>
  </si>
  <si>
    <t>ML DEV LP AND MR LOUIS TSAKIRIS</t>
  </si>
  <si>
    <t>CYPRESS GRAND PARKWAY (HOUSTON) ASLI IX LLC</t>
  </si>
  <si>
    <t>RIVERS EDGE INTERESTS LTD</t>
  </si>
  <si>
    <t>DENTON COUNTY MUD 10</t>
  </si>
  <si>
    <t>INTEGRA WATER TEXAS LLC AND SHERRY LOVE DILL</t>
  </si>
  <si>
    <t>STONETOWN PLEASANT OAKS LLC</t>
  </si>
  <si>
    <t>GOODALTA POWER CENTER LLC</t>
  </si>
  <si>
    <t>SPORTSMANS WORLD MUD</t>
  </si>
  <si>
    <t>621 KATY LLC</t>
  </si>
  <si>
    <t>CROSSROADS 10445 LP</t>
  </si>
  <si>
    <t>NORTH WEST RUBBER USA INC AND GP/NWR LLC</t>
  </si>
  <si>
    <t>ESPERANZA WATER SERVICE CO INC</t>
  </si>
  <si>
    <t>GUEFEN DEVELOPMENT CO</t>
  </si>
  <si>
    <t>COWTOWN PIPELINE PARTNERS LP</t>
  </si>
  <si>
    <t>DEER TRAIL WATER DISTRICT LLC</t>
  </si>
  <si>
    <t>HANNOVER ESTATES LTD</t>
  </si>
  <si>
    <t>REGAL LLC</t>
  </si>
  <si>
    <t>KEPPEL AMFELS LLC</t>
  </si>
  <si>
    <t>A &amp; M INTERESTS INC</t>
  </si>
  <si>
    <t>PECAN ACRES CREEK LLC</t>
  </si>
  <si>
    <t>STEEL DYNAMICS SOUTHWEST LLC</t>
  </si>
  <si>
    <t>WOODHAVEN INTERESTS LLC</t>
  </si>
  <si>
    <t>LH RANCH WWTP-1 LTD</t>
  </si>
  <si>
    <t>OAK CREEK RV LLC</t>
  </si>
  <si>
    <t>BLACK BRANCH CREEK WWTP LLC</t>
  </si>
  <si>
    <t>HARRIS COUNTY MUD NO 465</t>
  </si>
  <si>
    <t>JIMMY EDWIN COLE JR</t>
  </si>
  <si>
    <t>PT SIX LP</t>
  </si>
  <si>
    <t>SUMMER BREEZE USA KATY LLC</t>
  </si>
  <si>
    <t>TX0000027</t>
  </si>
  <si>
    <t>TX0000086</t>
  </si>
  <si>
    <t>TX0000108</t>
  </si>
  <si>
    <t>TX0000167</t>
  </si>
  <si>
    <t>TX0000540</t>
  </si>
  <si>
    <t>TX0000710</t>
  </si>
  <si>
    <t>TX0000752</t>
  </si>
  <si>
    <t>TX0000825</t>
  </si>
  <si>
    <t>TX0000876</t>
  </si>
  <si>
    <t>TX0000949</t>
  </si>
  <si>
    <t>TX0001007</t>
  </si>
  <si>
    <t>TX0001023</t>
  </si>
  <si>
    <t>TX0001031</t>
  </si>
  <si>
    <t>TX0001040</t>
  </si>
  <si>
    <t>TX0001058</t>
  </si>
  <si>
    <t>TX0001066</t>
  </si>
  <si>
    <t>TX0001163</t>
  </si>
  <si>
    <t>TX0001171</t>
  </si>
  <si>
    <t>TX0001198</t>
  </si>
  <si>
    <t>TX0001201</t>
  </si>
  <si>
    <t>TX0001368</t>
  </si>
  <si>
    <t>TX0001449</t>
  </si>
  <si>
    <t>TX0001465</t>
  </si>
  <si>
    <t>TX0001627</t>
  </si>
  <si>
    <t>TX0001643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</si>
  <si>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</si>
  <si>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</si>
  <si>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</si>
  <si>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</si>
  <si>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</si>
  <si>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</si>
  <si>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</si>
  <si>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</si>
  <si>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</si>
  <si>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TX0002381</t>
  </si>
  <si>
    <t>TX0002470</t>
  </si>
  <si>
    <t>TX0002542</t>
  </si>
  <si>
    <t>TX0002631</t>
  </si>
  <si>
    <t>TX0002658</t>
  </si>
  <si>
    <t>TX0002747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</si>
  <si>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</si>
  <si>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</si>
  <si>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</si>
  <si>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</si>
  <si>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</si>
  <si>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</si>
  <si>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</si>
  <si>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</si>
  <si>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</si>
  <si>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</si>
  <si>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</si>
  <si>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</si>
  <si>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</si>
  <si>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</si>
  <si>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TX0003565</t>
  </si>
  <si>
    <t>TX0003573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</si>
  <si>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</si>
  <si>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</si>
  <si>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</si>
  <si>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</si>
  <si>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</si>
  <si>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</si>
  <si>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</si>
  <si>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</si>
  <si>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</si>
  <si>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</si>
  <si>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</si>
  <si>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</si>
  <si>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</si>
  <si>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</si>
  <si>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</si>
  <si>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</si>
  <si>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</si>
  <si>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</si>
  <si>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</si>
  <si>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</si>
  <si>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</si>
  <si>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</si>
  <si>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</si>
  <si>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</si>
  <si>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</si>
  <si>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</si>
  <si>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</si>
  <si>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</si>
  <si>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</si>
  <si>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</si>
  <si>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</si>
  <si>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</si>
  <si>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</si>
  <si>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</si>
  <si>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</si>
  <si>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</si>
  <si>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</si>
  <si>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</si>
  <si>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</si>
  <si>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</si>
  <si>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</si>
  <si>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</si>
  <si>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</si>
  <si>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</si>
  <si>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</si>
  <si>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</si>
  <si>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</si>
  <si>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</si>
  <si>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</si>
  <si>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</si>
  <si>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</si>
  <si>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</si>
  <si>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</si>
  <si>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</si>
  <si>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</si>
  <si>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</si>
  <si>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</si>
  <si>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</si>
  <si>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TX0006378</t>
  </si>
  <si>
    <t>TX0006386</t>
  </si>
  <si>
    <t>TX0006394</t>
  </si>
  <si>
    <t>TX0006408</t>
  </si>
  <si>
    <t>TX0006459</t>
  </si>
  <si>
    <t>TX0006483</t>
  </si>
  <si>
    <t>TX0006564</t>
  </si>
  <si>
    <t>TX0006599</t>
  </si>
  <si>
    <t>TX0006688</t>
  </si>
  <si>
    <t>TX0006696</t>
  </si>
  <si>
    <t>TX0006726</t>
  </si>
  <si>
    <t>TX0006904</t>
  </si>
  <si>
    <t>TX0007013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</si>
  <si>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</si>
  <si>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</si>
  <si>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</si>
  <si>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</si>
  <si>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</si>
  <si>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</si>
  <si>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</si>
  <si>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</si>
  <si>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</si>
  <si>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</si>
  <si>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</si>
  <si>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</si>
  <si>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</si>
  <si>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</si>
  <si>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</si>
  <si>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</si>
  <si>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</si>
  <si>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</si>
  <si>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</si>
  <si>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</si>
  <si>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</si>
  <si>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</si>
  <si>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</si>
  <si>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</si>
  <si>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</si>
  <si>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</si>
  <si>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</si>
  <si>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</si>
  <si>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</si>
  <si>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</si>
  <si>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</si>
  <si>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</si>
  <si>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</si>
  <si>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TX0009067</t>
  </si>
  <si>
    <t>TX0009148</t>
  </si>
  <si>
    <t>TX00138673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</si>
  <si>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</si>
  <si>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</si>
  <si>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</si>
  <si>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</si>
  <si>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</si>
  <si>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</si>
  <si>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</si>
  <si>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</si>
  <si>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</si>
  <si>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</si>
  <si>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</si>
  <si>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</si>
  <si>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</si>
  <si>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</si>
  <si>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</si>
  <si>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</si>
  <si>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</si>
  <si>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</si>
  <si>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</si>
  <si>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</si>
  <si>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</si>
  <si>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</si>
  <si>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</si>
  <si>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</si>
  <si>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</si>
  <si>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</si>
  <si>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</si>
  <si>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</si>
  <si>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</si>
  <si>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</si>
  <si>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</si>
  <si>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</si>
  <si>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</si>
  <si>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</si>
  <si>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</si>
  <si>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</si>
  <si>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</si>
  <si>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</si>
  <si>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</si>
  <si>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</si>
  <si>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</si>
  <si>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</si>
  <si>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</si>
  <si>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</si>
  <si>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</si>
  <si>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</si>
  <si>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</si>
  <si>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</si>
  <si>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TX0021296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</si>
  <si>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</si>
  <si>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</si>
  <si>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</si>
  <si>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</si>
  <si>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</si>
  <si>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</si>
  <si>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</si>
  <si>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</si>
  <si>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</si>
  <si>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TX0021687</t>
  </si>
  <si>
    <t>TX0021717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</si>
  <si>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</si>
  <si>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</si>
  <si>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</si>
  <si>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</si>
  <si>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</si>
  <si>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</si>
  <si>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</si>
  <si>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</si>
  <si>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</si>
  <si>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</si>
  <si>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</si>
  <si>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</si>
  <si>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</si>
  <si>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</si>
  <si>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</si>
  <si>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</si>
  <si>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</si>
  <si>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</si>
  <si>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</si>
  <si>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</si>
  <si>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</si>
  <si>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</si>
  <si>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</si>
  <si>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</si>
  <si>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</si>
  <si>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</si>
  <si>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</si>
  <si>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</si>
  <si>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</si>
  <si>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</si>
  <si>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</si>
  <si>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TX0022471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</si>
  <si>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</si>
  <si>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</si>
  <si>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</si>
  <si>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</si>
  <si>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</si>
  <si>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</si>
  <si>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</si>
  <si>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</si>
  <si>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</si>
  <si>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</si>
  <si>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</si>
  <si>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</si>
  <si>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</si>
  <si>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</si>
  <si>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</si>
  <si>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</si>
  <si>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</si>
  <si>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</si>
  <si>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</si>
  <si>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</si>
  <si>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</si>
  <si>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</si>
  <si>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</si>
  <si>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</si>
  <si>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</si>
  <si>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</si>
  <si>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</si>
  <si>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</si>
  <si>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</si>
  <si>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</si>
  <si>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</si>
  <si>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</si>
  <si>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</si>
  <si>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</si>
  <si>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</si>
  <si>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</si>
  <si>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</si>
  <si>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</si>
  <si>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</si>
  <si>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</si>
  <si>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</si>
  <si>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</si>
  <si>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</si>
  <si>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</si>
  <si>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</si>
  <si>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</si>
  <si>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</si>
  <si>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</si>
  <si>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</si>
  <si>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</si>
  <si>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</si>
  <si>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</si>
  <si>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</si>
  <si>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</si>
  <si>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</si>
  <si>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</si>
  <si>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</si>
  <si>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</si>
  <si>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</si>
  <si>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</si>
  <si>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</si>
  <si>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</si>
  <si>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</si>
  <si>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</si>
  <si>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</si>
  <si>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</si>
  <si>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</si>
  <si>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</si>
  <si>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</si>
  <si>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</si>
  <si>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</si>
  <si>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</si>
  <si>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</si>
  <si>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</si>
  <si>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</si>
  <si>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</si>
  <si>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</si>
  <si>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</si>
  <si>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</si>
  <si>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</si>
  <si>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</si>
  <si>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</si>
  <si>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</si>
  <si>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</si>
  <si>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</si>
  <si>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</si>
  <si>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</si>
  <si>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</si>
  <si>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</si>
  <si>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</si>
  <si>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</si>
  <si>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</si>
  <si>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</si>
  <si>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</si>
  <si>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</si>
  <si>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</si>
  <si>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</si>
  <si>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</si>
  <si>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</si>
  <si>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</si>
  <si>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</si>
  <si>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</si>
  <si>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</si>
  <si>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</si>
  <si>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</si>
  <si>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</si>
  <si>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</si>
  <si>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</si>
  <si>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</si>
  <si>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</si>
  <si>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</si>
  <si>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</si>
  <si>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</si>
  <si>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</si>
  <si>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</si>
  <si>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</si>
  <si>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</si>
  <si>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</si>
  <si>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</si>
  <si>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</si>
  <si>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</si>
  <si>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</si>
  <si>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</si>
  <si>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</si>
  <si>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</si>
  <si>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</si>
  <si>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</si>
  <si>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</si>
  <si>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</si>
  <si>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</si>
  <si>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</si>
  <si>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</si>
  <si>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</si>
  <si>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</si>
  <si>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</si>
  <si>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</si>
  <si>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</si>
  <si>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</si>
  <si>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</si>
  <si>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</si>
  <si>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</si>
  <si>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</si>
  <si>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</si>
  <si>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</si>
  <si>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</si>
  <si>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</si>
  <si>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</si>
  <si>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</si>
  <si>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</si>
  <si>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</si>
  <si>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</si>
  <si>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</si>
  <si>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</si>
  <si>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</si>
  <si>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</si>
  <si>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</si>
  <si>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</si>
  <si>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</si>
  <si>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</si>
  <si>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</si>
  <si>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</si>
  <si>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</si>
  <si>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</si>
  <si>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</si>
  <si>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</si>
  <si>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</si>
  <si>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</si>
  <si>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</si>
  <si>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</si>
  <si>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</si>
  <si>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</si>
  <si>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</si>
  <si>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</si>
  <si>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TX0025798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</si>
  <si>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</si>
  <si>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</si>
  <si>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</si>
  <si>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</si>
  <si>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</si>
  <si>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</si>
  <si>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</si>
  <si>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TX0025950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</si>
  <si>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</si>
  <si>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</si>
  <si>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</si>
  <si>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</si>
  <si>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</si>
  <si>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</si>
  <si>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</si>
  <si>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</si>
  <si>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</si>
  <si>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</si>
  <si>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</si>
  <si>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</si>
  <si>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</si>
  <si>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</si>
  <si>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</si>
  <si>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</si>
  <si>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</si>
  <si>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</si>
  <si>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</si>
  <si>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TX0026484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</si>
  <si>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</si>
  <si>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</si>
  <si>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</si>
  <si>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</si>
  <si>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</si>
  <si>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</si>
  <si>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</si>
  <si>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</si>
  <si>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</si>
  <si>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</si>
  <si>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</si>
  <si>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</si>
  <si>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</si>
  <si>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</si>
  <si>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</si>
  <si>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</si>
  <si>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</si>
  <si>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</si>
  <si>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</si>
  <si>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</si>
  <si>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</si>
  <si>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TX0026972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</si>
  <si>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</si>
  <si>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</si>
  <si>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</si>
  <si>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</si>
  <si>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</si>
  <si>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</si>
  <si>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</si>
  <si>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</si>
  <si>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</si>
  <si>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</si>
  <si>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</si>
  <si>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</si>
  <si>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</si>
  <si>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</si>
  <si>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</si>
  <si>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</si>
  <si>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</si>
  <si>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</si>
  <si>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</si>
  <si>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</si>
  <si>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</si>
  <si>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</si>
  <si>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</si>
  <si>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</si>
  <si>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</si>
  <si>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</si>
  <si>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</si>
  <si>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</si>
  <si>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</si>
  <si>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</si>
  <si>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</si>
  <si>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</si>
  <si>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</si>
  <si>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</si>
  <si>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</si>
  <si>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TX0027758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</si>
  <si>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</si>
  <si>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</si>
  <si>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</si>
  <si>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</si>
  <si>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</si>
  <si>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</si>
  <si>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</si>
  <si>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</si>
  <si>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TX0029564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</si>
  <si>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</si>
  <si>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</si>
  <si>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</si>
  <si>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</si>
  <si>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</si>
  <si>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</si>
  <si>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</si>
  <si>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</si>
  <si>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</si>
  <si>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</si>
  <si>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</si>
  <si>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</si>
  <si>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</si>
  <si>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</si>
  <si>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</si>
  <si>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</si>
  <si>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</si>
  <si>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</si>
  <si>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</si>
  <si>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</si>
  <si>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</si>
  <si>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</si>
  <si>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</si>
  <si>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</si>
  <si>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</si>
  <si>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</si>
  <si>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</si>
  <si>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</si>
  <si>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</si>
  <si>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</si>
  <si>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</si>
  <si>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</si>
  <si>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</si>
  <si>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</si>
  <si>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</si>
  <si>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</si>
  <si>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</si>
  <si>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</si>
  <si>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</si>
  <si>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</si>
  <si>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</si>
  <si>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TX0032514</t>
  </si>
  <si>
    <t>TX0032549</t>
  </si>
  <si>
    <t>TX0032581</t>
  </si>
  <si>
    <t>TX0032638</t>
  </si>
  <si>
    <t>TX0032646</t>
  </si>
  <si>
    <t>TX0032654</t>
  </si>
  <si>
    <t>TX0032671</t>
  </si>
  <si>
    <t>TX0032689</t>
  </si>
  <si>
    <t>TX0032719</t>
  </si>
  <si>
    <t>TX0032735</t>
  </si>
  <si>
    <t>TX0032743</t>
  </si>
  <si>
    <t>TX0032905</t>
  </si>
  <si>
    <t>TX0033090</t>
  </si>
  <si>
    <t>TX0033154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</si>
  <si>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</si>
  <si>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</si>
  <si>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</si>
  <si>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</si>
  <si>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</si>
  <si>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</si>
  <si>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</si>
  <si>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</si>
  <si>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</si>
  <si>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</si>
  <si>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</si>
  <si>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</si>
  <si>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</si>
  <si>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</si>
  <si>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</si>
  <si>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</si>
  <si>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</si>
  <si>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</si>
  <si>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TX0034401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</si>
  <si>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</si>
  <si>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</si>
  <si>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</si>
  <si>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</si>
  <si>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</si>
  <si>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</si>
  <si>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</si>
  <si>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</si>
  <si>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</si>
  <si>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</si>
  <si>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TX0034886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</si>
  <si>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</si>
  <si>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</si>
  <si>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</si>
  <si>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</si>
  <si>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</si>
  <si>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</si>
  <si>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</si>
  <si>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</si>
  <si>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</si>
  <si>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</si>
  <si>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</si>
  <si>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</si>
  <si>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</si>
  <si>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</si>
  <si>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TX0046400</t>
  </si>
  <si>
    <t>TX0046612</t>
  </si>
  <si>
    <t>TX0046621</t>
  </si>
  <si>
    <t>TX0046639</t>
  </si>
  <si>
    <t>TX0046663</t>
  </si>
  <si>
    <t>TX0046671</t>
  </si>
  <si>
    <t>TX0046680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</si>
  <si>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</si>
  <si>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</si>
  <si>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</si>
  <si>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</si>
  <si>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</si>
  <si>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</si>
  <si>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</si>
  <si>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</si>
  <si>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</si>
  <si>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</si>
  <si>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</si>
  <si>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</si>
  <si>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</si>
  <si>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</si>
  <si>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</si>
  <si>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</si>
  <si>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</si>
  <si>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</si>
  <si>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</si>
  <si>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</si>
  <si>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</si>
  <si>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</si>
  <si>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</si>
  <si>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</si>
  <si>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</si>
  <si>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</si>
  <si>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</si>
  <si>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</si>
  <si>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</si>
  <si>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</si>
  <si>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</si>
  <si>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</si>
  <si>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</si>
  <si>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</si>
  <si>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</si>
  <si>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</si>
  <si>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</si>
  <si>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</si>
  <si>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</si>
  <si>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</si>
  <si>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</si>
  <si>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</si>
  <si>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</si>
  <si>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</si>
  <si>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</si>
  <si>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</si>
  <si>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</si>
  <si>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</si>
  <si>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</si>
  <si>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</si>
  <si>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</si>
  <si>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</si>
  <si>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</si>
  <si>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</si>
  <si>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</si>
  <si>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</si>
  <si>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</si>
  <si>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</si>
  <si>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</si>
  <si>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</si>
  <si>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</si>
  <si>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</si>
  <si>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</si>
  <si>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</si>
  <si>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</si>
  <si>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</si>
  <si>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</si>
  <si>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</si>
  <si>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</si>
  <si>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</si>
  <si>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</si>
  <si>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</si>
  <si>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</si>
  <si>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</si>
  <si>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</si>
  <si>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</si>
  <si>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</si>
  <si>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TX0053112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</si>
  <si>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</si>
  <si>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</si>
  <si>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</si>
  <si>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</si>
  <si>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</si>
  <si>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</si>
  <si>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</si>
  <si>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</si>
  <si>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</si>
  <si>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</si>
  <si>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</si>
  <si>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</si>
  <si>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</si>
  <si>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</si>
  <si>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</si>
  <si>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</si>
  <si>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</si>
  <si>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</si>
  <si>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</si>
  <si>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</si>
  <si>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</si>
  <si>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</si>
  <si>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</si>
  <si>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</si>
  <si>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</si>
  <si>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</si>
  <si>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</si>
  <si>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</si>
  <si>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</si>
  <si>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</si>
  <si>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</si>
  <si>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</si>
  <si>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</si>
  <si>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</si>
  <si>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</si>
  <si>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</si>
  <si>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</si>
  <si>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</si>
  <si>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</si>
  <si>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</si>
  <si>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</si>
  <si>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</si>
  <si>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</si>
  <si>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</si>
  <si>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</si>
  <si>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</si>
  <si>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</si>
  <si>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</si>
  <si>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</si>
  <si>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</si>
  <si>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</si>
  <si>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</si>
  <si>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</si>
  <si>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</si>
  <si>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</si>
  <si>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</si>
  <si>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</si>
  <si>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</si>
  <si>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</si>
  <si>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</si>
  <si>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</si>
  <si>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TX0054976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</si>
  <si>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</si>
  <si>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</si>
  <si>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</si>
  <si>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</si>
  <si>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</si>
  <si>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</si>
  <si>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</si>
  <si>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</si>
  <si>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</si>
  <si>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</si>
  <si>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</si>
  <si>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</si>
  <si>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</si>
  <si>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</si>
  <si>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</si>
  <si>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</si>
  <si>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</si>
  <si>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</si>
  <si>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</si>
  <si>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</si>
  <si>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</si>
  <si>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</si>
  <si>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</si>
  <si>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</si>
  <si>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</si>
  <si>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</si>
  <si>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</si>
  <si>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</si>
  <si>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</si>
  <si>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</si>
  <si>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</si>
  <si>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TX0056693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</si>
  <si>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</si>
  <si>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</si>
  <si>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</si>
  <si>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</si>
  <si>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</si>
  <si>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</si>
  <si>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</si>
  <si>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</si>
  <si>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</si>
  <si>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</si>
  <si>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</si>
  <si>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</si>
  <si>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</si>
  <si>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</si>
  <si>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</si>
  <si>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</si>
  <si>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</si>
  <si>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</si>
  <si>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</si>
  <si>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</si>
  <si>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</si>
  <si>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</si>
  <si>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</si>
  <si>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</si>
  <si>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</si>
  <si>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</si>
  <si>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</si>
  <si>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</si>
  <si>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</si>
  <si>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</si>
  <si>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</si>
  <si>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</si>
  <si>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</si>
  <si>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</si>
  <si>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</si>
  <si>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</si>
  <si>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TX0058408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</si>
  <si>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</si>
  <si>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</si>
  <si>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</si>
  <si>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</si>
  <si>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</si>
  <si>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</si>
  <si>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</si>
  <si>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</si>
  <si>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</si>
  <si>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</si>
  <si>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</si>
  <si>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TX0060933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</si>
  <si>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</si>
  <si>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</si>
  <si>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</si>
  <si>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</si>
  <si>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</si>
  <si>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</si>
  <si>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</si>
  <si>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</si>
  <si>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</si>
  <si>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</si>
  <si>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</si>
  <si>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</si>
  <si>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</si>
  <si>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</si>
  <si>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</si>
  <si>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</si>
  <si>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</si>
  <si>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</si>
  <si>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</si>
  <si>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</si>
  <si>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</si>
  <si>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</si>
  <si>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</si>
  <si>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</si>
  <si>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</si>
  <si>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</si>
  <si>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</si>
  <si>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</si>
  <si>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</si>
  <si>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</si>
  <si>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</si>
  <si>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</si>
  <si>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</si>
  <si>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</si>
  <si>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</si>
  <si>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</si>
  <si>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</si>
  <si>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</si>
  <si>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</si>
  <si>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</si>
  <si>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</si>
  <si>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</si>
  <si>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</si>
  <si>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</si>
  <si>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TX0064777</t>
  </si>
  <si>
    <t>TX0064912</t>
  </si>
  <si>
    <t>TX0064947</t>
  </si>
  <si>
    <t>TX0064963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</si>
  <si>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</si>
  <si>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</si>
  <si>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</si>
  <si>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</si>
  <si>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</si>
  <si>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</si>
  <si>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</si>
  <si>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</si>
  <si>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</si>
  <si>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</si>
  <si>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</si>
  <si>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</si>
  <si>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</si>
  <si>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</si>
  <si>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TX0066583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</si>
  <si>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</si>
  <si>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</si>
  <si>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</si>
  <si>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</si>
  <si>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</si>
  <si>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</si>
  <si>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</si>
  <si>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</si>
  <si>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</si>
  <si>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</si>
  <si>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</si>
  <si>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</si>
  <si>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</si>
  <si>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</si>
  <si>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TX0067946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</si>
  <si>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</si>
  <si>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</si>
  <si>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</si>
  <si>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</si>
  <si>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</si>
  <si>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</si>
  <si>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</si>
  <si>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</si>
  <si>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</si>
  <si>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TX0068683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</si>
  <si>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</si>
  <si>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</si>
  <si>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</si>
  <si>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</si>
  <si>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</si>
  <si>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</si>
  <si>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</si>
  <si>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</si>
  <si>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</si>
  <si>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</si>
  <si>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</si>
  <si>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</si>
  <si>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</si>
  <si>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</si>
  <si>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TX0069311</t>
  </si>
  <si>
    <t>TX0069469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</si>
  <si>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</si>
  <si>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</si>
  <si>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</si>
  <si>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</si>
  <si>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</si>
  <si>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</si>
  <si>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</si>
  <si>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</si>
  <si>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</si>
  <si>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</si>
  <si>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</si>
  <si>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TX0070009</t>
  </si>
  <si>
    <t>TX0070017</t>
  </si>
  <si>
    <t>TX0070068</t>
  </si>
  <si>
    <t>TX0070165</t>
  </si>
  <si>
    <t>TX0070211</t>
  </si>
  <si>
    <t>TX0070297</t>
  </si>
  <si>
    <t>TX0070416</t>
  </si>
  <si>
    <t>TX0070530</t>
  </si>
  <si>
    <t>TX0070611</t>
  </si>
  <si>
    <t>TX0070645</t>
  </si>
  <si>
    <t>TX0070769</t>
  </si>
  <si>
    <t>TX0070785</t>
  </si>
  <si>
    <t>TX0070807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</si>
  <si>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</si>
  <si>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</si>
  <si>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</si>
  <si>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</si>
  <si>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</si>
  <si>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</si>
  <si>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</si>
  <si>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</si>
  <si>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</si>
  <si>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</si>
  <si>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</si>
  <si>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</si>
  <si>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</si>
  <si>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</si>
  <si>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</si>
  <si>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</si>
  <si>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</si>
  <si>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</si>
  <si>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</si>
  <si>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</si>
  <si>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</si>
  <si>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</si>
  <si>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</si>
  <si>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</si>
  <si>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</si>
  <si>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</si>
  <si>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</si>
  <si>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</si>
  <si>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</si>
  <si>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</si>
  <si>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</si>
  <si>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</si>
  <si>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</si>
  <si>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</si>
  <si>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</si>
  <si>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</si>
  <si>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</si>
  <si>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</si>
  <si>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</si>
  <si>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</si>
  <si>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</si>
  <si>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</si>
  <si>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</si>
  <si>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</si>
  <si>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</si>
  <si>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</si>
  <si>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</si>
  <si>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</si>
  <si>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</si>
  <si>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</si>
  <si>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</si>
  <si>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</si>
  <si>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</si>
  <si>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</si>
  <si>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</si>
  <si>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</si>
  <si>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</si>
  <si>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</si>
  <si>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</si>
  <si>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</si>
  <si>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</si>
  <si>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</si>
  <si>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</si>
  <si>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</si>
  <si>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</si>
  <si>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</si>
  <si>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</si>
  <si>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</si>
  <si>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</si>
  <si>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</si>
  <si>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</si>
  <si>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</si>
  <si>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</si>
  <si>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</si>
  <si>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</si>
  <si>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</si>
  <si>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</si>
  <si>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</si>
  <si>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</si>
  <si>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</si>
  <si>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</si>
  <si>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</si>
  <si>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TX0074861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</si>
  <si>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</si>
  <si>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</si>
  <si>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</si>
  <si>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</si>
  <si>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</si>
  <si>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</si>
  <si>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</si>
  <si>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</si>
  <si>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</si>
  <si>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</si>
  <si>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</si>
  <si>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</si>
  <si>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</si>
  <si>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</si>
  <si>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</si>
  <si>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</si>
  <si>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</si>
  <si>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TX0075591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</si>
  <si>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</si>
  <si>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</si>
  <si>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</si>
  <si>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</si>
  <si>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</si>
  <si>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</si>
  <si>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</si>
  <si>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</si>
  <si>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</si>
  <si>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</si>
  <si>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</si>
  <si>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</si>
  <si>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</si>
  <si>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</si>
  <si>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</si>
  <si>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TX0075906</t>
  </si>
  <si>
    <t>TX0075931</t>
  </si>
  <si>
    <t>TX0075949</t>
  </si>
  <si>
    <t>TX0075957</t>
  </si>
  <si>
    <t>TX0075981</t>
  </si>
  <si>
    <t>TX0076015</t>
  </si>
  <si>
    <t>TX0076023</t>
  </si>
  <si>
    <t>TX0076082</t>
  </si>
  <si>
    <t>TX0076091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</si>
  <si>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</si>
  <si>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</si>
  <si>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</si>
  <si>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</si>
  <si>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</si>
  <si>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</si>
  <si>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</si>
  <si>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</si>
  <si>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</si>
  <si>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</si>
  <si>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</si>
  <si>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</si>
  <si>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</si>
  <si>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</si>
  <si>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</si>
  <si>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</si>
  <si>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</si>
  <si>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</si>
  <si>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</si>
  <si>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</si>
  <si>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</si>
  <si>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</si>
  <si>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</si>
  <si>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</si>
  <si>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</si>
  <si>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</si>
  <si>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</si>
  <si>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</si>
  <si>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</si>
  <si>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</si>
  <si>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</si>
  <si>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</si>
  <si>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</si>
  <si>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</si>
  <si>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</si>
  <si>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</si>
  <si>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TX0078263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</si>
  <si>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</si>
  <si>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</si>
  <si>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</si>
  <si>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</si>
  <si>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</si>
  <si>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</si>
  <si>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</si>
  <si>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</si>
  <si>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</si>
  <si>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</si>
  <si>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</si>
  <si>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TX0078891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</si>
  <si>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</si>
  <si>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</si>
  <si>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</si>
  <si>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</si>
  <si>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</si>
  <si>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</si>
  <si>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</si>
  <si>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</si>
  <si>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</si>
  <si>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</si>
  <si>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</si>
  <si>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</si>
  <si>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</si>
  <si>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</si>
  <si>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</si>
  <si>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</si>
  <si>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</si>
  <si>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</si>
  <si>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</si>
  <si>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</si>
  <si>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</si>
  <si>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</si>
  <si>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</si>
  <si>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</si>
  <si>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</si>
  <si>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TX0081337</t>
  </si>
  <si>
    <t>TX0082210</t>
  </si>
  <si>
    <t>TX0082261</t>
  </si>
  <si>
    <t>TX0082309</t>
  </si>
  <si>
    <t>TX0082317</t>
  </si>
  <si>
    <t>TX0082457</t>
  </si>
  <si>
    <t>TX0082589</t>
  </si>
  <si>
    <t>TX0082651</t>
  </si>
  <si>
    <t>TX0082791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</si>
  <si>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</si>
  <si>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</si>
  <si>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</si>
  <si>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</si>
  <si>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</si>
  <si>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</si>
  <si>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</si>
  <si>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TX0083101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</si>
  <si>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</si>
  <si>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</si>
  <si>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</si>
  <si>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</si>
  <si>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</si>
  <si>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</si>
  <si>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</si>
  <si>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TX0083445</t>
  </si>
  <si>
    <t>TX0083496</t>
  </si>
  <si>
    <t>TX0083500</t>
  </si>
  <si>
    <t>TX0083712</t>
  </si>
  <si>
    <t>TX0083801</t>
  </si>
  <si>
    <t>TX0083828</t>
  </si>
  <si>
    <t>TX0083836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</si>
  <si>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</si>
  <si>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</si>
  <si>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</si>
  <si>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</si>
  <si>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</si>
  <si>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</si>
  <si>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</si>
  <si>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</si>
  <si>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</si>
  <si>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</si>
  <si>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</si>
  <si>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</si>
  <si>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</si>
  <si>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</si>
  <si>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</si>
  <si>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</si>
  <si>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</si>
  <si>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</si>
  <si>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</si>
  <si>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</si>
  <si>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</si>
  <si>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TX0084719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</si>
  <si>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</si>
  <si>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</si>
  <si>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</si>
  <si>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</si>
  <si>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</si>
  <si>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</si>
  <si>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</si>
  <si>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</si>
  <si>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</si>
  <si>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</si>
  <si>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</si>
  <si>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</si>
  <si>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</si>
  <si>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</si>
  <si>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</si>
  <si>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</si>
  <si>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</si>
  <si>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</si>
  <si>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TX0085936</t>
  </si>
  <si>
    <t>TX0085961</t>
  </si>
  <si>
    <t>TX0085979</t>
  </si>
  <si>
    <t>TX0086002</t>
  </si>
  <si>
    <t>TX0086011</t>
  </si>
  <si>
    <t>TX0086045</t>
  </si>
  <si>
    <t>TX0086053</t>
  </si>
  <si>
    <t>TX0086096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</si>
  <si>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</si>
  <si>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</si>
  <si>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</si>
  <si>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</si>
  <si>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</si>
  <si>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</si>
  <si>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</si>
  <si>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</si>
  <si>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</si>
  <si>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</si>
  <si>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</si>
  <si>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</si>
  <si>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</si>
  <si>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</si>
  <si>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</si>
  <si>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</si>
  <si>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</si>
  <si>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</si>
  <si>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TX0087441</t>
  </si>
  <si>
    <t>TX0087475</t>
  </si>
  <si>
    <t>TX0087491</t>
  </si>
  <si>
    <t>TX0087599</t>
  </si>
  <si>
    <t>TX0087602</t>
  </si>
  <si>
    <t>TX0087661</t>
  </si>
  <si>
    <t>TX0087726</t>
  </si>
  <si>
    <t>TX0087751</t>
  </si>
  <si>
    <t>TX0087785</t>
  </si>
  <si>
    <t>TX0087793</t>
  </si>
  <si>
    <t>TX0087815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</si>
  <si>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</si>
  <si>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</si>
  <si>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</si>
  <si>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</si>
  <si>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</si>
  <si>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</si>
  <si>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</si>
  <si>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</si>
  <si>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</si>
  <si>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TX0088218</t>
  </si>
  <si>
    <t>TX0088331</t>
  </si>
  <si>
    <t>TX0088366</t>
  </si>
  <si>
    <t>TX0088447</t>
  </si>
  <si>
    <t>TX0088455</t>
  </si>
  <si>
    <t>TX0088501</t>
  </si>
  <si>
    <t>TX0088510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</si>
  <si>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</si>
  <si>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</si>
  <si>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</si>
  <si>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</si>
  <si>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</si>
  <si>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</si>
  <si>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</si>
  <si>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</si>
  <si>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</si>
  <si>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</si>
  <si>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</si>
  <si>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</si>
  <si>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</si>
  <si>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</si>
  <si>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</si>
  <si>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</si>
  <si>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</si>
  <si>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</si>
  <si>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</si>
  <si>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</si>
  <si>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</si>
  <si>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</si>
  <si>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</si>
  <si>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</si>
  <si>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</si>
  <si>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</si>
  <si>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TX0089630</t>
  </si>
  <si>
    <t>TX0089672</t>
  </si>
  <si>
    <t>TX0089753</t>
  </si>
  <si>
    <t>TX0089915</t>
  </si>
  <si>
    <t>TX0089940</t>
  </si>
  <si>
    <t>TX0090069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</si>
  <si>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</si>
  <si>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</si>
  <si>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</si>
  <si>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</si>
  <si>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</si>
  <si>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</si>
  <si>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</si>
  <si>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</si>
  <si>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</si>
  <si>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</si>
  <si>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</si>
  <si>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</si>
  <si>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</si>
  <si>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</si>
  <si>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</si>
  <si>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</si>
  <si>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</si>
  <si>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TX0091031</t>
  </si>
  <si>
    <t>TX0091120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</si>
  <si>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</si>
  <si>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</si>
  <si>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</si>
  <si>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</si>
  <si>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</si>
  <si>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</si>
  <si>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</si>
  <si>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</si>
  <si>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</si>
  <si>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</si>
  <si>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</si>
  <si>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</si>
  <si>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</si>
  <si>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</si>
  <si>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TX0091715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</si>
  <si>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</si>
  <si>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</si>
  <si>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</si>
  <si>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</si>
  <si>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</si>
  <si>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</si>
  <si>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</si>
  <si>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</si>
  <si>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</si>
  <si>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</si>
  <si>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</si>
  <si>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</si>
  <si>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TX0092223</t>
  </si>
  <si>
    <t>TX0092274</t>
  </si>
  <si>
    <t>TX0092282</t>
  </si>
  <si>
    <t>TX0092312</t>
  </si>
  <si>
    <t>TX0092363</t>
  </si>
  <si>
    <t>TX0092401</t>
  </si>
  <si>
    <t>TX0092461</t>
  </si>
  <si>
    <t>TX0092517</t>
  </si>
  <si>
    <t>TX0092541</t>
  </si>
  <si>
    <t>TX0092584</t>
  </si>
  <si>
    <t>TX0092606</t>
  </si>
  <si>
    <t>TX0092614</t>
  </si>
  <si>
    <t>TX0092649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</si>
  <si>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</si>
  <si>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</si>
  <si>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</si>
  <si>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</si>
  <si>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</si>
  <si>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</si>
  <si>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</si>
  <si>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</si>
  <si>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</si>
  <si>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</si>
  <si>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</si>
  <si>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</si>
  <si>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</si>
  <si>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</si>
  <si>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</si>
  <si>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TX0093343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</si>
  <si>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</si>
  <si>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</si>
  <si>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</si>
  <si>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</si>
  <si>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</si>
  <si>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</si>
  <si>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</si>
  <si>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</si>
  <si>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</si>
  <si>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</si>
  <si>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</si>
  <si>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</si>
  <si>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</si>
  <si>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</si>
  <si>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</si>
  <si>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</si>
  <si>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</si>
  <si>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</si>
  <si>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</si>
  <si>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</si>
  <si>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</si>
  <si>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</si>
  <si>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</si>
  <si>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</si>
  <si>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</si>
  <si>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</si>
  <si>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</si>
  <si>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</si>
  <si>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</si>
  <si>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</si>
  <si>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</si>
  <si>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</si>
  <si>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</si>
  <si>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</si>
  <si>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</si>
  <si>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</si>
  <si>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</si>
  <si>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</si>
  <si>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TX0095630</t>
  </si>
  <si>
    <t>TX0095656</t>
  </si>
  <si>
    <t>TX0095702</t>
  </si>
  <si>
    <t>TX0095761</t>
  </si>
  <si>
    <t>TX0095770</t>
  </si>
  <si>
    <t>TX0095842</t>
  </si>
  <si>
    <t>TX0095869</t>
  </si>
  <si>
    <t>TX0095923</t>
  </si>
  <si>
    <t>TX0096059</t>
  </si>
  <si>
    <t>TX0096172</t>
  </si>
  <si>
    <t>TX0096474</t>
  </si>
  <si>
    <t>TX0096679</t>
  </si>
  <si>
    <t>TX0096709</t>
  </si>
  <si>
    <t>TX0096768</t>
  </si>
  <si>
    <t>TX0096814</t>
  </si>
  <si>
    <t>TX0096881</t>
  </si>
  <si>
    <t>TX0096911</t>
  </si>
  <si>
    <t>TX0096920</t>
  </si>
  <si>
    <t>TX0097047</t>
  </si>
  <si>
    <t>TX0097055</t>
  </si>
  <si>
    <t>TX0097063</t>
  </si>
  <si>
    <t>TX0097071</t>
  </si>
  <si>
    <t>TX0097209</t>
  </si>
  <si>
    <t>TX0097225</t>
  </si>
  <si>
    <t>TX0097233</t>
  </si>
  <si>
    <t>TX0097292</t>
  </si>
  <si>
    <t>TX0097373</t>
  </si>
  <si>
    <t>TX0097527</t>
  </si>
  <si>
    <t>TX0097675</t>
  </si>
  <si>
    <t>TX0097691</t>
  </si>
  <si>
    <t>TX0097705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</si>
  <si>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</si>
  <si>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</si>
  <si>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</si>
  <si>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</si>
  <si>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</si>
  <si>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</si>
  <si>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</si>
  <si>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</si>
  <si>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</si>
  <si>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</si>
  <si>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</si>
  <si>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</si>
  <si>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</si>
  <si>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</si>
  <si>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</si>
  <si>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</si>
  <si>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TX0098795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</si>
  <si>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</si>
  <si>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</si>
  <si>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</si>
  <si>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</si>
  <si>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</si>
  <si>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</si>
  <si>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</si>
  <si>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</si>
  <si>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</si>
  <si>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</si>
  <si>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</si>
  <si>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TX0099511</t>
  </si>
  <si>
    <t>TX0099597</t>
  </si>
  <si>
    <t>TX0099732</t>
  </si>
  <si>
    <t>TX0099813</t>
  </si>
  <si>
    <t>TX0099856</t>
  </si>
  <si>
    <t>TX0099899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</si>
  <si>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</si>
  <si>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</si>
  <si>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</si>
  <si>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</si>
  <si>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</si>
  <si>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</si>
  <si>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</si>
  <si>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</si>
  <si>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</si>
  <si>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</si>
  <si>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</si>
  <si>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</si>
  <si>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</si>
  <si>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</si>
  <si>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</si>
  <si>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</si>
  <si>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</si>
  <si>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TX0101192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</si>
  <si>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</si>
  <si>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</si>
  <si>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</si>
  <si>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</si>
  <si>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</si>
  <si>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</si>
  <si>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</si>
  <si>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</si>
  <si>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</si>
  <si>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</si>
  <si>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</si>
  <si>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</si>
  <si>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</si>
  <si>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</si>
  <si>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</si>
  <si>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</si>
  <si>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</si>
  <si>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</si>
  <si>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</si>
  <si>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</si>
  <si>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</si>
  <si>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</si>
  <si>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</si>
  <si>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</si>
  <si>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</si>
  <si>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</si>
  <si>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</si>
  <si>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</si>
  <si>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</si>
  <si>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</si>
  <si>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</si>
  <si>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</si>
  <si>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</si>
  <si>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TX0102849</t>
  </si>
  <si>
    <t>TX0102857</t>
  </si>
  <si>
    <t>TX0102890</t>
  </si>
  <si>
    <t>TX0102920</t>
  </si>
  <si>
    <t>TX0102938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</si>
  <si>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</si>
  <si>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</si>
  <si>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</si>
  <si>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</si>
  <si>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</si>
  <si>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</si>
  <si>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</si>
  <si>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</si>
  <si>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</si>
  <si>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</si>
  <si>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</si>
  <si>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</si>
  <si>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</si>
  <si>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</si>
  <si>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</si>
  <si>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</si>
  <si>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</si>
  <si>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</si>
  <si>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</si>
  <si>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</si>
  <si>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</si>
  <si>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</si>
  <si>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TX0103811</t>
  </si>
  <si>
    <t>TX0103896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</si>
  <si>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</si>
  <si>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</si>
  <si>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</si>
  <si>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</si>
  <si>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</si>
  <si>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</si>
  <si>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</si>
  <si>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</si>
  <si>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TX0104345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</si>
  <si>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</si>
  <si>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</si>
  <si>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</si>
  <si>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</si>
  <si>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</si>
  <si>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</si>
  <si>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</si>
  <si>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</si>
  <si>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</si>
  <si>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</si>
  <si>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</si>
  <si>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</si>
  <si>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</si>
  <si>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</si>
  <si>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</si>
  <si>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</si>
  <si>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</si>
  <si>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</si>
  <si>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TX0105058</t>
  </si>
  <si>
    <t>TX0105066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</si>
  <si>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</si>
  <si>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</si>
  <si>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</si>
  <si>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</si>
  <si>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</si>
  <si>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</si>
  <si>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</si>
  <si>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TX0105261</t>
  </si>
  <si>
    <t>TX0105287</t>
  </si>
  <si>
    <t>TX0105376</t>
  </si>
  <si>
    <t>TX0105406</t>
  </si>
  <si>
    <t>TX0105481</t>
  </si>
  <si>
    <t>TX0105651</t>
  </si>
  <si>
    <t>TX0105872</t>
  </si>
  <si>
    <t>TX0105899</t>
  </si>
  <si>
    <t>TX0105902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</si>
  <si>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</si>
  <si>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</si>
  <si>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</si>
  <si>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</si>
  <si>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</si>
  <si>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</si>
  <si>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</si>
  <si>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</si>
  <si>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</si>
  <si>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</si>
  <si>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</si>
  <si>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</si>
  <si>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</si>
  <si>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TX0106488</t>
  </si>
  <si>
    <t>TX0106542</t>
  </si>
  <si>
    <t>TX0106551</t>
  </si>
  <si>
    <t>TX0106704</t>
  </si>
  <si>
    <t>TX0106721</t>
  </si>
  <si>
    <t>TX0106836</t>
  </si>
  <si>
    <t>TX0107107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</si>
  <si>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</si>
  <si>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</si>
  <si>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</si>
  <si>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</si>
  <si>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</si>
  <si>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</si>
  <si>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</si>
  <si>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</si>
  <si>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</si>
  <si>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</si>
  <si>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TX0108138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</si>
  <si>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</si>
  <si>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</si>
  <si>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</si>
  <si>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</si>
  <si>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</si>
  <si>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</si>
  <si>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</si>
  <si>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</si>
  <si>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</si>
  <si>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</si>
  <si>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</si>
  <si>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</si>
  <si>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TX0110124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</si>
  <si>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</si>
  <si>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</si>
  <si>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</si>
  <si>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</si>
  <si>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</si>
  <si>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</si>
  <si>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</si>
  <si>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</si>
  <si>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</si>
  <si>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</si>
  <si>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</si>
  <si>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</si>
  <si>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</si>
  <si>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</si>
  <si>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</si>
  <si>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</si>
  <si>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</si>
  <si>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</si>
  <si>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TX0112119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</si>
  <si>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</si>
  <si>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</si>
  <si>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</si>
  <si>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</si>
  <si>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</si>
  <si>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</si>
  <si>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</si>
  <si>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</si>
  <si>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</si>
  <si>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</si>
  <si>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TX0112861</t>
  </si>
  <si>
    <t>TX0113000</t>
  </si>
  <si>
    <t>TX0113026</t>
  </si>
  <si>
    <t>TX0113107</t>
  </si>
  <si>
    <t>TX0113115</t>
  </si>
  <si>
    <t>TX0113123</t>
  </si>
  <si>
    <t>TX0113131</t>
  </si>
  <si>
    <t>TX0113379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</si>
  <si>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</si>
  <si>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</si>
  <si>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</si>
  <si>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</si>
  <si>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</si>
  <si>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</si>
  <si>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</si>
  <si>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</si>
  <si>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</si>
  <si>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</si>
  <si>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</si>
  <si>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</si>
  <si>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TX0113972</t>
  </si>
  <si>
    <t>TX0113981</t>
  </si>
  <si>
    <t>TX0114006</t>
  </si>
  <si>
    <t>TX0114031</t>
  </si>
  <si>
    <t>TX0114413</t>
  </si>
  <si>
    <t>TX0114812</t>
  </si>
  <si>
    <t>TX0114821</t>
  </si>
  <si>
    <t>TX0114839</t>
  </si>
  <si>
    <t>TX0114847</t>
  </si>
  <si>
    <t>TX0114855</t>
  </si>
  <si>
    <t>TX0114880</t>
  </si>
  <si>
    <t>TX0114995</t>
  </si>
  <si>
    <t>TX0115002</t>
  </si>
  <si>
    <t>TX0115134</t>
  </si>
  <si>
    <t>TX0115142</t>
  </si>
  <si>
    <t>TX0115169</t>
  </si>
  <si>
    <t>TX0115177</t>
  </si>
  <si>
    <t>TX0115657</t>
  </si>
  <si>
    <t>TX0115797</t>
  </si>
  <si>
    <t>TX0115819</t>
  </si>
  <si>
    <t>TX0115827</t>
  </si>
  <si>
    <t>TX0115851</t>
  </si>
  <si>
    <t>TX0115894</t>
  </si>
  <si>
    <t>TX0115924</t>
  </si>
  <si>
    <t>TX0115983</t>
  </si>
  <si>
    <t>TX0115991</t>
  </si>
  <si>
    <t>TX0116009</t>
  </si>
  <si>
    <t>TX0116068</t>
  </si>
  <si>
    <t>TX0116076</t>
  </si>
  <si>
    <t>TX0116084</t>
  </si>
  <si>
    <t>TX0116114</t>
  </si>
  <si>
    <t>TX0116157</t>
  </si>
  <si>
    <t>TX0116173</t>
  </si>
  <si>
    <t>TX0116211</t>
  </si>
  <si>
    <t>TX0116262</t>
  </si>
  <si>
    <t>TX0116271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</si>
  <si>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</si>
  <si>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</si>
  <si>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</si>
  <si>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</si>
  <si>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</si>
  <si>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</si>
  <si>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</si>
  <si>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</si>
  <si>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</si>
  <si>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TX0116581</t>
  </si>
  <si>
    <t>TX0116637</t>
  </si>
  <si>
    <t>TX0116661</t>
  </si>
  <si>
    <t>TX0116742</t>
  </si>
  <si>
    <t>TX0116751</t>
  </si>
  <si>
    <t>TX0116785</t>
  </si>
  <si>
    <t>TX0116874</t>
  </si>
  <si>
    <t>TX0116882</t>
  </si>
  <si>
    <t>TX0116891</t>
  </si>
  <si>
    <t>TX0116904</t>
  </si>
  <si>
    <t>TX0116921</t>
  </si>
  <si>
    <t>TX0117005</t>
  </si>
  <si>
    <t>TX0117056</t>
  </si>
  <si>
    <t>TX0117064</t>
  </si>
  <si>
    <t>TX0117072</t>
  </si>
  <si>
    <t>TX0117129</t>
  </si>
  <si>
    <t>TX0117137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</si>
  <si>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</si>
  <si>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</si>
  <si>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</si>
  <si>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</si>
  <si>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</si>
  <si>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</si>
  <si>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</si>
  <si>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</si>
  <si>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</si>
  <si>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</si>
  <si>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</si>
  <si>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</si>
  <si>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</si>
  <si>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</si>
  <si>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</si>
  <si>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</si>
  <si>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</si>
  <si>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</si>
  <si>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</si>
  <si>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</si>
  <si>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</si>
  <si>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</si>
  <si>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</si>
  <si>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</si>
  <si>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</si>
  <si>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</si>
  <si>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</si>
  <si>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TX0117668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</si>
  <si>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</si>
  <si>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</si>
  <si>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</si>
  <si>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</si>
  <si>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</si>
  <si>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</si>
  <si>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</si>
  <si>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TX0117811</t>
  </si>
  <si>
    <t>TX0117820</t>
  </si>
  <si>
    <t>TX0117846</t>
  </si>
  <si>
    <t>TX0117854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</si>
  <si>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</si>
  <si>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</si>
  <si>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</si>
  <si>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</si>
  <si>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</si>
  <si>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</si>
  <si>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</si>
  <si>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</si>
  <si>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</si>
  <si>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</si>
  <si>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</si>
  <si>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</si>
  <si>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TX0118087</t>
  </si>
  <si>
    <t>TX0118095</t>
  </si>
  <si>
    <t>TX0118109</t>
  </si>
  <si>
    <t>TX0118125</t>
  </si>
  <si>
    <t>TX0118206</t>
  </si>
  <si>
    <t>TX0118214</t>
  </si>
  <si>
    <t>TX0118222</t>
  </si>
  <si>
    <t>TX0118231</t>
  </si>
  <si>
    <t>TX0118265</t>
  </si>
  <si>
    <t>TX0118273</t>
  </si>
  <si>
    <t>TX0118281</t>
  </si>
  <si>
    <t>TX0118311</t>
  </si>
  <si>
    <t>TX0118320</t>
  </si>
  <si>
    <t>TX0118346</t>
  </si>
  <si>
    <t>TX0118354</t>
  </si>
  <si>
    <t>TX0118362</t>
  </si>
  <si>
    <t>TX0118371</t>
  </si>
  <si>
    <t>TX0118389</t>
  </si>
  <si>
    <t>TX0118397</t>
  </si>
  <si>
    <t>TX0118427</t>
  </si>
  <si>
    <t>TX0118443</t>
  </si>
  <si>
    <t>TX0118451</t>
  </si>
  <si>
    <t>TX0118460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</si>
  <si>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</si>
  <si>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</si>
  <si>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</si>
  <si>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</si>
  <si>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</si>
  <si>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</si>
  <si>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</si>
  <si>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</si>
  <si>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</si>
  <si>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</si>
  <si>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</si>
  <si>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</si>
  <si>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</si>
  <si>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</si>
  <si>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</si>
  <si>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</si>
  <si>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</si>
  <si>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TX0118940</t>
  </si>
  <si>
    <t>TX0118966</t>
  </si>
  <si>
    <t>TX0118982</t>
  </si>
  <si>
    <t>TX0118991</t>
  </si>
  <si>
    <t>TX0119008</t>
  </si>
  <si>
    <t>TX0119016</t>
  </si>
  <si>
    <t>TX0119024</t>
  </si>
  <si>
    <t>TX0119041</t>
  </si>
  <si>
    <t>TX0119067</t>
  </si>
  <si>
    <t>TX0119075</t>
  </si>
  <si>
    <t>TX0119083</t>
  </si>
  <si>
    <t>TX0119105</t>
  </si>
  <si>
    <t>TX0119113</t>
  </si>
  <si>
    <t>TX0119121</t>
  </si>
  <si>
    <t>TX0119172</t>
  </si>
  <si>
    <t>TX0119181</t>
  </si>
  <si>
    <t>TX0119199</t>
  </si>
  <si>
    <t>TX0119202</t>
  </si>
  <si>
    <t>TX0119211</t>
  </si>
  <si>
    <t>TX0119229</t>
  </si>
  <si>
    <t>TX0119245</t>
  </si>
  <si>
    <t>TX0119261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</si>
  <si>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</si>
  <si>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</si>
  <si>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</si>
  <si>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</si>
  <si>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</si>
  <si>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</si>
  <si>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</si>
  <si>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</si>
  <si>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</si>
  <si>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</si>
  <si>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</si>
  <si>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</si>
  <si>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</si>
  <si>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</si>
  <si>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</si>
  <si>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</si>
  <si>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</si>
  <si>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</si>
  <si>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TX0119580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</si>
  <si>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</si>
  <si>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</si>
  <si>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</si>
  <si>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</si>
  <si>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</si>
  <si>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</si>
  <si>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</si>
  <si>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TX0119725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</si>
  <si>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</si>
  <si>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</si>
  <si>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</si>
  <si>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</si>
  <si>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</si>
  <si>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</si>
  <si>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</si>
  <si>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</si>
  <si>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</si>
  <si>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</si>
  <si>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</si>
  <si>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</si>
  <si>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</si>
  <si>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</si>
  <si>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TX0120111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</si>
  <si>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</si>
  <si>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</si>
  <si>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</si>
  <si>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</si>
  <si>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</si>
  <si>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</si>
  <si>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</si>
  <si>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</si>
  <si>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TX0122157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</si>
  <si>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</si>
  <si>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</si>
  <si>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</si>
  <si>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</si>
  <si>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</si>
  <si>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</si>
  <si>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</si>
  <si>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</si>
  <si>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</si>
  <si>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</si>
  <si>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</si>
  <si>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</si>
  <si>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</si>
  <si>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</si>
  <si>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</si>
  <si>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</si>
  <si>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</si>
  <si>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TX0122556</t>
  </si>
  <si>
    <t>TX0122564</t>
  </si>
  <si>
    <t>TX0122572</t>
  </si>
  <si>
    <t>TX0122661</t>
  </si>
  <si>
    <t>TX0122823</t>
  </si>
  <si>
    <t>TX0122840</t>
  </si>
  <si>
    <t>TX0122963</t>
  </si>
  <si>
    <t>TX0122980</t>
  </si>
  <si>
    <t>TX0123013</t>
  </si>
  <si>
    <t>TX0123056</t>
  </si>
  <si>
    <t>TX0123137</t>
  </si>
  <si>
    <t>TX0123145</t>
  </si>
  <si>
    <t>TX0123200</t>
  </si>
  <si>
    <t>TX0123293</t>
  </si>
  <si>
    <t>TX0123307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</si>
  <si>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</si>
  <si>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</si>
  <si>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</si>
  <si>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</si>
  <si>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</si>
  <si>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</si>
  <si>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</si>
  <si>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</si>
  <si>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TX0123561</t>
  </si>
  <si>
    <t>TX0123579</t>
  </si>
  <si>
    <t>TX0123587</t>
  </si>
  <si>
    <t>TX0123595</t>
  </si>
  <si>
    <t>TX0123633</t>
  </si>
  <si>
    <t>TX0123676</t>
  </si>
  <si>
    <t>TX0123714</t>
  </si>
  <si>
    <t>TX0123722</t>
  </si>
  <si>
    <t>TX0123749</t>
  </si>
  <si>
    <t>TX0123781</t>
  </si>
  <si>
    <t>TX0123820</t>
  </si>
  <si>
    <t>TX0123854</t>
  </si>
  <si>
    <t>TX0123862</t>
  </si>
  <si>
    <t>TX0123871</t>
  </si>
  <si>
    <t>TX0123901</t>
  </si>
  <si>
    <t>TX0123935</t>
  </si>
  <si>
    <t>TX0123978</t>
  </si>
  <si>
    <t>TX0123994</t>
  </si>
  <si>
    <t>TX0124001</t>
  </si>
  <si>
    <t>TX0124079</t>
  </si>
  <si>
    <t>TX0124087</t>
  </si>
  <si>
    <t>TX0124125</t>
  </si>
  <si>
    <t>TX0124141</t>
  </si>
  <si>
    <t>TX0124150</t>
  </si>
  <si>
    <t>TX0124168</t>
  </si>
  <si>
    <t>TX0124249</t>
  </si>
  <si>
    <t>TX0124257</t>
  </si>
  <si>
    <t>TX0124265</t>
  </si>
  <si>
    <t>TX0124281</t>
  </si>
  <si>
    <t>TX0124303</t>
  </si>
  <si>
    <t>TX0124311</t>
  </si>
  <si>
    <t>TX0124362</t>
  </si>
  <si>
    <t>TX0124371</t>
  </si>
  <si>
    <t>TX0124389</t>
  </si>
  <si>
    <t>TX0124401</t>
  </si>
  <si>
    <t>TX0124419</t>
  </si>
  <si>
    <t>TX0124427</t>
  </si>
  <si>
    <t>TX0124451</t>
  </si>
  <si>
    <t>TX0124478</t>
  </si>
  <si>
    <t>TX0124486</t>
  </si>
  <si>
    <t>TX0124494</t>
  </si>
  <si>
    <t>TX0124516</t>
  </si>
  <si>
    <t>TX0124541</t>
  </si>
  <si>
    <t>TX0124575</t>
  </si>
  <si>
    <t>TX0124583</t>
  </si>
  <si>
    <t>TX0124605</t>
  </si>
  <si>
    <t>TX0124664</t>
  </si>
  <si>
    <t>TX0124681</t>
  </si>
  <si>
    <t>TX0124699</t>
  </si>
  <si>
    <t>TX0124702</t>
  </si>
  <si>
    <t>TX0124737</t>
  </si>
  <si>
    <t>TX0124745</t>
  </si>
  <si>
    <t>TX0124761</t>
  </si>
  <si>
    <t>TX0124770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</si>
  <si>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</si>
  <si>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</si>
  <si>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</si>
  <si>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</si>
  <si>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</si>
  <si>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</si>
  <si>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</si>
  <si>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TX0124915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</si>
  <si>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</si>
  <si>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</si>
  <si>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</si>
  <si>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</si>
  <si>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</si>
  <si>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</si>
  <si>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</si>
  <si>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TX0125121</t>
  </si>
  <si>
    <t>TX0125156</t>
  </si>
  <si>
    <t>TX0125164</t>
  </si>
  <si>
    <t>TX0125172</t>
  </si>
  <si>
    <t>TX0125199</t>
  </si>
  <si>
    <t>TX0125237</t>
  </si>
  <si>
    <t>TX0125270</t>
  </si>
  <si>
    <t>TX0125288</t>
  </si>
  <si>
    <t>TX0125300</t>
  </si>
  <si>
    <t>TX0125326</t>
  </si>
  <si>
    <t>TX0125334</t>
  </si>
  <si>
    <t>TX0125342</t>
  </si>
  <si>
    <t>TX0125369</t>
  </si>
  <si>
    <t>TX0125377</t>
  </si>
  <si>
    <t>TX0125385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</si>
  <si>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</si>
  <si>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</si>
  <si>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</si>
  <si>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</si>
  <si>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</si>
  <si>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</si>
  <si>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</si>
  <si>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TX0125601</t>
  </si>
  <si>
    <t>TX0125610</t>
  </si>
  <si>
    <t>TX0125628</t>
  </si>
  <si>
    <t>TX0125644</t>
  </si>
  <si>
    <t>TX0125661</t>
  </si>
  <si>
    <t>TX0125679</t>
  </si>
  <si>
    <t>TX0125687</t>
  </si>
  <si>
    <t>TX0125709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</si>
  <si>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</si>
  <si>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</si>
  <si>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</si>
  <si>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</si>
  <si>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</si>
  <si>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</si>
  <si>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</si>
  <si>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</si>
  <si>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</si>
  <si>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</si>
  <si>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</si>
  <si>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</si>
  <si>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</si>
  <si>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TX0126055</t>
  </si>
  <si>
    <t>TX0126080</t>
  </si>
  <si>
    <t>TX0126098</t>
  </si>
  <si>
    <t>TX0126101</t>
  </si>
  <si>
    <t>TX0126110</t>
  </si>
  <si>
    <t>TX0126128</t>
  </si>
  <si>
    <t>TX0126136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</si>
  <si>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</si>
  <si>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</si>
  <si>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</si>
  <si>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</si>
  <si>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</si>
  <si>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</si>
  <si>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</si>
  <si>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TX0126233</t>
  </si>
  <si>
    <t>TX0126241</t>
  </si>
  <si>
    <t>TX0126250</t>
  </si>
  <si>
    <t>TX0126268</t>
  </si>
  <si>
    <t>TX0126284</t>
  </si>
  <si>
    <t>TX0126292</t>
  </si>
  <si>
    <t>TX0126306</t>
  </si>
  <si>
    <t>TX0126322</t>
  </si>
  <si>
    <t>TX0126349</t>
  </si>
  <si>
    <t>TX0126365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</si>
  <si>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</si>
  <si>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</si>
  <si>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</si>
  <si>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</si>
  <si>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</si>
  <si>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</si>
  <si>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</si>
  <si>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TX0126594</t>
  </si>
  <si>
    <t>TX0126616</t>
  </si>
  <si>
    <t>TX0126624</t>
  </si>
  <si>
    <t>TX0126641</t>
  </si>
  <si>
    <t>TX0126667</t>
  </si>
  <si>
    <t>TX0126675</t>
  </si>
  <si>
    <t>TX0126691</t>
  </si>
  <si>
    <t>TX0126705</t>
  </si>
  <si>
    <t>TX0126713</t>
  </si>
  <si>
    <t>TX0126730</t>
  </si>
  <si>
    <t>TX0126748</t>
  </si>
  <si>
    <t>TX0126756</t>
  </si>
  <si>
    <t>TX0126764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</si>
  <si>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</si>
  <si>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</si>
  <si>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</si>
  <si>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</si>
  <si>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</si>
  <si>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</si>
  <si>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</si>
  <si>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</si>
  <si>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</si>
  <si>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</si>
  <si>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</si>
  <si>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</si>
  <si>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TX0127051</t>
  </si>
  <si>
    <t>TX0127086</t>
  </si>
  <si>
    <t>TX0127124</t>
  </si>
  <si>
    <t>TX0127132</t>
  </si>
  <si>
    <t>TX0127141</t>
  </si>
  <si>
    <t>TX0127175</t>
  </si>
  <si>
    <t>TX0127183</t>
  </si>
  <si>
    <t>TX0127205</t>
  </si>
  <si>
    <t>TX0127230</t>
  </si>
  <si>
    <t>TX0127248</t>
  </si>
  <si>
    <t>TX0127256</t>
  </si>
  <si>
    <t>TX0127264</t>
  </si>
  <si>
    <t>TX0127272</t>
  </si>
  <si>
    <t>TX0127299</t>
  </si>
  <si>
    <t>TX0127311</t>
  </si>
  <si>
    <t>TX0127337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</si>
  <si>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</si>
  <si>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</si>
  <si>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</si>
  <si>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</si>
  <si>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</si>
  <si>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</si>
  <si>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</si>
  <si>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TX0127663</t>
  </si>
  <si>
    <t>TX0127698</t>
  </si>
  <si>
    <t>TX0127710</t>
  </si>
  <si>
    <t>TX0127728</t>
  </si>
  <si>
    <t>TX0127752</t>
  </si>
  <si>
    <t>TX0127779</t>
  </si>
  <si>
    <t>TX0127787</t>
  </si>
  <si>
    <t>TX0127795</t>
  </si>
  <si>
    <t>TX0127809</t>
  </si>
  <si>
    <t>TX0127817</t>
  </si>
  <si>
    <t>TX0127833</t>
  </si>
  <si>
    <t>TX0127850</t>
  </si>
  <si>
    <t>TX0127868</t>
  </si>
  <si>
    <t>TX0127876</t>
  </si>
  <si>
    <t>TX0127884</t>
  </si>
  <si>
    <t>TX0127892</t>
  </si>
  <si>
    <t>TX0127922</t>
  </si>
  <si>
    <t>TX0127931</t>
  </si>
  <si>
    <t>TX0127949</t>
  </si>
  <si>
    <t>TX0127957</t>
  </si>
  <si>
    <t>TX0127965</t>
  </si>
  <si>
    <t>TX0127973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</si>
  <si>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</si>
  <si>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</si>
  <si>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</si>
  <si>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</si>
  <si>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</si>
  <si>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</si>
  <si>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</si>
  <si>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</si>
  <si>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</si>
  <si>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TX0128171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</si>
  <si>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</si>
  <si>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</si>
  <si>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</si>
  <si>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</si>
  <si>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</si>
  <si>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</si>
  <si>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</si>
  <si>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</si>
  <si>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</si>
  <si>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</si>
  <si>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</si>
  <si>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</si>
  <si>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</si>
  <si>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</si>
  <si>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</si>
  <si>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</si>
  <si>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</si>
  <si>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</si>
  <si>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TX0128465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</si>
  <si>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</si>
  <si>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</si>
  <si>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</si>
  <si>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</si>
  <si>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</si>
  <si>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</si>
  <si>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</si>
  <si>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</si>
  <si>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</si>
  <si>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TX0128678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</si>
  <si>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</si>
  <si>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</si>
  <si>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</si>
  <si>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</si>
  <si>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</si>
  <si>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</si>
  <si>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</si>
  <si>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</si>
  <si>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TX0128830</t>
  </si>
  <si>
    <t>TX0128856</t>
  </si>
  <si>
    <t>TX0128864</t>
  </si>
  <si>
    <t>TX0128945</t>
  </si>
  <si>
    <t>TX0128970</t>
  </si>
  <si>
    <t>TX0128988</t>
  </si>
  <si>
    <t>TX0128996</t>
  </si>
  <si>
    <t>TX0129011</t>
  </si>
  <si>
    <t>TX0129038</t>
  </si>
  <si>
    <t>TX0129062</t>
  </si>
  <si>
    <t>TX0129071</t>
  </si>
  <si>
    <t>TX0129089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</si>
  <si>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</si>
  <si>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</si>
  <si>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</si>
  <si>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</si>
  <si>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</si>
  <si>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</si>
  <si>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</si>
  <si>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</si>
  <si>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</si>
  <si>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TX0129267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</si>
  <si>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</si>
  <si>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</si>
  <si>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</si>
  <si>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</si>
  <si>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</si>
  <si>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</si>
  <si>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</si>
  <si>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TX0129399</t>
  </si>
  <si>
    <t>TX0129402</t>
  </si>
  <si>
    <t>TX0129411</t>
  </si>
  <si>
    <t>TX0129429</t>
  </si>
  <si>
    <t>TX0129437</t>
  </si>
  <si>
    <t>TX0129453</t>
  </si>
  <si>
    <t>TX0129470</t>
  </si>
  <si>
    <t>TX0129488</t>
  </si>
  <si>
    <t>TX0129518</t>
  </si>
  <si>
    <t>TX0129526</t>
  </si>
  <si>
    <t>TX0129534</t>
  </si>
  <si>
    <t>TX0129542</t>
  </si>
  <si>
    <t>TX0129577</t>
  </si>
  <si>
    <t>TX0129585</t>
  </si>
  <si>
    <t>TX0129607</t>
  </si>
  <si>
    <t>TX0129623</t>
  </si>
  <si>
    <t>TX0129631</t>
  </si>
  <si>
    <t>TX0129640</t>
  </si>
  <si>
    <t>TX0129666</t>
  </si>
  <si>
    <t>TX0129674</t>
  </si>
  <si>
    <t>TX0129682</t>
  </si>
  <si>
    <t>TX0129691</t>
  </si>
  <si>
    <t>TX0129704</t>
  </si>
  <si>
    <t>TX0129747</t>
  </si>
  <si>
    <t>TX0129771</t>
  </si>
  <si>
    <t>TX0129780</t>
  </si>
  <si>
    <t>TX0129810</t>
  </si>
  <si>
    <t>TX0129844</t>
  </si>
  <si>
    <t>TX0129861</t>
  </si>
  <si>
    <t>TX0129879</t>
  </si>
  <si>
    <t>TX0129887</t>
  </si>
  <si>
    <t>TX0129895</t>
  </si>
  <si>
    <t>TX0129909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</si>
  <si>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</si>
  <si>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</si>
  <si>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</si>
  <si>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</si>
  <si>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</si>
  <si>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</si>
  <si>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</si>
  <si>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</si>
  <si>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TX0130044</t>
  </si>
  <si>
    <t>TX0130052</t>
  </si>
  <si>
    <t>TX0130095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</si>
  <si>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</si>
  <si>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</si>
  <si>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</si>
  <si>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</si>
  <si>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</si>
  <si>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</si>
  <si>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</si>
  <si>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</si>
  <si>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</si>
  <si>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</si>
  <si>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</si>
  <si>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</si>
  <si>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TX0131644</t>
  </si>
  <si>
    <t>TX0131741</t>
  </si>
  <si>
    <t>TX0131750</t>
  </si>
  <si>
    <t>TX0131768</t>
  </si>
  <si>
    <t>TX0131776</t>
  </si>
  <si>
    <t>TX0131792</t>
  </si>
  <si>
    <t>TX0131806</t>
  </si>
  <si>
    <t>TX0131831</t>
  </si>
  <si>
    <t>TX0131849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</si>
  <si>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</si>
  <si>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</si>
  <si>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</si>
  <si>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</si>
  <si>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</si>
  <si>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</si>
  <si>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</si>
  <si>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</si>
  <si>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TX0132063</t>
  </si>
  <si>
    <t>TX0132071</t>
  </si>
  <si>
    <t>TX0132080</t>
  </si>
  <si>
    <t>TX0132101</t>
  </si>
  <si>
    <t>TX0132128</t>
  </si>
  <si>
    <t>TX0132152</t>
  </si>
  <si>
    <t>TX0132161</t>
  </si>
  <si>
    <t>TX0132179</t>
  </si>
  <si>
    <t>TX0132195</t>
  </si>
  <si>
    <t>TX0132217</t>
  </si>
  <si>
    <t>TX0132225</t>
  </si>
  <si>
    <t>TX0132233</t>
  </si>
  <si>
    <t>TX0132241</t>
  </si>
  <si>
    <t>TX0132276</t>
  </si>
  <si>
    <t>TX0132365</t>
  </si>
  <si>
    <t>TX0132411</t>
  </si>
  <si>
    <t>TX0132438</t>
  </si>
  <si>
    <t>TX0132446</t>
  </si>
  <si>
    <t>TX0132454</t>
  </si>
  <si>
    <t>TX0132471</t>
  </si>
  <si>
    <t>TX0132497</t>
  </si>
  <si>
    <t>TX0132519</t>
  </si>
  <si>
    <t>TX0132543</t>
  </si>
  <si>
    <t>TX0132560</t>
  </si>
  <si>
    <t>TX0132594</t>
  </si>
  <si>
    <t>TX0132608</t>
  </si>
  <si>
    <t>TX0132624</t>
  </si>
  <si>
    <t>TX0132632</t>
  </si>
  <si>
    <t>TX0132659</t>
  </si>
  <si>
    <t>TX0132675</t>
  </si>
  <si>
    <t>TX0132683</t>
  </si>
  <si>
    <t>TX0132691</t>
  </si>
  <si>
    <t>TX0132705</t>
  </si>
  <si>
    <t>TX0132713</t>
  </si>
  <si>
    <t>TX0132721</t>
  </si>
  <si>
    <t>TX0132730</t>
  </si>
  <si>
    <t>TX0132748</t>
  </si>
  <si>
    <t>TX0132756</t>
  </si>
  <si>
    <t>TX0132764</t>
  </si>
  <si>
    <t>TX0132772</t>
  </si>
  <si>
    <t>TX0132799</t>
  </si>
  <si>
    <t>TX0132802</t>
  </si>
  <si>
    <t>TX0132829</t>
  </si>
  <si>
    <t>TX0132837</t>
  </si>
  <si>
    <t>TX0132845</t>
  </si>
  <si>
    <t>TX0132861</t>
  </si>
  <si>
    <t>TX0132896</t>
  </si>
  <si>
    <t>TX0132900</t>
  </si>
  <si>
    <t>TX0132918</t>
  </si>
  <si>
    <t>TX0132926</t>
  </si>
  <si>
    <t>TX0132934</t>
  </si>
  <si>
    <t>TX0132942</t>
  </si>
  <si>
    <t>TX0132969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</si>
  <si>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</si>
  <si>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</si>
  <si>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</si>
  <si>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</si>
  <si>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</si>
  <si>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</si>
  <si>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</si>
  <si>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TX0133086</t>
  </si>
  <si>
    <t>TX0133094</t>
  </si>
  <si>
    <t>TX0133116</t>
  </si>
  <si>
    <t>TX0133124</t>
  </si>
  <si>
    <t>TX0133132</t>
  </si>
  <si>
    <t>TX0133141</t>
  </si>
  <si>
    <t>TX0133159</t>
  </si>
  <si>
    <t>TX0133167</t>
  </si>
  <si>
    <t>TX0133175</t>
  </si>
  <si>
    <t>TX0133183</t>
  </si>
  <si>
    <t>TX0133205</t>
  </si>
  <si>
    <t>TX0133213</t>
  </si>
  <si>
    <t>TX0133230</t>
  </si>
  <si>
    <t>TX0133248</t>
  </si>
  <si>
    <t>TX0133264</t>
  </si>
  <si>
    <t>TX0133281</t>
  </si>
  <si>
    <t>TX0133302</t>
  </si>
  <si>
    <t>TX0133311</t>
  </si>
  <si>
    <t>TX0133329</t>
  </si>
  <si>
    <t>TX0133337</t>
  </si>
  <si>
    <t>TX0133353</t>
  </si>
  <si>
    <t>TX0133361</t>
  </si>
  <si>
    <t>TX0133370</t>
  </si>
  <si>
    <t>TX0133388</t>
  </si>
  <si>
    <t>TX0133396</t>
  </si>
  <si>
    <t>TX0133418</t>
  </si>
  <si>
    <t>TX0133434</t>
  </si>
  <si>
    <t>TX0133442</t>
  </si>
  <si>
    <t>TX0133451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</si>
  <si>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</si>
  <si>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</si>
  <si>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</si>
  <si>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</si>
  <si>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</si>
  <si>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</si>
  <si>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</si>
  <si>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</si>
  <si>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TX0133604</t>
  </si>
  <si>
    <t>TX0133612</t>
  </si>
  <si>
    <t>TX0133621</t>
  </si>
  <si>
    <t>TX0133647</t>
  </si>
  <si>
    <t>TX0133655</t>
  </si>
  <si>
    <t>TX0133663</t>
  </si>
  <si>
    <t>TX0133671</t>
  </si>
  <si>
    <t>TX0133680</t>
  </si>
  <si>
    <t>TX0133698</t>
  </si>
  <si>
    <t>TX0133701</t>
  </si>
  <si>
    <t>TX0133710</t>
  </si>
  <si>
    <t>TX0133728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</si>
  <si>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</si>
  <si>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</si>
  <si>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</si>
  <si>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</si>
  <si>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</si>
  <si>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</si>
  <si>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</si>
  <si>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</si>
  <si>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</si>
  <si>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TX0133841</t>
  </si>
  <si>
    <t>TX0133884</t>
  </si>
  <si>
    <t>TX0133892</t>
  </si>
  <si>
    <t>TX0133906</t>
  </si>
  <si>
    <t>TX0133914</t>
  </si>
  <si>
    <t>TX0133922</t>
  </si>
  <si>
    <t>TX0133949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</si>
  <si>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</si>
  <si>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</si>
  <si>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</si>
  <si>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</si>
  <si>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</si>
  <si>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</si>
  <si>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</si>
  <si>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TX0134333</t>
  </si>
  <si>
    <t>TX0134368</t>
  </si>
  <si>
    <t>TX0134376</t>
  </si>
  <si>
    <t>TX0134384</t>
  </si>
  <si>
    <t>TX0134414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</si>
  <si>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</si>
  <si>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</si>
  <si>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</si>
  <si>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</si>
  <si>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</si>
  <si>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</si>
  <si>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</si>
  <si>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TX0134538</t>
  </si>
  <si>
    <t>TX0134546</t>
  </si>
  <si>
    <t>TX0134562</t>
  </si>
  <si>
    <t>TX0134571</t>
  </si>
  <si>
    <t>TX0134601</t>
  </si>
  <si>
    <t>TX0134619</t>
  </si>
  <si>
    <t>TX0134627</t>
  </si>
  <si>
    <t>TX0134635</t>
  </si>
  <si>
    <t>TX0134643</t>
  </si>
  <si>
    <t>TX0134651</t>
  </si>
  <si>
    <t>TX0134686</t>
  </si>
  <si>
    <t>TX0134694</t>
  </si>
  <si>
    <t>TX0134708</t>
  </si>
  <si>
    <t>TX0134716</t>
  </si>
  <si>
    <t>TX0134732</t>
  </si>
  <si>
    <t>TX0134741</t>
  </si>
  <si>
    <t>TX0134759</t>
  </si>
  <si>
    <t>TX0134775</t>
  </si>
  <si>
    <t>TX0134783</t>
  </si>
  <si>
    <t>TX0134791</t>
  </si>
  <si>
    <t>TX0134813</t>
  </si>
  <si>
    <t>TX0134856</t>
  </si>
  <si>
    <t>TX0134864</t>
  </si>
  <si>
    <t>TX0134872</t>
  </si>
  <si>
    <t>TX0134899</t>
  </si>
  <si>
    <t>TX0134902</t>
  </si>
  <si>
    <t>TX0134911</t>
  </si>
  <si>
    <t>TX0134929</t>
  </si>
  <si>
    <t>TX0134937</t>
  </si>
  <si>
    <t>TX0134945</t>
  </si>
  <si>
    <t>TX0134953</t>
  </si>
  <si>
    <t>TX0134996</t>
  </si>
  <si>
    <t>TX0135020</t>
  </si>
  <si>
    <t>TX0135038</t>
  </si>
  <si>
    <t>TX0135046</t>
  </si>
  <si>
    <t>TX0135054</t>
  </si>
  <si>
    <t>TX0135062</t>
  </si>
  <si>
    <t>TX0135071</t>
  </si>
  <si>
    <t>TX0135089</t>
  </si>
  <si>
    <t>TX0135101</t>
  </si>
  <si>
    <t>TX0135119</t>
  </si>
  <si>
    <t>TX0135127</t>
  </si>
  <si>
    <t>TX0135135</t>
  </si>
  <si>
    <t>TX0135143</t>
  </si>
  <si>
    <t>TX0135151</t>
  </si>
  <si>
    <t>TX0135160</t>
  </si>
  <si>
    <t>TX0135186</t>
  </si>
  <si>
    <t>TX0135194</t>
  </si>
  <si>
    <t>TX0135208</t>
  </si>
  <si>
    <t>TX0135232</t>
  </si>
  <si>
    <t>TX0135241</t>
  </si>
  <si>
    <t>TX0135259</t>
  </si>
  <si>
    <t>TX0135267</t>
  </si>
  <si>
    <t>TX0135283</t>
  </si>
  <si>
    <t>TX0135305</t>
  </si>
  <si>
    <t>TX0135321</t>
  </si>
  <si>
    <t>TX0135330</t>
  </si>
  <si>
    <t>TX0135348</t>
  </si>
  <si>
    <t>TX0135356</t>
  </si>
  <si>
    <t>TX0135364</t>
  </si>
  <si>
    <t>TX0135373</t>
  </si>
  <si>
    <t>TX0135411</t>
  </si>
  <si>
    <t>TX0135429</t>
  </si>
  <si>
    <t>TX0135445</t>
  </si>
  <si>
    <t>TX0135453</t>
  </si>
  <si>
    <t>TX0135461</t>
  </si>
  <si>
    <t>TX0135470</t>
  </si>
  <si>
    <t>TX0135488</t>
  </si>
  <si>
    <t>TX0135496</t>
  </si>
  <si>
    <t>TX0135500</t>
  </si>
  <si>
    <t>TX0135526</t>
  </si>
  <si>
    <t>TX0135551</t>
  </si>
  <si>
    <t>TX0135569</t>
  </si>
  <si>
    <t>TX0135577</t>
  </si>
  <si>
    <t>TX0135585</t>
  </si>
  <si>
    <t>TX0135593</t>
  </si>
  <si>
    <t>TX0135607</t>
  </si>
  <si>
    <t>TX0135615</t>
  </si>
  <si>
    <t>TX0135631</t>
  </si>
  <si>
    <t>TX0135640</t>
  </si>
  <si>
    <t>TX0135658</t>
  </si>
  <si>
    <t>TX0135666</t>
  </si>
  <si>
    <t>TX0135682</t>
  </si>
  <si>
    <t>TX0135691</t>
  </si>
  <si>
    <t>TX0135704</t>
  </si>
  <si>
    <t>TX0135712</t>
  </si>
  <si>
    <t>TX0135721</t>
  </si>
  <si>
    <t>TX0135747</t>
  </si>
  <si>
    <t>TX0135755</t>
  </si>
  <si>
    <t>TX0135763</t>
  </si>
  <si>
    <t>TX0135771</t>
  </si>
  <si>
    <t>TX0135780</t>
  </si>
  <si>
    <t>TX0135810</t>
  </si>
  <si>
    <t>TX0135828</t>
  </si>
  <si>
    <t>TX0135836</t>
  </si>
  <si>
    <t>TX0135844</t>
  </si>
  <si>
    <t>TX0135852</t>
  </si>
  <si>
    <t>TX0135861</t>
  </si>
  <si>
    <t>TX0135879</t>
  </si>
  <si>
    <t>TX0135887</t>
  </si>
  <si>
    <t>TX0135895</t>
  </si>
  <si>
    <t>TX0135909</t>
  </si>
  <si>
    <t>TX0135917</t>
  </si>
  <si>
    <t>TX0135925</t>
  </si>
  <si>
    <t>TX0135941</t>
  </si>
  <si>
    <t>TX0135950</t>
  </si>
  <si>
    <t>TX0135968</t>
  </si>
  <si>
    <t>TX0135976</t>
  </si>
  <si>
    <t>TX0135984</t>
  </si>
  <si>
    <t>TX0135992</t>
  </si>
  <si>
    <t>TX0136000</t>
  </si>
  <si>
    <t>TX0136018</t>
  </si>
  <si>
    <t>TX0136034</t>
  </si>
  <si>
    <t>TX0136051</t>
  </si>
  <si>
    <t>TX0136069</t>
  </si>
  <si>
    <t>TX0136077</t>
  </si>
  <si>
    <t>TX0136093</t>
  </si>
  <si>
    <t>TX0136115</t>
  </si>
  <si>
    <t>TX0136123</t>
  </si>
  <si>
    <t>TX0136131</t>
  </si>
  <si>
    <t>TX0136140</t>
  </si>
  <si>
    <t>TX0136158</t>
  </si>
  <si>
    <t>TX0136166</t>
  </si>
  <si>
    <t>TX0136174</t>
  </si>
  <si>
    <t>TX0136182</t>
  </si>
  <si>
    <t>TX0136191</t>
  </si>
  <si>
    <t>TX0136204</t>
  </si>
  <si>
    <t>TX0136212</t>
  </si>
  <si>
    <t>TX0136239</t>
  </si>
  <si>
    <t>TX0136247</t>
  </si>
  <si>
    <t>TX0136263</t>
  </si>
  <si>
    <t>TX0136271</t>
  </si>
  <si>
    <t>TX0136280</t>
  </si>
  <si>
    <t>TX0136298</t>
  </si>
  <si>
    <t>TX0136310</t>
  </si>
  <si>
    <t>TX0136328</t>
  </si>
  <si>
    <t>TX0136344</t>
  </si>
  <si>
    <t>TX0136352</t>
  </si>
  <si>
    <t>TX0136361</t>
  </si>
  <si>
    <t>TX0136379</t>
  </si>
  <si>
    <t>TX0136387</t>
  </si>
  <si>
    <t>TX0136395</t>
  </si>
  <si>
    <t>TX0136409</t>
  </si>
  <si>
    <t>TX0136417</t>
  </si>
  <si>
    <t>TX0136425</t>
  </si>
  <si>
    <t>TX0136433</t>
  </si>
  <si>
    <t>TX0136441</t>
  </si>
  <si>
    <t>TX0136468</t>
  </si>
  <si>
    <t>TX0136476</t>
  </si>
  <si>
    <t>TX0136484</t>
  </si>
  <si>
    <t>TX0136522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</si>
  <si>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</si>
  <si>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</si>
  <si>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</si>
  <si>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</si>
  <si>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</si>
  <si>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</si>
  <si>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</si>
  <si>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TX0136611</t>
  </si>
  <si>
    <t>TX0136638</t>
  </si>
  <si>
    <t>TX0136646</t>
  </si>
  <si>
    <t>TX0136654</t>
  </si>
  <si>
    <t>TX0136662</t>
  </si>
  <si>
    <t>TX0136671</t>
  </si>
  <si>
    <t>TX0136689</t>
  </si>
  <si>
    <t>TX0136701</t>
  </si>
  <si>
    <t>TX0136727</t>
  </si>
  <si>
    <t>TX0136743</t>
  </si>
  <si>
    <t>TX0136751</t>
  </si>
  <si>
    <t>TX0136760</t>
  </si>
  <si>
    <t>TX0136778</t>
  </si>
  <si>
    <t>TX0136794</t>
  </si>
  <si>
    <t>TX0136816</t>
  </si>
  <si>
    <t>TX0136824</t>
  </si>
  <si>
    <t>TX0136832</t>
  </si>
  <si>
    <t>TX0136859</t>
  </si>
  <si>
    <t>TX0136867</t>
  </si>
  <si>
    <t>TX0136875</t>
  </si>
  <si>
    <t>TX0136883</t>
  </si>
  <si>
    <t>TX0136891</t>
  </si>
  <si>
    <t>TX0136905</t>
  </si>
  <si>
    <t>TX0136913</t>
  </si>
  <si>
    <t>TX0136921</t>
  </si>
  <si>
    <t>TX0136930</t>
  </si>
  <si>
    <t>TX0136948</t>
  </si>
  <si>
    <t>TX0136956</t>
  </si>
  <si>
    <t>TX0136964</t>
  </si>
  <si>
    <t>TX0136997</t>
  </si>
  <si>
    <t>TX0137002</t>
  </si>
  <si>
    <t>TX0137014</t>
  </si>
  <si>
    <t>TX0137031</t>
  </si>
  <si>
    <t>TX0137073</t>
  </si>
  <si>
    <t>TX0137103</t>
  </si>
  <si>
    <t>TX0137111</t>
  </si>
  <si>
    <t>TX0137138</t>
  </si>
  <si>
    <t>TX0137146</t>
  </si>
  <si>
    <t>TX0137154</t>
  </si>
  <si>
    <t>TX0137162</t>
  </si>
  <si>
    <t>TX0137189</t>
  </si>
  <si>
    <t>TX0137197</t>
  </si>
  <si>
    <t>TX0137219</t>
  </si>
  <si>
    <t>TX0137235</t>
  </si>
  <si>
    <t>TX0137243</t>
  </si>
  <si>
    <t>TX0137251</t>
  </si>
  <si>
    <t>TX0137260</t>
  </si>
  <si>
    <t>TX0137286</t>
  </si>
  <si>
    <t>TX0137294</t>
  </si>
  <si>
    <t>TX0137308</t>
  </si>
  <si>
    <t>TX0137316</t>
  </si>
  <si>
    <t>TX0137324</t>
  </si>
  <si>
    <t>TX0137332</t>
  </si>
  <si>
    <t>TX0137341</t>
  </si>
  <si>
    <t>TX0137359</t>
  </si>
  <si>
    <t>TX0137367</t>
  </si>
  <si>
    <t>TX0137383</t>
  </si>
  <si>
    <t>TX0137391</t>
  </si>
  <si>
    <t>TX0137405</t>
  </si>
  <si>
    <t>TX0137413</t>
  </si>
  <si>
    <t>TX0137421</t>
  </si>
  <si>
    <t>TX0137448</t>
  </si>
  <si>
    <t>TX0137464</t>
  </si>
  <si>
    <t>TX0137472</t>
  </si>
  <si>
    <t>TX0137481</t>
  </si>
  <si>
    <t>TX0137502</t>
  </si>
  <si>
    <t>TX0137511</t>
  </si>
  <si>
    <t>TX0137529</t>
  </si>
  <si>
    <t>TX0137537</t>
  </si>
  <si>
    <t>TX0137545</t>
  </si>
  <si>
    <t>TX0137553</t>
  </si>
  <si>
    <t>TX0137561</t>
  </si>
  <si>
    <t>TX0137570</t>
  </si>
  <si>
    <t>TX0137596</t>
  </si>
  <si>
    <t>TX0137600</t>
  </si>
  <si>
    <t>TX0137618</t>
  </si>
  <si>
    <t>TX0137626</t>
  </si>
  <si>
    <t>TX0137634</t>
  </si>
  <si>
    <t>TX0137642</t>
  </si>
  <si>
    <t>TX0137651</t>
  </si>
  <si>
    <t>TX0137669</t>
  </si>
  <si>
    <t>TX0137677</t>
  </si>
  <si>
    <t>TX0137685</t>
  </si>
  <si>
    <t>TX0137693</t>
  </si>
  <si>
    <t>TX0137707</t>
  </si>
  <si>
    <t>TX0137715</t>
  </si>
  <si>
    <t>TX0137740</t>
  </si>
  <si>
    <t>TX0137766</t>
  </si>
  <si>
    <t>TX0137774</t>
  </si>
  <si>
    <t>TX0137782</t>
  </si>
  <si>
    <t>TX0137791</t>
  </si>
  <si>
    <t>TX0137804</t>
  </si>
  <si>
    <t>TX013781</t>
  </si>
  <si>
    <t>TX0137839</t>
  </si>
  <si>
    <t>TX0137847</t>
  </si>
  <si>
    <t>TX0137855</t>
  </si>
  <si>
    <t>TX0137863</t>
  </si>
  <si>
    <t>TX0137880</t>
  </si>
  <si>
    <t>TX0137898</t>
  </si>
  <si>
    <t>TX0137901</t>
  </si>
  <si>
    <t>TX0137910</t>
  </si>
  <si>
    <t>TX0137928</t>
  </si>
  <si>
    <t>TX0137936</t>
  </si>
  <si>
    <t>TX0137952</t>
  </si>
  <si>
    <t>TX0137961</t>
  </si>
  <si>
    <t>TX0137979</t>
  </si>
  <si>
    <t>TX0137987</t>
  </si>
  <si>
    <t>TX0137995</t>
  </si>
  <si>
    <t>TX0138002</t>
  </si>
  <si>
    <t>TX0138011</t>
  </si>
  <si>
    <t>TX0138029</t>
  </si>
  <si>
    <t>TX0138037</t>
  </si>
  <si>
    <t>TX0138061</t>
  </si>
  <si>
    <t>TX0138070</t>
  </si>
  <si>
    <t>TX0138088</t>
  </si>
  <si>
    <t>TX0138096</t>
  </si>
  <si>
    <t>TX0138100</t>
  </si>
  <si>
    <t>TX0138118</t>
  </si>
  <si>
    <t>TX0138126</t>
  </si>
  <si>
    <t>TX0138134</t>
  </si>
  <si>
    <t>TX0138142</t>
  </si>
  <si>
    <t>TX0138151</t>
  </si>
  <si>
    <t>TX0138177</t>
  </si>
  <si>
    <t>TX0138185</t>
  </si>
  <si>
    <t>TX0138193</t>
  </si>
  <si>
    <t>TX0138207</t>
  </si>
  <si>
    <t>TX0138215</t>
  </si>
  <si>
    <t>TX0138231</t>
  </si>
  <si>
    <t>TX0138240</t>
  </si>
  <si>
    <t>TX0138258</t>
  </si>
  <si>
    <t>TX0138266</t>
  </si>
  <si>
    <t>TX0138274</t>
  </si>
  <si>
    <t>TX0138282</t>
  </si>
  <si>
    <t>TX0138291</t>
  </si>
  <si>
    <t>TX0138304</t>
  </si>
  <si>
    <t>TX0138312</t>
  </si>
  <si>
    <t>TX0138321</t>
  </si>
  <si>
    <t>TX0138339</t>
  </si>
  <si>
    <t>TX0138347</t>
  </si>
  <si>
    <t>TX0138355</t>
  </si>
  <si>
    <t>TX0138363</t>
  </si>
  <si>
    <t>TX0138371</t>
  </si>
  <si>
    <t>TX0138380</t>
  </si>
  <si>
    <t>TX0138398</t>
  </si>
  <si>
    <t>TX0138410</t>
  </si>
  <si>
    <t>TX0138428</t>
  </si>
  <si>
    <t>TX0138444</t>
  </si>
  <si>
    <t>TX0138452</t>
  </si>
  <si>
    <t>TX0138461</t>
  </si>
  <si>
    <t>TX0138479</t>
  </si>
  <si>
    <t>TX0138487</t>
  </si>
  <si>
    <t>TX0138495</t>
  </si>
  <si>
    <t>TX0138509</t>
  </si>
  <si>
    <t>TX0138517</t>
  </si>
  <si>
    <t>TX0138525</t>
  </si>
  <si>
    <t>TX0138533</t>
  </si>
  <si>
    <t>TX0138541</t>
  </si>
  <si>
    <t>TX0138568</t>
  </si>
  <si>
    <t>TX0138576</t>
  </si>
  <si>
    <t>TX0138584</t>
  </si>
  <si>
    <t>TX0138606</t>
  </si>
  <si>
    <t>TX0138614</t>
  </si>
  <si>
    <t>TX0138622</t>
  </si>
  <si>
    <t>TX0138631</t>
  </si>
  <si>
    <t>TX0138649</t>
  </si>
  <si>
    <t>TX0138657</t>
  </si>
  <si>
    <t>TX0138665</t>
  </si>
  <si>
    <t>TX0138681</t>
  </si>
  <si>
    <t>TX0138703</t>
  </si>
  <si>
    <t>TX0138711</t>
  </si>
  <si>
    <t>TX0138738</t>
  </si>
  <si>
    <t>TX0138746</t>
  </si>
  <si>
    <t>TX0138754</t>
  </si>
  <si>
    <t>TX0138771</t>
  </si>
  <si>
    <t>TX0138789</t>
  </si>
  <si>
    <t>TX0138797</t>
  </si>
  <si>
    <t>TX0138801</t>
  </si>
  <si>
    <t>TX0138827</t>
  </si>
  <si>
    <t>TX0138835</t>
  </si>
  <si>
    <t>TX0138851</t>
  </si>
  <si>
    <t>TX0138860</t>
  </si>
  <si>
    <t>TX0138878</t>
  </si>
  <si>
    <t>TX0138886</t>
  </si>
  <si>
    <t>TX0138894</t>
  </si>
  <si>
    <t>TX0138908</t>
  </si>
  <si>
    <t>TX0138916</t>
  </si>
  <si>
    <t>TX0138924</t>
  </si>
  <si>
    <t>TX0138932</t>
  </si>
  <si>
    <t>TX0138941</t>
  </si>
  <si>
    <t>TX0138967</t>
  </si>
  <si>
    <t>TX0138983</t>
  </si>
  <si>
    <t>TX0138991</t>
  </si>
  <si>
    <t>TX0139009</t>
  </si>
  <si>
    <t>TX0139017</t>
  </si>
  <si>
    <t>TX0139025</t>
  </si>
  <si>
    <t>TX0139033</t>
  </si>
  <si>
    <t>TX0139050</t>
  </si>
  <si>
    <t>TX0139068</t>
  </si>
  <si>
    <t>TX0139076</t>
  </si>
  <si>
    <t>TX0139084</t>
  </si>
  <si>
    <t>TX0139092</t>
  </si>
  <si>
    <t>TX0139114</t>
  </si>
  <si>
    <t>TX0139122</t>
  </si>
  <si>
    <t>TX0139131</t>
  </si>
  <si>
    <t>TX0139149</t>
  </si>
  <si>
    <t>TX0139165</t>
  </si>
  <si>
    <t>TX0139173</t>
  </si>
  <si>
    <t>TX0139181</t>
  </si>
  <si>
    <t>TX0139190</t>
  </si>
  <si>
    <t>TX0139203</t>
  </si>
  <si>
    <t>TX0139211</t>
  </si>
  <si>
    <t>TX0139220</t>
  </si>
  <si>
    <t>TX0139238</t>
  </si>
  <si>
    <t>TX0139246</t>
  </si>
  <si>
    <t>TX0139262</t>
  </si>
  <si>
    <t>TX0139271</t>
  </si>
  <si>
    <t>TX0139289</t>
  </si>
  <si>
    <t>TX0139297</t>
  </si>
  <si>
    <t>TX0139301</t>
  </si>
  <si>
    <t>TX0139327</t>
  </si>
  <si>
    <t>TX0139343</t>
  </si>
  <si>
    <t>TX0139351</t>
  </si>
  <si>
    <t>TX0139360</t>
  </si>
  <si>
    <t>TX0139378</t>
  </si>
  <si>
    <t>TX0139394</t>
  </si>
  <si>
    <t>TX0139401</t>
  </si>
  <si>
    <t>TX0139408</t>
  </si>
  <si>
    <t>TX0139424</t>
  </si>
  <si>
    <t>TX0139432</t>
  </si>
  <si>
    <t>TX0139441</t>
  </si>
  <si>
    <t>TX0139459</t>
  </si>
  <si>
    <t>TX0139475</t>
  </si>
  <si>
    <t>TX0139483</t>
  </si>
  <si>
    <t>TX0139491</t>
  </si>
  <si>
    <t>TX0139505</t>
  </si>
  <si>
    <t>TX0139513</t>
  </si>
  <si>
    <t>TX0139521</t>
  </si>
  <si>
    <t>TX0139530</t>
  </si>
  <si>
    <t>TX0139548</t>
  </si>
  <si>
    <t>TX0139556</t>
  </si>
  <si>
    <t>TX0139572</t>
  </si>
  <si>
    <t>TX0139581</t>
  </si>
  <si>
    <t>TX0139599</t>
  </si>
  <si>
    <t>TX0139602</t>
  </si>
  <si>
    <t>TX0139629</t>
  </si>
  <si>
    <t>TX0139637</t>
  </si>
  <si>
    <t>TX0139653</t>
  </si>
  <si>
    <t>TX0139661</t>
  </si>
  <si>
    <t>TX0139670</t>
  </si>
  <si>
    <t>TX0139688</t>
  </si>
  <si>
    <t>TX0139706</t>
  </si>
  <si>
    <t>TX0139726</t>
  </si>
  <si>
    <t>TX0139742</t>
  </si>
  <si>
    <t>TX0139757</t>
  </si>
  <si>
    <t>TX024112</t>
  </si>
  <si>
    <t>outfall_id</t>
  </si>
  <si>
    <t>max_value</t>
  </si>
  <si>
    <t>permittee</t>
  </si>
  <si>
    <t>OUTFALL_ID</t>
  </si>
  <si>
    <t>EXCLUDE?</t>
  </si>
  <si>
    <t>TX0116114_003</t>
  </si>
  <si>
    <t>TX0128741_001</t>
  </si>
  <si>
    <t>TX0135135_001</t>
  </si>
  <si>
    <t>TX0135976_001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</si>
</sst>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ZC152"/>
  <sheetViews>
    <sheetView workbookViewId="0">
      <pane xSplit="1" ySplit="1" topLeftCell="AKB30" activePane="bottomRight" state="frozen"/>
      <selection pane="topRight" activeCell="B1" sqref="B1"/>
      <selection pane="bottomLeft" activeCell="A2" sqref="A2"/>
      <selection pane="bottomRight" activeCell="AKI48" sqref="AKI48"/>
    </sheetView>
  </sheetViews>
  <sheetFormatPr defaultRowHeight="15" x14ac:dyDescent="0.25"/>
  <cols>
    <col min="1" max="1" width="16.7109375" bestFit="1" customWidth="1"/>
    <col min="2" max="38" width="14.28515625" bestFit="1" customWidth="1"/>
    <col min="39" max="39" width="12" bestFit="1" customWidth="1"/>
    <col min="40" max="415" width="14.28515625" bestFit="1" customWidth="1"/>
    <col min="416" max="416" width="12" bestFit="1" customWidth="1"/>
    <col min="982" max="982" width="14.28515625" bestFit="1" customWidth="1"/>
    <col min="3022" max="3024" width="14.28515625" bestFit="1" customWidth="1"/>
  </cols>
  <sheetData>
    <row r="1" spans="1:105" x14ac:dyDescent="0.25">
      <c r="A1" t="s">
        <v>0</v>
      </c>
      <c r="B1" t="s">
        <v>640</v>
      </c>
      <c r="C1" t="s">
        <v>641</v>
      </c>
      <c r="D1" t="s">
        <v>628</v>
      </c>
      <c r="E1" t="s">
        <v>1488</v>
      </c>
      <c r="F1" t="s">
        <v>1524</v>
      </c>
      <c r="G1" t="s">
        <v>1525</v>
      </c>
      <c r="H1" t="s">
        <v>603</v>
      </c>
      <c r="I1" t="s">
        <v>604</v>
      </c>
      <c r="J1" t="s">
        <v>619</v>
      </c>
      <c r="K1" t="s">
        <v>644</v>
      </c>
      <c r="L1" t="s">
        <v>605</v>
      </c>
      <c r="M1" t="s">
        <v>1489</v>
      </c>
      <c r="N1" t="s">
        <v>617</v>
      </c>
      <c r="O1" t="s">
        <v>1529</v>
      </c>
      <c r="P1" t="s">
        <v>645</v>
      </c>
      <c r="Q1" t="s">
        <v>629</v>
      </c>
      <c r="R1" t="s">
        <v>630</v>
      </c>
      <c r="S1" t="s">
        <v>622</v>
      </c>
      <c r="T1" t="s">
        <v>1526</v>
      </c>
      <c r="U1" t="s">
        <v>606</v>
      </c>
      <c r="V1" t="s">
        <v>1246</v>
      </c>
      <c r="W1" t="s">
        <v>623</v>
      </c>
      <c r="X1" t="s">
        <v>639</v>
      </c>
      <c r="Y1" t="s">
        <v>633</v>
      </c>
      <c r="Z1" t="s">
        <v>1491</v>
      </c>
      <c r="AA1" t="s">
        <v>1492</v>
      </c>
      <c r="AB1" t="s">
        <v>1533</v>
      </c>
      <c r="AC1" t="s">
        <v>1493</v>
      </c>
      <c r="AD1" t="s">
        <v>1534</v>
      </c>
      <c r="AE1" t="s">
        <v>602</v>
      </c>
      <c r="AF1" t="s">
        <v>618</v>
      </c>
      <c r="AG1" t="s">
        <v>1535</v>
      </c>
      <c r="AH1" t="s">
        <v>1494</v>
      </c>
      <c r="AI1" t="s">
        <v>1495</v>
      </c>
      <c r="AJ1" t="s">
        <v>1496</v>
      </c>
      <c r="AK1" t="s">
        <v>1497</v>
      </c>
      <c r="AL1" t="s">
        <v>1498</v>
      </c>
      <c r="AM1" t="s">
        <v>1499</v>
      </c>
      <c r="AN1" t="s">
        <v>1500</v>
      </c>
      <c r="AO1" t="s">
        <v>1501</v>
      </c>
      <c r="AP1" t="s">
        <v>1502</v>
      </c>
      <c r="AQ1" t="s">
        <v>1503</v>
      </c>
      <c r="AR1" t="s">
        <v>1504</v>
      </c>
      <c r="AS1" t="s">
        <v>1505</v>
      </c>
      <c r="AT1" t="s">
        <v>1506</v>
      </c>
      <c r="AU1" t="s">
        <v>1507</v>
      </c>
      <c r="AV1" t="s">
        <v>1508</v>
      </c>
      <c r="AW1" t="s">
        <v>610</v>
      </c>
      <c r="AX1" t="s">
        <v>620</v>
      </c>
      <c r="AY1" t="s">
        <v>621</v>
      </c>
      <c r="AZ1" t="s">
        <v>624</v>
      </c>
      <c r="BA1" t="s">
        <v>611</v>
      </c>
      <c r="BB1" t="s">
        <v>1509</v>
      </c>
      <c r="BC1" t="s">
        <v>1510</v>
      </c>
      <c r="BD1" t="s">
        <v>1511</v>
      </c>
      <c r="BE1" t="s">
        <v>2037</v>
      </c>
      <c r="BF1" t="s">
        <v>1512</v>
      </c>
      <c r="BG1" t="s">
        <v>1513</v>
      </c>
      <c r="BH1" t="s">
        <v>1514</v>
      </c>
      <c r="BI1" t="s">
        <v>1515</v>
      </c>
      <c r="BJ1" t="s">
        <v>612</v>
      </c>
      <c r="BK1" t="s">
        <v>1516</v>
      </c>
      <c r="BL1" t="s">
        <v>695</v>
      </c>
      <c r="BM1" t="s">
        <v>631</v>
      </c>
      <c r="BN1" t="s">
        <v>1531</v>
      </c>
      <c r="BO1" t="s">
        <v>607</v>
      </c>
      <c r="BP1" t="s">
        <v>1249</v>
      </c>
      <c r="BQ1" t="s">
        <v>8136</v>
      </c>
      <c r="BR1" t="s">
        <v>1517</v>
      </c>
      <c r="BS1" t="s">
        <v>1527</v>
      </c>
      <c r="BT1" t="s">
        <v>634</v>
      </c>
      <c r="BU1" t="s">
        <v>632</v>
      </c>
      <c r="BV1" t="s">
        <v>463</v>
      </c>
      <c r="BW1" t="s">
        <v>635</v>
      </c>
      <c r="BX1" t="s">
        <v>636</v>
      </c>
      <c r="BY1" t="s">
        <v>625</v>
      </c>
      <c r="BZ1" t="s">
        <v>1518</v>
      </c>
      <c r="CA1" t="s">
        <v>2326</v>
      </c>
      <c r="CB1" t="s">
        <v>2486</v>
      </c>
      <c r="CC1" t="s">
        <v>8137</v>
      </c>
      <c r="CD1" t="s">
        <v>1519</v>
      </c>
      <c r="CE1" t="s">
        <v>1528</v>
      </c>
      <c r="CF1" t="s">
        <v>1530</v>
      </c>
      <c r="CG1" t="s">
        <v>646</v>
      </c>
      <c r="CH1" t="s">
        <v>647</v>
      </c>
      <c r="CI1" t="s">
        <v>2492</v>
      </c>
      <c r="CJ1" t="s">
        <v>1520</v>
      </c>
      <c r="CK1" t="s">
        <v>613</v>
      </c>
      <c r="CL1" t="s">
        <v>614</v>
      </c>
      <c r="CM1" t="s">
        <v>1532</v>
      </c>
      <c r="CN1" t="s">
        <v>608</v>
      </c>
      <c r="CO1" t="s">
        <v>1523</v>
      </c>
      <c r="CP1" t="s">
        <v>615</v>
      </c>
      <c r="CQ1" t="s">
        <v>648</v>
      </c>
      <c r="CR1" t="s">
        <v>609</v>
      </c>
      <c r="CS1" t="s">
        <v>1521</v>
      </c>
      <c r="CT1" t="s">
        <v>8138</v>
      </c>
      <c r="CU1" t="s">
        <v>616</v>
      </c>
      <c r="CV1" t="s">
        <v>8139</v>
      </c>
      <c r="CW1" t="s">
        <v>1522</v>
      </c>
      <c r="CX1" t="s">
        <v>637</v>
      </c>
      <c r="CY1" t="s">
        <v>638</v>
      </c>
      <c r="CZ1" t="s">
        <v>626</v>
      </c>
      <c r="DA1" t="s">
        <v>627</v>
      </c>
    </row>
    <row r="2" spans="1:105" x14ac:dyDescent="0.25">
      <c r="A2" s="1">
        <v>40209</v>
      </c>
      <c r="B2">
        <v>0</v>
      </c>
      <c r="C2">
        <v>19.794</v>
      </c>
      <c r="D2">
        <v>2</v>
      </c>
      <c r="E2">
        <v>0.163712</v>
      </c>
      <c r="F2">
        <v>0.21574199999999999</v>
      </c>
      <c r="G2">
        <v>5.0999999999999997E-2</v>
      </c>
      <c r="H2">
        <v>0.33300000000000002</v>
      </c>
      <c r="I2">
        <v>0.21199999999999999</v>
      </c>
      <c r="J2">
        <v>0.11020000000000001</v>
      </c>
      <c r="K2">
        <v>0.14199999999999999</v>
      </c>
      <c r="L2">
        <v>0.75</v>
      </c>
      <c r="M2">
        <v>2.3170000000000002</v>
      </c>
      <c r="N2">
        <v>1.1850000000000001</v>
      </c>
      <c r="O2">
        <v>1.2214</v>
      </c>
      <c r="P2">
        <v>6.8</v>
      </c>
      <c r="Q2">
        <v>0.155</v>
      </c>
      <c r="R2">
        <v>7.4999999999999997E-2</v>
      </c>
      <c r="S2">
        <v>43.99</v>
      </c>
      <c r="T2">
        <v>0</v>
      </c>
      <c r="U2">
        <v>1E-3</v>
      </c>
      <c r="V2">
        <v>1.6000000000000001E-3</v>
      </c>
      <c r="W2">
        <v>0.10539999999999999</v>
      </c>
      <c r="X2">
        <v>2.23</v>
      </c>
      <c r="Y2">
        <v>5.24</v>
      </c>
      <c r="Z2">
        <v>38.270000000000003</v>
      </c>
      <c r="AA2">
        <v>0.44</v>
      </c>
      <c r="AB2">
        <v>0.11799999999999999</v>
      </c>
      <c r="AC2">
        <v>5.1950000000000003</v>
      </c>
      <c r="AD2">
        <v>9.7000000000000003E-2</v>
      </c>
      <c r="AE2">
        <v>0.22500000000000001</v>
      </c>
      <c r="AF2">
        <v>0.13800000000000001</v>
      </c>
      <c r="AG2">
        <v>0.59799999999999998</v>
      </c>
      <c r="AH2">
        <v>785</v>
      </c>
      <c r="AI2">
        <v>4.3090000000000002</v>
      </c>
      <c r="AJ2">
        <v>518.4</v>
      </c>
      <c r="AK2">
        <v>0</v>
      </c>
      <c r="AL2">
        <v>413.5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7.4999999999999997E-2</v>
      </c>
      <c r="AV2">
        <v>3.72</v>
      </c>
      <c r="AW2">
        <v>3.0640000000000001</v>
      </c>
      <c r="AX2">
        <v>278.98</v>
      </c>
      <c r="AY2">
        <v>3.91</v>
      </c>
      <c r="AZ2">
        <v>0.13509599999999999</v>
      </c>
      <c r="BA2">
        <v>0.4637</v>
      </c>
      <c r="BB2">
        <v>0.126</v>
      </c>
      <c r="BC2">
        <v>2.0614E-2</v>
      </c>
      <c r="BD2">
        <v>5.3239999999999998</v>
      </c>
      <c r="BE2">
        <v>0.91</v>
      </c>
      <c r="BF2">
        <v>84.97</v>
      </c>
      <c r="BG2">
        <v>3.91</v>
      </c>
      <c r="BH2">
        <v>0.56000000000000005</v>
      </c>
      <c r="BI2">
        <v>0.87</v>
      </c>
      <c r="BJ2">
        <v>1.829</v>
      </c>
      <c r="BK2">
        <v>1.91</v>
      </c>
      <c r="BL2">
        <v>1.7999999999999999E-2</v>
      </c>
      <c r="BM2">
        <v>0.82799999999999996</v>
      </c>
      <c r="BN2">
        <v>0.14430000000000001</v>
      </c>
      <c r="BO2">
        <v>0.67</v>
      </c>
      <c r="BP2">
        <v>0.27081899999999998</v>
      </c>
      <c r="BQ2">
        <v>0.14813399999999999</v>
      </c>
      <c r="BR2">
        <v>0</v>
      </c>
      <c r="BS2">
        <v>0</v>
      </c>
      <c r="BT2">
        <v>0.17380000000000001</v>
      </c>
      <c r="BU2">
        <v>1.4121E-2</v>
      </c>
      <c r="BV2">
        <v>2.5700000000000001E-2</v>
      </c>
      <c r="BW2">
        <v>7.0000000000000001E-3</v>
      </c>
      <c r="BX2">
        <v>7.0000000000000001E-3</v>
      </c>
      <c r="BY2">
        <v>5.8999999999999997E-2</v>
      </c>
      <c r="BZ2">
        <v>0</v>
      </c>
      <c r="CA2">
        <v>4.3299999999999998E-2</v>
      </c>
      <c r="CB2">
        <v>0</v>
      </c>
      <c r="CC2">
        <v>4.7689999999999998E-3</v>
      </c>
      <c r="CD2">
        <v>0</v>
      </c>
      <c r="CE2">
        <v>0.35741899999999999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</row>
    <row r="3" spans="1:105" x14ac:dyDescent="0.25">
      <c r="A3" s="1">
        <v>40237</v>
      </c>
      <c r="B3">
        <v>0</v>
      </c>
      <c r="C3">
        <v>16.425000000000001</v>
      </c>
      <c r="D3">
        <v>2.0529999999999999</v>
      </c>
      <c r="E3">
        <v>0.210503</v>
      </c>
      <c r="F3">
        <v>0.24024999999999999</v>
      </c>
      <c r="G3">
        <v>0.09</v>
      </c>
      <c r="H3">
        <v>0.317</v>
      </c>
      <c r="I3">
        <v>0.23799999999999999</v>
      </c>
      <c r="J3">
        <v>0.128</v>
      </c>
      <c r="K3">
        <v>0.13700000000000001</v>
      </c>
      <c r="L3">
        <v>1.1000000000000001</v>
      </c>
      <c r="M3">
        <v>1.946</v>
      </c>
      <c r="N3">
        <v>1.2070000000000001</v>
      </c>
      <c r="O3">
        <v>2.1667000000000001</v>
      </c>
      <c r="P3">
        <v>6.9</v>
      </c>
      <c r="Q3">
        <v>0.193</v>
      </c>
      <c r="R3">
        <v>6.8000000000000005E-2</v>
      </c>
      <c r="S3">
        <v>1.373</v>
      </c>
      <c r="T3">
        <v>0</v>
      </c>
      <c r="U3">
        <v>2E-3</v>
      </c>
      <c r="V3">
        <v>8.9999999999999998E-4</v>
      </c>
      <c r="W3">
        <v>0.1008</v>
      </c>
      <c r="X3">
        <v>2.83</v>
      </c>
      <c r="Y3">
        <v>6.87</v>
      </c>
      <c r="Z3">
        <v>42.65</v>
      </c>
      <c r="AA3">
        <v>0.7433333333333334</v>
      </c>
      <c r="AB3">
        <v>0.14099999999999999</v>
      </c>
      <c r="AC3">
        <v>5.9390000000000001</v>
      </c>
      <c r="AD3">
        <v>3.6999999999999998E-2</v>
      </c>
      <c r="AE3">
        <v>0.23499999999999999</v>
      </c>
      <c r="AF3">
        <v>0.16300000000000001</v>
      </c>
      <c r="AG3">
        <v>0.61799999999999999</v>
      </c>
      <c r="AH3">
        <v>691.2</v>
      </c>
      <c r="AI3">
        <v>2.7469999999999999</v>
      </c>
      <c r="AJ3">
        <v>518.4</v>
      </c>
      <c r="AK3">
        <v>0</v>
      </c>
      <c r="AL3">
        <v>412.6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8.3000000000000004E-2</v>
      </c>
      <c r="AV3">
        <v>12.87</v>
      </c>
      <c r="AW3">
        <v>3.1949999999999998</v>
      </c>
      <c r="AX3">
        <v>264.02999999999997</v>
      </c>
      <c r="AY3">
        <v>3.55</v>
      </c>
      <c r="AZ3">
        <v>0.152392</v>
      </c>
      <c r="BA3">
        <v>0.48330000000000001</v>
      </c>
      <c r="BB3">
        <v>0.122</v>
      </c>
      <c r="BC3">
        <v>2.3619999999999999E-2</v>
      </c>
      <c r="BD3">
        <v>5.9269999999999996</v>
      </c>
      <c r="BE3">
        <v>1</v>
      </c>
      <c r="BF3">
        <v>101.81</v>
      </c>
      <c r="BG3">
        <v>2.1950000000000003</v>
      </c>
      <c r="BH3">
        <v>0.45</v>
      </c>
      <c r="BI3">
        <v>0.84</v>
      </c>
      <c r="BJ3">
        <v>2.198</v>
      </c>
      <c r="BK3">
        <v>3.109</v>
      </c>
      <c r="BL3">
        <v>1.8800000000000001E-2</v>
      </c>
      <c r="BM3">
        <v>1.1399999999999999</v>
      </c>
      <c r="BN3">
        <v>0.16025</v>
      </c>
      <c r="BO3">
        <v>0.8</v>
      </c>
      <c r="BP3">
        <v>0.26960099999999998</v>
      </c>
      <c r="BQ3">
        <v>0.15672800000000001</v>
      </c>
      <c r="BR3">
        <v>0</v>
      </c>
      <c r="BS3">
        <v>0.29799999999999999</v>
      </c>
      <c r="BT3">
        <v>1.8499999999999999E-2</v>
      </c>
      <c r="BU3">
        <v>1.2428E-2</v>
      </c>
      <c r="BV3">
        <v>2.283E-2</v>
      </c>
      <c r="BW3">
        <v>6.0000000000000001E-3</v>
      </c>
      <c r="BX3">
        <v>6.0000000000000001E-3</v>
      </c>
      <c r="BY3">
        <v>5.2999999999999999E-2</v>
      </c>
      <c r="BZ3">
        <v>0</v>
      </c>
      <c r="CA3">
        <v>3.2899999999999999E-2</v>
      </c>
      <c r="CB3">
        <v>0</v>
      </c>
      <c r="CC3">
        <v>5.3460000000000001E-3</v>
      </c>
      <c r="CD3">
        <v>0</v>
      </c>
      <c r="CE3">
        <v>0.421429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</row>
    <row r="4" spans="1:105" x14ac:dyDescent="0.25">
      <c r="A4" s="1">
        <v>40268</v>
      </c>
      <c r="B4">
        <v>0</v>
      </c>
      <c r="C4">
        <v>17.052</v>
      </c>
      <c r="D4">
        <v>2.0619999999999998</v>
      </c>
      <c r="E4">
        <v>0.165741</v>
      </c>
      <c r="F4">
        <v>0.22034999999999999</v>
      </c>
      <c r="G4">
        <v>4.5999999999999999E-2</v>
      </c>
      <c r="H4">
        <v>0.23699999999999999</v>
      </c>
      <c r="I4">
        <v>0.23100000000000001</v>
      </c>
      <c r="J4">
        <v>8.9700000000000002E-2</v>
      </c>
      <c r="K4">
        <v>0.109</v>
      </c>
      <c r="L4">
        <v>0.5</v>
      </c>
      <c r="M4">
        <v>1.944</v>
      </c>
      <c r="N4">
        <v>0.99099999999999999</v>
      </c>
      <c r="O4">
        <v>1.6321000000000001</v>
      </c>
      <c r="P4">
        <v>5.3</v>
      </c>
      <c r="Q4">
        <v>0.14099999999999999</v>
      </c>
      <c r="R4">
        <v>8.5999999999999993E-2</v>
      </c>
      <c r="S4">
        <v>1.1739999999999999</v>
      </c>
      <c r="T4">
        <v>0</v>
      </c>
      <c r="U4">
        <v>1E-3</v>
      </c>
      <c r="V4">
        <v>3.0000000000000001E-3</v>
      </c>
      <c r="W4">
        <v>0.10539999999999999</v>
      </c>
      <c r="X4">
        <v>2.39</v>
      </c>
      <c r="Y4">
        <v>5.54</v>
      </c>
      <c r="Z4">
        <v>37.15</v>
      </c>
      <c r="AA4">
        <v>1.0466666666666669</v>
      </c>
      <c r="AB4">
        <v>0.10199999999999999</v>
      </c>
      <c r="AC4">
        <v>4.883</v>
      </c>
      <c r="AD4">
        <v>7.0999999999999994E-2</v>
      </c>
      <c r="AE4">
        <v>0.22500000000000001</v>
      </c>
      <c r="AF4">
        <v>0.155</v>
      </c>
      <c r="AG4">
        <v>0.58299999999999996</v>
      </c>
      <c r="AH4">
        <v>792</v>
      </c>
      <c r="AI4">
        <v>2.88</v>
      </c>
      <c r="AJ4">
        <v>518.4</v>
      </c>
      <c r="AK4">
        <v>0</v>
      </c>
      <c r="AL4">
        <v>413.5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7.9000000000000001E-2</v>
      </c>
      <c r="AV4">
        <v>2.97</v>
      </c>
      <c r="AW4">
        <v>2.9039999999999999</v>
      </c>
      <c r="AX4">
        <v>18.7</v>
      </c>
      <c r="AY4">
        <v>3.5939999999999999</v>
      </c>
      <c r="AZ4">
        <v>0.118129</v>
      </c>
      <c r="BA4">
        <v>0.46350000000000002</v>
      </c>
      <c r="BB4">
        <v>0.11</v>
      </c>
      <c r="BC4">
        <v>2.2948E-2</v>
      </c>
      <c r="BD4">
        <v>4.7249999999999996</v>
      </c>
      <c r="BE4">
        <v>0.53</v>
      </c>
      <c r="BF4">
        <v>86.81</v>
      </c>
      <c r="BG4">
        <v>0.48</v>
      </c>
      <c r="BH4">
        <v>0.5</v>
      </c>
      <c r="BI4">
        <v>0.98</v>
      </c>
      <c r="BJ4">
        <v>1.9870000000000001</v>
      </c>
      <c r="BK4">
        <v>1.911</v>
      </c>
      <c r="BL4">
        <v>1.8610000000000002E-2</v>
      </c>
      <c r="BM4">
        <v>0.80500000000000005</v>
      </c>
      <c r="BN4">
        <v>0.10974100000000001</v>
      </c>
      <c r="BO4">
        <v>0.6</v>
      </c>
      <c r="BP4">
        <v>0.27491300000000002</v>
      </c>
      <c r="BQ4">
        <v>0.14077500000000001</v>
      </c>
      <c r="BR4">
        <v>0</v>
      </c>
      <c r="BS4">
        <v>0.28599999999999998</v>
      </c>
      <c r="BT4">
        <v>1.6500000000000001E-2</v>
      </c>
      <c r="BU4">
        <v>5.6950000000000004E-3</v>
      </c>
      <c r="BV4">
        <v>1.9699999999999999E-2</v>
      </c>
      <c r="BW4">
        <v>8.0000000000000002E-3</v>
      </c>
      <c r="BX4">
        <v>8.0000000000000002E-3</v>
      </c>
      <c r="BY4">
        <v>8.2000000000000003E-2</v>
      </c>
      <c r="BZ4">
        <v>0</v>
      </c>
      <c r="CA4">
        <v>3.78E-2</v>
      </c>
      <c r="CB4">
        <v>0</v>
      </c>
      <c r="CC4">
        <v>5.0850000000000001E-3</v>
      </c>
      <c r="CD4">
        <v>0</v>
      </c>
      <c r="CE4">
        <v>0.37217899999999998</v>
      </c>
      <c r="CF4">
        <v>0</v>
      </c>
      <c r="CG4">
        <v>1.4999999999999999E-2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</row>
    <row r="5" spans="1:105" x14ac:dyDescent="0.25">
      <c r="A5" s="1">
        <v>40298</v>
      </c>
      <c r="B5">
        <v>0</v>
      </c>
      <c r="C5">
        <v>17.077999999999999</v>
      </c>
      <c r="D5">
        <v>2.089</v>
      </c>
      <c r="E5">
        <v>0.183006</v>
      </c>
      <c r="F5">
        <v>0.24610000000000001</v>
      </c>
      <c r="G5">
        <v>4.7E-2</v>
      </c>
      <c r="H5">
        <v>0.26900000000000002</v>
      </c>
      <c r="I5">
        <v>0.218</v>
      </c>
      <c r="J5">
        <v>8.2500000000000004E-2</v>
      </c>
      <c r="K5">
        <v>0.112</v>
      </c>
      <c r="L5">
        <v>0.5</v>
      </c>
      <c r="M5">
        <v>1.9450000000000001</v>
      </c>
      <c r="N5">
        <v>0.99299999999999999</v>
      </c>
      <c r="O5">
        <v>1.4645999999999999</v>
      </c>
      <c r="P5">
        <v>5.7</v>
      </c>
      <c r="Q5">
        <v>0.128</v>
      </c>
      <c r="R5">
        <v>7.8E-2</v>
      </c>
      <c r="S5">
        <v>1.054</v>
      </c>
      <c r="T5">
        <v>0</v>
      </c>
      <c r="U5">
        <v>1E-3</v>
      </c>
      <c r="V5">
        <v>1.5E-3</v>
      </c>
      <c r="W5">
        <v>0.1142</v>
      </c>
      <c r="X5">
        <v>2.54</v>
      </c>
      <c r="Y5">
        <v>5.73</v>
      </c>
      <c r="Z5">
        <v>39.020000000000003</v>
      </c>
      <c r="AA5">
        <v>1.35</v>
      </c>
      <c r="AB5">
        <v>0.111</v>
      </c>
      <c r="AC5">
        <v>4.66</v>
      </c>
      <c r="AD5">
        <v>4.2000000000000003E-2</v>
      </c>
      <c r="AE5">
        <v>0.186</v>
      </c>
      <c r="AF5">
        <v>0.17499999999999999</v>
      </c>
      <c r="AG5">
        <v>0.59499999999999997</v>
      </c>
      <c r="AH5">
        <v>1088.7</v>
      </c>
      <c r="AI5">
        <v>3.84</v>
      </c>
      <c r="AJ5">
        <v>1209.5999999999999</v>
      </c>
      <c r="AK5">
        <v>0</v>
      </c>
      <c r="AL5">
        <v>414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8.6999999999999994E-2</v>
      </c>
      <c r="AV5">
        <v>1.56</v>
      </c>
      <c r="AW5">
        <v>2.66</v>
      </c>
      <c r="AX5">
        <v>173.14</v>
      </c>
      <c r="AY5">
        <v>3.6379999999999999</v>
      </c>
      <c r="AZ5">
        <v>0.114566</v>
      </c>
      <c r="BA5">
        <v>0.4209</v>
      </c>
      <c r="BB5">
        <v>0.121</v>
      </c>
      <c r="BC5">
        <v>2.7050999999999999E-2</v>
      </c>
      <c r="BD5">
        <v>4.4420000000000002</v>
      </c>
      <c r="BE5">
        <v>0.78500000000000003</v>
      </c>
      <c r="BF5">
        <v>88.03</v>
      </c>
      <c r="BG5">
        <v>0.77</v>
      </c>
      <c r="BH5">
        <v>105</v>
      </c>
      <c r="BI5">
        <v>0.88</v>
      </c>
      <c r="BJ5">
        <v>1.905</v>
      </c>
      <c r="BK5">
        <v>1.907</v>
      </c>
      <c r="BL5">
        <v>1.7500000000000002E-2</v>
      </c>
      <c r="BM5">
        <v>0.85799999999999998</v>
      </c>
      <c r="BN5">
        <v>0.16400000000000001</v>
      </c>
      <c r="BO5">
        <v>0.6</v>
      </c>
      <c r="BP5">
        <v>0.25146400000000002</v>
      </c>
      <c r="BQ5">
        <v>0.145563</v>
      </c>
      <c r="BR5">
        <v>0</v>
      </c>
      <c r="BS5">
        <v>0.30299999999999999</v>
      </c>
      <c r="BT5">
        <v>1.61E-2</v>
      </c>
      <c r="BU5">
        <v>5.8700000000000002E-3</v>
      </c>
      <c r="BV5">
        <v>2.2700000000000001E-2</v>
      </c>
      <c r="BW5">
        <v>7.0000000000000001E-3</v>
      </c>
      <c r="BX5">
        <v>7.0000000000000001E-3</v>
      </c>
      <c r="BY5">
        <v>7.0000000000000007E-2</v>
      </c>
      <c r="BZ5">
        <v>0</v>
      </c>
      <c r="CA5">
        <v>3.78E-2</v>
      </c>
      <c r="CB5">
        <v>0</v>
      </c>
      <c r="CC5">
        <v>4.895E-3</v>
      </c>
      <c r="CD5">
        <v>0</v>
      </c>
      <c r="CE5">
        <v>0.38980300000000001</v>
      </c>
      <c r="CF5">
        <v>0</v>
      </c>
      <c r="CG5">
        <v>1.6E-2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</row>
    <row r="6" spans="1:105" x14ac:dyDescent="0.25">
      <c r="A6" s="1">
        <v>40329</v>
      </c>
      <c r="B6">
        <v>0</v>
      </c>
      <c r="C6">
        <v>17.05</v>
      </c>
      <c r="D6">
        <v>2.08</v>
      </c>
      <c r="E6">
        <v>0.14527000000000001</v>
      </c>
      <c r="F6">
        <v>0.26019999999999999</v>
      </c>
      <c r="G6">
        <v>0.04</v>
      </c>
      <c r="H6">
        <v>0.26600000000000001</v>
      </c>
      <c r="I6">
        <v>0.183</v>
      </c>
      <c r="J6">
        <v>8.3799999999999999E-2</v>
      </c>
      <c r="K6">
        <v>0.11899999999999999</v>
      </c>
      <c r="L6">
        <v>0.5</v>
      </c>
      <c r="M6">
        <v>1.7430000000000001</v>
      </c>
      <c r="N6">
        <v>1.1439999999999999</v>
      </c>
      <c r="O6">
        <v>1.5731999999999999</v>
      </c>
      <c r="P6">
        <v>6.7</v>
      </c>
      <c r="Q6">
        <v>0.14599999999999999</v>
      </c>
      <c r="R6">
        <v>8.7999999999999995E-2</v>
      </c>
      <c r="S6">
        <v>0.946129</v>
      </c>
      <c r="T6">
        <v>0</v>
      </c>
      <c r="U6">
        <v>2E-3</v>
      </c>
      <c r="V6">
        <v>8.0000000000000004E-4</v>
      </c>
      <c r="W6">
        <v>0.1075</v>
      </c>
      <c r="X6">
        <v>2.11</v>
      </c>
      <c r="Y6">
        <v>5.29</v>
      </c>
      <c r="Z6">
        <v>37.590000000000003</v>
      </c>
      <c r="AA6">
        <v>0.93</v>
      </c>
      <c r="AB6">
        <v>9.9000000000000005E-2</v>
      </c>
      <c r="AC6">
        <v>4.3609999999999998</v>
      </c>
      <c r="AD6">
        <v>0.04</v>
      </c>
      <c r="AE6">
        <v>0.19359999999999999</v>
      </c>
      <c r="AF6">
        <v>0.22800000000000001</v>
      </c>
      <c r="AG6">
        <v>0.61099999999999999</v>
      </c>
      <c r="AH6">
        <v>1075.2</v>
      </c>
      <c r="AI6">
        <v>2.7589999999999999</v>
      </c>
      <c r="AJ6">
        <v>1209.5999999999999</v>
      </c>
      <c r="AK6">
        <v>0</v>
      </c>
      <c r="AL6">
        <v>413.7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6.5000000000000002E-2</v>
      </c>
      <c r="AV6">
        <v>0.56000000000000005</v>
      </c>
      <c r="AW6">
        <v>2.7869999999999999</v>
      </c>
      <c r="AX6">
        <v>522.4</v>
      </c>
      <c r="AY6">
        <v>3.6819999999999999</v>
      </c>
      <c r="AZ6">
        <v>0.12725800000000001</v>
      </c>
      <c r="BA6">
        <v>0.52149999999999996</v>
      </c>
      <c r="BB6">
        <v>0.124</v>
      </c>
      <c r="BC6">
        <v>2.6058000000000001E-2</v>
      </c>
      <c r="BD6">
        <v>4.3520000000000003</v>
      </c>
      <c r="BE6">
        <v>1.04</v>
      </c>
      <c r="BF6">
        <v>87.74</v>
      </c>
      <c r="BG6">
        <v>1.06</v>
      </c>
      <c r="BH6">
        <v>0.89</v>
      </c>
      <c r="BI6">
        <v>0.83</v>
      </c>
      <c r="BJ6">
        <v>2.0750000000000002</v>
      </c>
      <c r="BK6">
        <v>1.7370000000000001</v>
      </c>
      <c r="BL6">
        <v>1.8540000000000001E-2</v>
      </c>
      <c r="BM6">
        <v>1.25</v>
      </c>
      <c r="BN6">
        <v>0.14430000000000001</v>
      </c>
      <c r="BO6">
        <v>0.6</v>
      </c>
      <c r="BP6">
        <v>0.244529</v>
      </c>
      <c r="BQ6">
        <v>0.15221499999999999</v>
      </c>
      <c r="BR6">
        <v>0</v>
      </c>
      <c r="BS6">
        <v>0.315</v>
      </c>
      <c r="BT6">
        <v>1.61E-2</v>
      </c>
      <c r="BU6">
        <v>6.829E-3</v>
      </c>
      <c r="BV6">
        <v>2.35E-2</v>
      </c>
      <c r="BW6">
        <v>8.9999999999999993E-3</v>
      </c>
      <c r="BX6">
        <v>8.9999999999999993E-3</v>
      </c>
      <c r="BY6">
        <v>5.8000000000000003E-2</v>
      </c>
      <c r="BZ6">
        <v>0</v>
      </c>
      <c r="CA6">
        <v>2.52E-2</v>
      </c>
      <c r="CB6">
        <v>0</v>
      </c>
      <c r="CC6">
        <v>4.712E-3</v>
      </c>
      <c r="CD6">
        <v>0</v>
      </c>
      <c r="CE6">
        <v>0.38988299999999998</v>
      </c>
      <c r="CF6">
        <v>0</v>
      </c>
      <c r="CG6">
        <v>1.7000000000000001E-2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</row>
    <row r="7" spans="1:105" x14ac:dyDescent="0.25">
      <c r="A7" s="1">
        <v>40359</v>
      </c>
      <c r="B7">
        <v>0</v>
      </c>
      <c r="C7">
        <v>17.116</v>
      </c>
      <c r="D7">
        <v>2.57</v>
      </c>
      <c r="E7">
        <v>0.12393899999999999</v>
      </c>
      <c r="F7">
        <v>0.25059999999999999</v>
      </c>
      <c r="G7">
        <v>3.9E-2</v>
      </c>
      <c r="H7">
        <v>0.30099999999999999</v>
      </c>
      <c r="I7">
        <v>0.18099999999999999</v>
      </c>
      <c r="J7">
        <v>0.1045</v>
      </c>
      <c r="K7">
        <v>0.104</v>
      </c>
      <c r="L7">
        <v>0.6</v>
      </c>
      <c r="M7">
        <v>1.4410000000000001</v>
      </c>
      <c r="N7">
        <v>1.034</v>
      </c>
      <c r="O7">
        <v>1.2583</v>
      </c>
      <c r="P7">
        <v>5.8</v>
      </c>
      <c r="Q7">
        <v>0.17599999999999999</v>
      </c>
      <c r="R7">
        <v>0.11799999999999999</v>
      </c>
      <c r="S7">
        <v>1.0900000000000001</v>
      </c>
      <c r="T7">
        <v>0</v>
      </c>
      <c r="U7">
        <v>4.0000000000000001E-3</v>
      </c>
      <c r="V7">
        <v>2.3999999999999998E-3</v>
      </c>
      <c r="W7">
        <v>0.1016</v>
      </c>
      <c r="X7">
        <v>1.63</v>
      </c>
      <c r="Y7">
        <v>5.1100000000000003</v>
      </c>
      <c r="Z7">
        <v>34.729999999999997</v>
      </c>
      <c r="AA7">
        <v>0.61</v>
      </c>
      <c r="AB7">
        <v>0.10100000000000001</v>
      </c>
      <c r="AC7">
        <v>4.1470000000000002</v>
      </c>
      <c r="AD7">
        <v>6.2E-2</v>
      </c>
      <c r="AE7">
        <v>0.20119999999999999</v>
      </c>
      <c r="AF7">
        <v>0.20899999999999999</v>
      </c>
      <c r="AG7">
        <v>0.62</v>
      </c>
      <c r="AH7">
        <v>1176.2</v>
      </c>
      <c r="AI7">
        <v>2.8959999999999999</v>
      </c>
      <c r="AJ7">
        <v>1209.5999999999999</v>
      </c>
      <c r="AK7">
        <v>0</v>
      </c>
      <c r="AL7">
        <v>502.9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7.1999999999999995E-2</v>
      </c>
      <c r="AV7">
        <v>2.1150000000000002</v>
      </c>
      <c r="AW7">
        <v>3.1520000000000001</v>
      </c>
      <c r="AX7">
        <v>537.12</v>
      </c>
      <c r="AY7">
        <v>3.726</v>
      </c>
      <c r="AZ7">
        <v>0.12973299999999999</v>
      </c>
      <c r="BA7">
        <v>0.58420000000000005</v>
      </c>
      <c r="BB7">
        <v>0.11799999999999999</v>
      </c>
      <c r="BC7">
        <v>1.3259999999999999E-2</v>
      </c>
      <c r="BD7">
        <v>4.2569999999999997</v>
      </c>
      <c r="BE7">
        <v>5.74</v>
      </c>
      <c r="BF7">
        <v>79.41</v>
      </c>
      <c r="BG7">
        <v>2.77</v>
      </c>
      <c r="BH7">
        <v>0.74</v>
      </c>
      <c r="BI7">
        <v>0.83</v>
      </c>
      <c r="BJ7">
        <v>2.0830000000000002</v>
      </c>
      <c r="BK7">
        <v>1.6120000000000001</v>
      </c>
      <c r="BL7">
        <v>1.8200000000000001E-2</v>
      </c>
      <c r="BM7">
        <v>1.44</v>
      </c>
      <c r="BN7">
        <v>9.6000000000000002E-2</v>
      </c>
      <c r="BO7">
        <v>0.6</v>
      </c>
      <c r="BP7">
        <v>0.337561</v>
      </c>
      <c r="BQ7">
        <v>0.14612800000000001</v>
      </c>
      <c r="BR7">
        <v>0</v>
      </c>
      <c r="BS7">
        <v>0.33</v>
      </c>
      <c r="BT7">
        <v>1.5699999999999999E-2</v>
      </c>
      <c r="BU7">
        <v>7.4840000000000002E-3</v>
      </c>
      <c r="BV7">
        <v>2.205E-2</v>
      </c>
      <c r="BW7">
        <v>1.0999999999999999E-2</v>
      </c>
      <c r="BX7">
        <v>1.0999999999999999E-2</v>
      </c>
      <c r="BY7">
        <v>7.2999999999999995E-2</v>
      </c>
      <c r="BZ7">
        <v>0</v>
      </c>
      <c r="CA7">
        <v>2.6200000000000001E-2</v>
      </c>
      <c r="CB7">
        <v>0</v>
      </c>
      <c r="CC7">
        <v>5.2399999999999999E-3</v>
      </c>
      <c r="CD7">
        <v>0</v>
      </c>
      <c r="CE7">
        <v>0.41215800000000002</v>
      </c>
      <c r="CF7">
        <v>0</v>
      </c>
      <c r="CG7">
        <v>1.2999999999999999E-2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</row>
    <row r="8" spans="1:105" x14ac:dyDescent="0.25">
      <c r="A8" s="1">
        <v>40390</v>
      </c>
      <c r="B8">
        <v>0</v>
      </c>
      <c r="C8">
        <v>17.044</v>
      </c>
      <c r="D8">
        <v>2.93</v>
      </c>
      <c r="E8">
        <v>0.13366600000000001</v>
      </c>
      <c r="F8">
        <v>0.32916000000000001</v>
      </c>
      <c r="G8">
        <v>3.9E-2</v>
      </c>
      <c r="H8">
        <v>0.26500000000000001</v>
      </c>
      <c r="I8">
        <v>0.20399999999999999</v>
      </c>
      <c r="J8">
        <v>9.5399999999999999E-2</v>
      </c>
      <c r="K8">
        <v>0.128</v>
      </c>
      <c r="L8">
        <v>0.5</v>
      </c>
      <c r="M8">
        <v>1.5329999999999999</v>
      </c>
      <c r="N8">
        <v>1.181</v>
      </c>
      <c r="O8">
        <v>1.1068</v>
      </c>
      <c r="P8">
        <v>7.2</v>
      </c>
      <c r="Q8">
        <v>0.158</v>
      </c>
      <c r="R8">
        <v>0.129</v>
      </c>
      <c r="S8">
        <v>1.07</v>
      </c>
      <c r="T8">
        <v>1.325</v>
      </c>
      <c r="U8">
        <v>2E-3</v>
      </c>
      <c r="V8">
        <v>2E-3</v>
      </c>
      <c r="W8">
        <v>8.1299999999999997E-2</v>
      </c>
      <c r="X8">
        <v>1.78</v>
      </c>
      <c r="Y8">
        <v>4.7699999999999996</v>
      </c>
      <c r="Z8">
        <v>33.6</v>
      </c>
      <c r="AA8">
        <v>2.4900000000000002</v>
      </c>
      <c r="AB8">
        <v>0.10199999999999999</v>
      </c>
      <c r="AC8">
        <v>4.1040000000000001</v>
      </c>
      <c r="AD8">
        <v>5.2999999999999999E-2</v>
      </c>
      <c r="AE8">
        <v>0.20879999999999999</v>
      </c>
      <c r="AF8">
        <v>0.16</v>
      </c>
      <c r="AG8">
        <v>0.66500000000000004</v>
      </c>
      <c r="AH8">
        <v>1164.5999999999999</v>
      </c>
      <c r="AI8">
        <v>4.6639999999999997</v>
      </c>
      <c r="AJ8">
        <v>1209.5999999999999</v>
      </c>
      <c r="AK8">
        <v>0</v>
      </c>
      <c r="AL8">
        <v>463.2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8.5000000000000006E-2</v>
      </c>
      <c r="AV8">
        <v>3.6700000000000004</v>
      </c>
      <c r="AW8">
        <v>2.927</v>
      </c>
      <c r="AX8">
        <v>537.86</v>
      </c>
      <c r="AY8">
        <v>3.77</v>
      </c>
      <c r="AZ8">
        <v>0.13983799999999999</v>
      </c>
      <c r="BA8">
        <v>0.48320000000000002</v>
      </c>
      <c r="BB8">
        <v>0.12</v>
      </c>
      <c r="BC8">
        <v>6.8669999999999998E-3</v>
      </c>
      <c r="BD8">
        <v>4.3170000000000002</v>
      </c>
      <c r="BE8">
        <v>7.16</v>
      </c>
      <c r="BF8">
        <v>75.510000000000005</v>
      </c>
      <c r="BG8">
        <v>3.82</v>
      </c>
      <c r="BH8">
        <v>0.82</v>
      </c>
      <c r="BI8">
        <v>1.19</v>
      </c>
      <c r="BJ8">
        <v>2.1629999999999998</v>
      </c>
      <c r="BK8">
        <v>1.54</v>
      </c>
      <c r="BL8">
        <v>1.8800000000000001E-2</v>
      </c>
      <c r="BM8">
        <v>1.51</v>
      </c>
      <c r="BN8">
        <v>0.10796600000000001</v>
      </c>
      <c r="BO8">
        <v>0.6</v>
      </c>
      <c r="BP8">
        <v>0.28631600000000001</v>
      </c>
      <c r="BQ8">
        <v>0.13708500000000001</v>
      </c>
      <c r="BR8">
        <v>0</v>
      </c>
      <c r="BS8">
        <v>0.34899999999999998</v>
      </c>
      <c r="BT8">
        <v>1.5699999999999999E-2</v>
      </c>
      <c r="BU8">
        <v>1.2803999999999999E-2</v>
      </c>
      <c r="BV8">
        <v>2.3709999999999998E-2</v>
      </c>
      <c r="BW8">
        <v>1.4999999999999999E-2</v>
      </c>
      <c r="BX8">
        <v>1.4999999999999999E-2</v>
      </c>
      <c r="BY8">
        <v>8.1000000000000003E-2</v>
      </c>
      <c r="BZ8">
        <v>0</v>
      </c>
      <c r="CA8">
        <v>2.725E-2</v>
      </c>
      <c r="CB8">
        <v>0</v>
      </c>
      <c r="CC8">
        <v>4.679E-3</v>
      </c>
      <c r="CD8">
        <v>0</v>
      </c>
      <c r="CE8">
        <v>0.44336500000000001</v>
      </c>
      <c r="CF8">
        <v>0</v>
      </c>
      <c r="CG8">
        <v>1.7000000000000001E-2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</row>
    <row r="9" spans="1:105" x14ac:dyDescent="0.25">
      <c r="A9" s="1">
        <v>40421</v>
      </c>
      <c r="B9">
        <v>0</v>
      </c>
      <c r="C9">
        <v>17.126999999999999</v>
      </c>
      <c r="D9">
        <v>3.55</v>
      </c>
      <c r="E9">
        <v>0.12622900000000001</v>
      </c>
      <c r="F9">
        <v>0.251</v>
      </c>
      <c r="G9">
        <v>2.9000000000000001E-2</v>
      </c>
      <c r="H9">
        <v>0.22500000000000001</v>
      </c>
      <c r="I9">
        <v>0.191</v>
      </c>
      <c r="J9">
        <v>6.4500000000000002E-2</v>
      </c>
      <c r="K9">
        <v>0.10299999999999999</v>
      </c>
      <c r="L9">
        <v>0.5</v>
      </c>
      <c r="M9">
        <v>1.2010000000000001</v>
      </c>
      <c r="N9">
        <v>1.038</v>
      </c>
      <c r="O9">
        <v>1.0028999999999999</v>
      </c>
      <c r="P9">
        <v>5.3</v>
      </c>
      <c r="Q9">
        <v>0.14499999999999999</v>
      </c>
      <c r="R9">
        <v>0.106</v>
      </c>
      <c r="S9">
        <v>0.91548399999999996</v>
      </c>
      <c r="T9">
        <v>1.2729999999999999</v>
      </c>
      <c r="U9">
        <v>1E-3</v>
      </c>
      <c r="V9">
        <v>2.3E-3</v>
      </c>
      <c r="W9">
        <v>7.7600000000000002E-2</v>
      </c>
      <c r="X9">
        <v>0.81</v>
      </c>
      <c r="Y9">
        <v>4.43</v>
      </c>
      <c r="Z9">
        <v>29.12</v>
      </c>
      <c r="AA9">
        <v>4</v>
      </c>
      <c r="AB9">
        <v>9.2999999999999999E-2</v>
      </c>
      <c r="AC9">
        <v>3.8109999999999999</v>
      </c>
      <c r="AD9">
        <v>0.02</v>
      </c>
      <c r="AE9">
        <v>0.21640000000000001</v>
      </c>
      <c r="AF9">
        <v>0.153</v>
      </c>
      <c r="AG9">
        <v>0.61109999999999998</v>
      </c>
      <c r="AH9">
        <v>1086.1300000000001</v>
      </c>
      <c r="AI9">
        <v>2.6459999999999999</v>
      </c>
      <c r="AJ9">
        <v>1209.5999999999999</v>
      </c>
      <c r="AK9">
        <v>0</v>
      </c>
      <c r="AL9">
        <v>694.4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9.5000000000000001E-2</v>
      </c>
      <c r="AV9">
        <v>5.2250000000000014</v>
      </c>
      <c r="AW9">
        <v>2.633</v>
      </c>
      <c r="AX9">
        <v>516.61</v>
      </c>
      <c r="AY9">
        <v>3.8140000000000001</v>
      </c>
      <c r="AZ9">
        <v>0.11203200000000001</v>
      </c>
      <c r="BA9">
        <v>0.41410000000000002</v>
      </c>
      <c r="BB9">
        <v>0.124</v>
      </c>
      <c r="BC9">
        <v>1.187E-2</v>
      </c>
      <c r="BD9">
        <v>3.2160000000000002</v>
      </c>
      <c r="BE9">
        <v>8.58</v>
      </c>
      <c r="BF9">
        <v>67.97</v>
      </c>
      <c r="BG9">
        <v>3.21</v>
      </c>
      <c r="BH9">
        <v>0.47</v>
      </c>
      <c r="BI9">
        <v>0.93</v>
      </c>
      <c r="BJ9">
        <v>1.9970000000000001</v>
      </c>
      <c r="BK9">
        <v>1.3979999999999999</v>
      </c>
      <c r="BL9">
        <v>1.72E-2</v>
      </c>
      <c r="BM9">
        <v>1.41</v>
      </c>
      <c r="BN9">
        <v>6.8069000000000005E-2</v>
      </c>
      <c r="BO9">
        <v>0.5</v>
      </c>
      <c r="BP9">
        <v>0.313641</v>
      </c>
      <c r="BQ9">
        <v>0.180451</v>
      </c>
      <c r="BR9">
        <v>0</v>
      </c>
      <c r="BS9">
        <v>0.32500000000000001</v>
      </c>
      <c r="BT9">
        <v>1.5599999999999999E-2</v>
      </c>
      <c r="BU9">
        <v>7.2989999999999999E-3</v>
      </c>
      <c r="BV9">
        <v>2.1729999999999999E-2</v>
      </c>
      <c r="BW9">
        <v>0.01</v>
      </c>
      <c r="BX9">
        <v>0.01</v>
      </c>
      <c r="BY9">
        <v>9.6000000000000002E-2</v>
      </c>
      <c r="BZ9">
        <v>0</v>
      </c>
      <c r="CA9">
        <v>2.52E-2</v>
      </c>
      <c r="CB9">
        <v>0</v>
      </c>
      <c r="CC9">
        <v>5.0299999999999997E-3</v>
      </c>
      <c r="CD9">
        <v>0</v>
      </c>
      <c r="CE9">
        <v>0.37285699999999999</v>
      </c>
      <c r="CF9">
        <v>0</v>
      </c>
      <c r="CG9">
        <v>1.4E-2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</row>
    <row r="10" spans="1:105" x14ac:dyDescent="0.25">
      <c r="A10" s="1">
        <v>40451</v>
      </c>
      <c r="B10">
        <v>0</v>
      </c>
      <c r="C10">
        <v>2.57</v>
      </c>
      <c r="D10">
        <v>1.29</v>
      </c>
      <c r="E10">
        <v>0.17554400000000001</v>
      </c>
      <c r="F10">
        <v>0.38190000000000002</v>
      </c>
      <c r="G10">
        <v>4.1000000000000002E-2</v>
      </c>
      <c r="H10">
        <v>0.23599999999999999</v>
      </c>
      <c r="I10">
        <v>0.20699999999999999</v>
      </c>
      <c r="J10">
        <v>0.11310000000000001</v>
      </c>
      <c r="K10">
        <v>0.13900000000000001</v>
      </c>
      <c r="L10">
        <v>0.5</v>
      </c>
      <c r="M10">
        <v>1.792</v>
      </c>
      <c r="N10">
        <v>1.3120000000000001</v>
      </c>
      <c r="O10">
        <v>1.3001</v>
      </c>
      <c r="P10">
        <v>9.3000000000000007</v>
      </c>
      <c r="Q10">
        <v>0.158</v>
      </c>
      <c r="R10">
        <v>9.1999999999999998E-2</v>
      </c>
      <c r="S10">
        <v>1.1479999999999999</v>
      </c>
      <c r="T10">
        <v>1.4159999999999999</v>
      </c>
      <c r="U10">
        <v>5.0000000000000001E-3</v>
      </c>
      <c r="V10">
        <v>1.5E-3</v>
      </c>
      <c r="W10">
        <v>8.6099999999999996E-2</v>
      </c>
      <c r="X10">
        <v>1.89</v>
      </c>
      <c r="Y10">
        <v>5.4989999999999997</v>
      </c>
      <c r="Z10">
        <v>36.729999999999997</v>
      </c>
      <c r="AA10">
        <v>3.69</v>
      </c>
      <c r="AB10">
        <v>0.12</v>
      </c>
      <c r="AC10">
        <v>4.8479999999999999</v>
      </c>
      <c r="AD10">
        <v>0.08</v>
      </c>
      <c r="AE10">
        <v>0.224</v>
      </c>
      <c r="AF10">
        <v>0.16300000000000001</v>
      </c>
      <c r="AG10">
        <v>0.67</v>
      </c>
      <c r="AH10">
        <v>1157.6400000000001</v>
      </c>
      <c r="AI10">
        <v>1.454</v>
      </c>
      <c r="AJ10">
        <v>748.8</v>
      </c>
      <c r="AK10">
        <v>0</v>
      </c>
      <c r="AL10">
        <v>422.1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0.113</v>
      </c>
      <c r="AV10">
        <v>6.78</v>
      </c>
      <c r="AW10">
        <v>2.7930000000000001</v>
      </c>
      <c r="AX10">
        <v>540.86</v>
      </c>
      <c r="AY10">
        <v>3.8580000000000001</v>
      </c>
      <c r="AZ10">
        <v>0.1384</v>
      </c>
      <c r="BA10">
        <v>0.5091</v>
      </c>
      <c r="BB10">
        <v>0.13100000000000001</v>
      </c>
      <c r="BC10">
        <v>2.4369999999999999E-2</v>
      </c>
      <c r="BD10">
        <v>5.0090000000000003</v>
      </c>
      <c r="BE10">
        <v>10</v>
      </c>
      <c r="BF10">
        <v>92.32</v>
      </c>
      <c r="BG10">
        <v>3.25</v>
      </c>
      <c r="BH10">
        <v>0.53</v>
      </c>
      <c r="BI10">
        <v>0.73</v>
      </c>
      <c r="BJ10">
        <v>2.044</v>
      </c>
      <c r="BK10">
        <v>2.0880000000000001</v>
      </c>
      <c r="BL10">
        <v>1.84E-2</v>
      </c>
      <c r="BM10">
        <v>1.46</v>
      </c>
      <c r="BN10">
        <v>0.14360000000000001</v>
      </c>
      <c r="BO10">
        <v>0.6</v>
      </c>
      <c r="BP10">
        <v>0.30543599999999999</v>
      </c>
      <c r="BQ10">
        <v>0.18096300000000001</v>
      </c>
      <c r="BR10">
        <v>0</v>
      </c>
      <c r="BS10">
        <v>0.318</v>
      </c>
      <c r="BT10">
        <v>1.6299999999999999E-2</v>
      </c>
      <c r="BU10">
        <v>2.2846000000000002E-2</v>
      </c>
      <c r="BV10">
        <v>2.1819999999999999E-2</v>
      </c>
      <c r="BW10">
        <v>1.4E-2</v>
      </c>
      <c r="BX10">
        <v>1.4E-2</v>
      </c>
      <c r="BY10">
        <v>9.5000000000000001E-2</v>
      </c>
      <c r="BZ10">
        <v>0</v>
      </c>
      <c r="CA10">
        <v>2.7E-2</v>
      </c>
      <c r="CB10">
        <v>0</v>
      </c>
      <c r="CC10">
        <v>5.8900000000000003E-3</v>
      </c>
      <c r="CD10">
        <v>0</v>
      </c>
      <c r="CE10">
        <v>0.41596899999999998</v>
      </c>
      <c r="CF10">
        <v>0</v>
      </c>
      <c r="CG10">
        <v>1.7000000000000001E-2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</row>
    <row r="11" spans="1:105" x14ac:dyDescent="0.25">
      <c r="A11" s="1">
        <v>40482</v>
      </c>
      <c r="B11">
        <v>0</v>
      </c>
      <c r="C11">
        <v>6.5000000000000002E-2</v>
      </c>
      <c r="D11">
        <v>2.77</v>
      </c>
      <c r="E11">
        <v>0.13381699999999999</v>
      </c>
      <c r="F11">
        <v>0.238064</v>
      </c>
      <c r="G11">
        <v>4.4999999999999998E-2</v>
      </c>
      <c r="H11">
        <v>0.24299999999999999</v>
      </c>
      <c r="I11">
        <v>0.17599999999999999</v>
      </c>
      <c r="J11">
        <v>6.2300000000000001E-2</v>
      </c>
      <c r="K11">
        <v>0.11700000000000001</v>
      </c>
      <c r="L11">
        <v>0.5</v>
      </c>
      <c r="M11">
        <v>1.454</v>
      </c>
      <c r="N11">
        <v>1.028</v>
      </c>
      <c r="O11">
        <v>1.02</v>
      </c>
      <c r="P11">
        <v>5</v>
      </c>
      <c r="Q11">
        <v>0.14199999999999999</v>
      </c>
      <c r="R11">
        <v>7.3999999999999996E-2</v>
      </c>
      <c r="S11">
        <v>0.81599999999999995</v>
      </c>
      <c r="T11">
        <v>1.0980000000000001</v>
      </c>
      <c r="U11">
        <v>8.0000000000000004E-4</v>
      </c>
      <c r="V11">
        <v>1.9E-3</v>
      </c>
      <c r="W11">
        <v>8.2299999999999998E-2</v>
      </c>
      <c r="X11">
        <v>1.42</v>
      </c>
      <c r="Y11">
        <v>4.67</v>
      </c>
      <c r="Z11">
        <v>31.6</v>
      </c>
      <c r="AA11">
        <v>0.31</v>
      </c>
      <c r="AB11">
        <v>9.8000000000000004E-2</v>
      </c>
      <c r="AC11">
        <v>3.758</v>
      </c>
      <c r="AD11">
        <v>0.02</v>
      </c>
      <c r="AE11">
        <v>0.107</v>
      </c>
      <c r="AF11">
        <v>0.16300000000000001</v>
      </c>
      <c r="AG11">
        <v>0.59379999999999999</v>
      </c>
      <c r="AH11">
        <v>914.66</v>
      </c>
      <c r="AI11">
        <v>1.6890000000000001</v>
      </c>
      <c r="AJ11">
        <v>518.4</v>
      </c>
      <c r="AK11">
        <v>0</v>
      </c>
      <c r="AL11">
        <v>145.9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0.09</v>
      </c>
      <c r="AV11">
        <v>0.44</v>
      </c>
      <c r="AW11">
        <v>2.4950000000000001</v>
      </c>
      <c r="AX11">
        <v>537.12</v>
      </c>
      <c r="AY11">
        <v>3.9020000000000001</v>
      </c>
      <c r="AZ11">
        <v>0.104322</v>
      </c>
      <c r="BA11">
        <v>0.4496</v>
      </c>
      <c r="BB11">
        <v>0.11899999999999999</v>
      </c>
      <c r="BC11">
        <v>1.5006E-2</v>
      </c>
      <c r="BD11">
        <v>3.722</v>
      </c>
      <c r="BE11">
        <v>9.3813750000000002</v>
      </c>
      <c r="BF11">
        <v>70.459999999999994</v>
      </c>
      <c r="BG11">
        <v>3.74</v>
      </c>
      <c r="BH11">
        <v>0.55000000000000004</v>
      </c>
      <c r="BI11">
        <v>0.96</v>
      </c>
      <c r="BJ11">
        <v>1.772</v>
      </c>
      <c r="BK11">
        <v>1.4370000000000001</v>
      </c>
      <c r="BL11">
        <v>1.7399999999999999E-2</v>
      </c>
      <c r="BM11">
        <v>0.76</v>
      </c>
      <c r="BN11">
        <v>8.9172000000000001E-2</v>
      </c>
      <c r="BO11">
        <v>0.5</v>
      </c>
      <c r="BP11">
        <v>0.32564799999999999</v>
      </c>
      <c r="BQ11">
        <v>9.7960000000000005E-2</v>
      </c>
      <c r="BR11">
        <v>0</v>
      </c>
      <c r="BS11">
        <v>0.37</v>
      </c>
      <c r="BT11">
        <v>1.52E-2</v>
      </c>
      <c r="BU11">
        <v>7.1219999999999999E-3</v>
      </c>
      <c r="BV11">
        <v>2.4320000000000001E-2</v>
      </c>
      <c r="BW11">
        <v>1.6E-2</v>
      </c>
      <c r="BX11">
        <v>1.6E-2</v>
      </c>
      <c r="BY11">
        <v>8.5000000000000006E-2</v>
      </c>
      <c r="BZ11">
        <v>0</v>
      </c>
      <c r="CA11">
        <v>3.15E-2</v>
      </c>
      <c r="CB11">
        <v>0</v>
      </c>
      <c r="CC11">
        <v>5.5469999999999998E-3</v>
      </c>
      <c r="CD11">
        <v>0</v>
      </c>
      <c r="CE11">
        <v>0.43084</v>
      </c>
      <c r="CF11">
        <v>0</v>
      </c>
      <c r="CG11">
        <v>1.2E-2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</row>
    <row r="12" spans="1:105" x14ac:dyDescent="0.25">
      <c r="A12" s="1">
        <v>40512</v>
      </c>
      <c r="B12">
        <v>0</v>
      </c>
      <c r="C12">
        <v>2.5999999999999999E-2</v>
      </c>
      <c r="D12">
        <v>2.64</v>
      </c>
      <c r="E12">
        <v>0.13306599999999999</v>
      </c>
      <c r="F12">
        <v>0.20369999999999999</v>
      </c>
      <c r="G12">
        <v>0.05</v>
      </c>
      <c r="H12">
        <v>0.27100000000000002</v>
      </c>
      <c r="I12">
        <v>0.18099999999999999</v>
      </c>
      <c r="J12">
        <v>7.5399999999999995E-2</v>
      </c>
      <c r="K12">
        <v>0.106</v>
      </c>
      <c r="L12">
        <v>0.5</v>
      </c>
      <c r="M12">
        <v>1.4079999999999999</v>
      </c>
      <c r="N12">
        <v>1.0509999999999999</v>
      </c>
      <c r="O12">
        <v>0.98470000000000002</v>
      </c>
      <c r="P12">
        <v>4.9000000000000004</v>
      </c>
      <c r="Q12">
        <v>0.13800000000000001</v>
      </c>
      <c r="R12">
        <v>7.6999999999999999E-2</v>
      </c>
      <c r="S12">
        <v>0.98199999999999998</v>
      </c>
      <c r="T12">
        <v>1.046</v>
      </c>
      <c r="U12">
        <v>1E-3</v>
      </c>
      <c r="V12">
        <v>1.6000000000000001E-3</v>
      </c>
      <c r="W12">
        <v>7.4399999999999994E-2</v>
      </c>
      <c r="X12">
        <v>1.37</v>
      </c>
      <c r="Y12">
        <v>4.58</v>
      </c>
      <c r="Z12">
        <v>31.15</v>
      </c>
      <c r="AA12">
        <v>0.47</v>
      </c>
      <c r="AB12">
        <v>9.4E-2</v>
      </c>
      <c r="AC12">
        <v>3.6219999999999999</v>
      </c>
      <c r="AD12">
        <v>0.03</v>
      </c>
      <c r="AE12">
        <v>0.10852727272727272</v>
      </c>
      <c r="AF12">
        <v>8.5000000000000006E-2</v>
      </c>
      <c r="AG12">
        <v>0.60260000000000002</v>
      </c>
      <c r="AH12">
        <v>879</v>
      </c>
      <c r="AI12">
        <v>1.486</v>
      </c>
      <c r="AJ12">
        <v>518.4</v>
      </c>
      <c r="AK12">
        <v>0</v>
      </c>
      <c r="AL12">
        <v>224.3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7.4999999999999997E-2</v>
      </c>
      <c r="AV12">
        <v>0.49125000000000002</v>
      </c>
      <c r="AW12">
        <v>2.464</v>
      </c>
      <c r="AX12">
        <v>397.08</v>
      </c>
      <c r="AY12">
        <v>3.9460000000000002</v>
      </c>
      <c r="AZ12">
        <v>0.11086600000000001</v>
      </c>
      <c r="BA12">
        <v>0.504</v>
      </c>
      <c r="BB12">
        <v>0.11600000000000001</v>
      </c>
      <c r="BC12">
        <v>1.3826E-2</v>
      </c>
      <c r="BD12">
        <v>2.9140000000000001</v>
      </c>
      <c r="BE12">
        <v>8.7627500000000005</v>
      </c>
      <c r="BF12">
        <v>70.44</v>
      </c>
      <c r="BG12">
        <v>2.0499999999999998</v>
      </c>
      <c r="BH12">
        <v>0.56999999999999995</v>
      </c>
      <c r="BI12">
        <v>0.53</v>
      </c>
      <c r="BJ12">
        <v>1.802</v>
      </c>
      <c r="BK12">
        <v>1.423</v>
      </c>
      <c r="BL12">
        <v>1.7999999999999999E-2</v>
      </c>
      <c r="BM12">
        <v>0.63</v>
      </c>
      <c r="BN12">
        <v>9.4100000000000003E-2</v>
      </c>
      <c r="BO12">
        <v>0.5</v>
      </c>
      <c r="BP12">
        <v>0.264708</v>
      </c>
      <c r="BQ12">
        <v>9.8700999999999997E-2</v>
      </c>
      <c r="BR12">
        <v>0</v>
      </c>
      <c r="BS12">
        <v>0.35199999999999998</v>
      </c>
      <c r="BT12">
        <v>1.6299999999999999E-2</v>
      </c>
      <c r="BU12">
        <v>6.9309999999999997E-3</v>
      </c>
      <c r="BV12">
        <v>2.333E-2</v>
      </c>
      <c r="BW12">
        <v>3.1E-2</v>
      </c>
      <c r="BX12">
        <v>3.1E-2</v>
      </c>
      <c r="BY12">
        <v>0.13800000000000001</v>
      </c>
      <c r="BZ12">
        <v>0</v>
      </c>
      <c r="CA12">
        <v>2.6599999999999999E-2</v>
      </c>
      <c r="CB12">
        <v>0</v>
      </c>
      <c r="CC12">
        <v>4.6410000000000002E-3</v>
      </c>
      <c r="CD12">
        <v>0</v>
      </c>
      <c r="CE12">
        <v>0.27603800000000001</v>
      </c>
      <c r="CF12">
        <v>0</v>
      </c>
      <c r="CG12">
        <v>1.2E-2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</row>
    <row r="13" spans="1:105" x14ac:dyDescent="0.25">
      <c r="A13" s="1">
        <v>40543</v>
      </c>
      <c r="B13">
        <v>0</v>
      </c>
      <c r="C13">
        <v>4.1000000000000002E-2</v>
      </c>
      <c r="D13">
        <v>2.52</v>
      </c>
      <c r="E13">
        <v>0.12767899999999999</v>
      </c>
      <c r="F13">
        <v>0.1857</v>
      </c>
      <c r="G13">
        <v>4.9000000000000002E-2</v>
      </c>
      <c r="H13">
        <v>0.26</v>
      </c>
      <c r="I13">
        <v>0.17299999999999999</v>
      </c>
      <c r="J13">
        <v>9.6000000000000002E-2</v>
      </c>
      <c r="K13">
        <v>8.8999999999999996E-2</v>
      </c>
      <c r="L13">
        <v>0.05</v>
      </c>
      <c r="M13">
        <v>1.401</v>
      </c>
      <c r="N13">
        <v>1.014</v>
      </c>
      <c r="O13">
        <v>0.98519999999999996</v>
      </c>
      <c r="P13">
        <v>4.7</v>
      </c>
      <c r="Q13">
        <v>0.14499999999999999</v>
      </c>
      <c r="R13">
        <v>7.8E-2</v>
      </c>
      <c r="S13">
        <v>1.177</v>
      </c>
      <c r="T13">
        <v>1.014</v>
      </c>
      <c r="U13">
        <v>1E-3</v>
      </c>
      <c r="V13">
        <v>5.9999999999999995E-4</v>
      </c>
      <c r="W13">
        <v>8.4099999999999994E-2</v>
      </c>
      <c r="X13">
        <v>1.6</v>
      </c>
      <c r="Y13">
        <v>4.21</v>
      </c>
      <c r="Z13">
        <v>31.19</v>
      </c>
      <c r="AA13">
        <v>0.42</v>
      </c>
      <c r="AB13">
        <v>9.0999999999999998E-2</v>
      </c>
      <c r="AC13">
        <v>3.633</v>
      </c>
      <c r="AD13">
        <v>3.7999999999999999E-2</v>
      </c>
      <c r="AE13">
        <v>0.11005454545454545</v>
      </c>
      <c r="AF13">
        <v>0.126</v>
      </c>
      <c r="AG13">
        <v>0.54869999999999997</v>
      </c>
      <c r="AH13">
        <v>875.12</v>
      </c>
      <c r="AI13">
        <v>0.91900000000000004</v>
      </c>
      <c r="AJ13">
        <v>953.19</v>
      </c>
      <c r="AK13">
        <v>0</v>
      </c>
      <c r="AL13">
        <v>297.7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6.7000000000000004E-2</v>
      </c>
      <c r="AV13">
        <v>0.54249999999999998</v>
      </c>
      <c r="AW13">
        <v>2.59</v>
      </c>
      <c r="AX13">
        <v>251.52</v>
      </c>
      <c r="AY13">
        <v>3.99</v>
      </c>
      <c r="AZ13">
        <v>0.10519299999999999</v>
      </c>
      <c r="BA13">
        <v>0.49580000000000002</v>
      </c>
      <c r="BB13">
        <v>0.109</v>
      </c>
      <c r="BC13">
        <v>1.2031999999999999E-2</v>
      </c>
      <c r="BD13">
        <v>3.7240000000000002</v>
      </c>
      <c r="BE13">
        <v>8.1441250000000007</v>
      </c>
      <c r="BF13">
        <v>65.67</v>
      </c>
      <c r="BG13">
        <v>3.15</v>
      </c>
      <c r="BH13">
        <v>0.62</v>
      </c>
      <c r="BI13">
        <v>0.26</v>
      </c>
      <c r="BJ13">
        <v>1.96</v>
      </c>
      <c r="BK13">
        <v>1.41</v>
      </c>
      <c r="BL13">
        <v>1.8599999999999998E-2</v>
      </c>
      <c r="BM13">
        <v>0.59</v>
      </c>
      <c r="BN13">
        <v>9.5829999999999999E-2</v>
      </c>
      <c r="BO13">
        <v>0.5</v>
      </c>
      <c r="BP13">
        <v>0.25487700000000002</v>
      </c>
      <c r="BQ13">
        <v>9.6415000000000001E-2</v>
      </c>
      <c r="BR13">
        <v>0</v>
      </c>
      <c r="BS13">
        <v>0.34599999999999997</v>
      </c>
      <c r="BT13">
        <v>1.61E-2</v>
      </c>
      <c r="BU13">
        <v>6.6059999999999999E-3</v>
      </c>
      <c r="BV13">
        <v>2.0250000000000001E-2</v>
      </c>
      <c r="BW13">
        <v>2.9700000000000001E-2</v>
      </c>
      <c r="BX13">
        <v>2.9700000000000001E-2</v>
      </c>
      <c r="BY13">
        <v>0.11</v>
      </c>
      <c r="BZ13">
        <v>0</v>
      </c>
      <c r="CA13">
        <v>1.77E-2</v>
      </c>
      <c r="CB13">
        <v>0</v>
      </c>
      <c r="CC13">
        <v>3.8960000000000002E-3</v>
      </c>
      <c r="CD13">
        <v>0</v>
      </c>
      <c r="CE13">
        <v>0.29352800000000001</v>
      </c>
      <c r="CF13">
        <v>0</v>
      </c>
      <c r="CG13">
        <v>1.7999999999999999E-2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</row>
    <row r="14" spans="1:105" x14ac:dyDescent="0.25">
      <c r="A14" s="1">
        <v>40574</v>
      </c>
      <c r="B14">
        <v>0</v>
      </c>
      <c r="C14">
        <v>8.0790000000000006</v>
      </c>
      <c r="D14">
        <v>2.54</v>
      </c>
      <c r="E14">
        <v>0.14499500000000001</v>
      </c>
      <c r="F14">
        <v>0.209064</v>
      </c>
      <c r="G14">
        <v>6.5000000000000002E-2</v>
      </c>
      <c r="H14">
        <v>0.29299999999999998</v>
      </c>
      <c r="I14">
        <v>0.183</v>
      </c>
      <c r="J14">
        <v>0.1137</v>
      </c>
      <c r="K14">
        <v>9.4E-2</v>
      </c>
      <c r="L14">
        <v>0.5</v>
      </c>
      <c r="M14">
        <v>1.591</v>
      </c>
      <c r="N14">
        <v>1.137</v>
      </c>
      <c r="O14">
        <v>0.95140000000000002</v>
      </c>
      <c r="P14">
        <v>5.0999999999999996</v>
      </c>
      <c r="Q14">
        <v>0.16500000000000001</v>
      </c>
      <c r="R14">
        <v>8.2000000000000003E-2</v>
      </c>
      <c r="S14">
        <v>1.0900000000000001</v>
      </c>
      <c r="T14">
        <v>1.1299999999999999</v>
      </c>
      <c r="U14">
        <v>2E-3</v>
      </c>
      <c r="V14">
        <v>5.0000000000000001E-4</v>
      </c>
      <c r="W14">
        <v>7.9899999999999999E-2</v>
      </c>
      <c r="X14">
        <v>1.75</v>
      </c>
      <c r="Y14">
        <v>4.6900000000000004</v>
      </c>
      <c r="Z14">
        <v>33.4</v>
      </c>
      <c r="AA14">
        <v>1.7</v>
      </c>
      <c r="AB14">
        <v>0.105</v>
      </c>
      <c r="AC14">
        <v>4.0819999999999999</v>
      </c>
      <c r="AD14">
        <v>0.09</v>
      </c>
      <c r="AE14">
        <v>0.11158181818181818</v>
      </c>
      <c r="AF14">
        <v>0.14899999999999999</v>
      </c>
      <c r="AG14">
        <v>0.57199999999999995</v>
      </c>
      <c r="AH14">
        <v>875.12</v>
      </c>
      <c r="AI14">
        <v>0.47399999999999998</v>
      </c>
      <c r="AJ14">
        <v>1036.8</v>
      </c>
      <c r="AK14">
        <v>0</v>
      </c>
      <c r="AL14">
        <v>297.7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6.5000000000000002E-2</v>
      </c>
      <c r="AV14">
        <v>0.59375</v>
      </c>
      <c r="AW14">
        <v>2.516</v>
      </c>
      <c r="AX14">
        <v>277.92</v>
      </c>
      <c r="AY14">
        <v>2.93</v>
      </c>
      <c r="AZ14">
        <v>0.12912899999999999</v>
      </c>
      <c r="BA14">
        <v>0.54200000000000004</v>
      </c>
      <c r="BB14">
        <v>0.11799999999999999</v>
      </c>
      <c r="BC14">
        <v>1.9671000000000001E-2</v>
      </c>
      <c r="BD14">
        <v>4.6109999999999998</v>
      </c>
      <c r="BE14">
        <v>7.5255000000000001</v>
      </c>
      <c r="BF14">
        <v>70.56</v>
      </c>
      <c r="BG14">
        <v>3.91</v>
      </c>
      <c r="BH14">
        <v>0.62</v>
      </c>
      <c r="BI14">
        <v>0.41</v>
      </c>
      <c r="BJ14">
        <v>1.98</v>
      </c>
      <c r="BK14">
        <v>1.7509999999999999</v>
      </c>
      <c r="BL14">
        <v>2.3699999999999999E-2</v>
      </c>
      <c r="BM14">
        <v>0.86</v>
      </c>
      <c r="BN14">
        <v>9.6516000000000005E-2</v>
      </c>
      <c r="BO14">
        <v>0.6</v>
      </c>
      <c r="BP14">
        <v>0.262546</v>
      </c>
      <c r="BQ14">
        <v>9.3895999999999993E-2</v>
      </c>
      <c r="BR14">
        <v>0</v>
      </c>
      <c r="BS14">
        <v>0.42699999999999999</v>
      </c>
      <c r="BT14">
        <v>1.9599999999999999E-2</v>
      </c>
      <c r="BU14">
        <v>8.0440000000000008E-3</v>
      </c>
      <c r="BV14">
        <v>2.0979999999999999E-2</v>
      </c>
      <c r="BW14">
        <v>2.8000000000000001E-2</v>
      </c>
      <c r="BX14">
        <v>2.8000000000000001E-2</v>
      </c>
      <c r="BY14">
        <v>0.111</v>
      </c>
      <c r="BZ14">
        <v>0</v>
      </c>
      <c r="CA14">
        <v>2.138E-2</v>
      </c>
      <c r="CB14">
        <v>0</v>
      </c>
      <c r="CC14">
        <v>4.516E-3</v>
      </c>
      <c r="CD14">
        <v>0</v>
      </c>
      <c r="CE14">
        <v>0.34139399999999998</v>
      </c>
      <c r="CF14">
        <v>0</v>
      </c>
      <c r="CG14">
        <v>1.7999999999999999E-2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</row>
    <row r="15" spans="1:105" x14ac:dyDescent="0.25">
      <c r="A15" s="1">
        <v>40602</v>
      </c>
      <c r="B15">
        <v>0</v>
      </c>
      <c r="C15">
        <v>12.782999999999999</v>
      </c>
      <c r="D15">
        <v>2.62</v>
      </c>
      <c r="E15">
        <v>0.184805</v>
      </c>
      <c r="F15">
        <v>0.20913999999999999</v>
      </c>
      <c r="G15">
        <v>5.3999999999999999E-2</v>
      </c>
      <c r="H15">
        <v>0.313</v>
      </c>
      <c r="I15">
        <v>0.19600000000000001</v>
      </c>
      <c r="J15">
        <v>0.1124</v>
      </c>
      <c r="K15">
        <v>8.4000000000000005E-2</v>
      </c>
      <c r="L15">
        <v>0.5</v>
      </c>
      <c r="M15">
        <v>1.498</v>
      </c>
      <c r="N15">
        <v>1.093</v>
      </c>
      <c r="O15">
        <v>0.97989999999999999</v>
      </c>
      <c r="P15">
        <v>5</v>
      </c>
      <c r="Q15">
        <v>0.14499999999999999</v>
      </c>
      <c r="R15">
        <v>0.14000000000000001</v>
      </c>
      <c r="S15">
        <v>1.0409999999999999</v>
      </c>
      <c r="T15">
        <v>1.083</v>
      </c>
      <c r="U15">
        <v>1E-3</v>
      </c>
      <c r="V15">
        <v>5.9999999999999995E-4</v>
      </c>
      <c r="W15">
        <v>7.2999999999999995E-2</v>
      </c>
      <c r="X15">
        <v>1.99</v>
      </c>
      <c r="Y15">
        <v>4.88</v>
      </c>
      <c r="Z15">
        <v>33.15</v>
      </c>
      <c r="AA15">
        <v>0.24</v>
      </c>
      <c r="AB15">
        <v>9.7000000000000003E-2</v>
      </c>
      <c r="AC15">
        <v>3.88</v>
      </c>
      <c r="AD15">
        <v>4.5999999999999999E-2</v>
      </c>
      <c r="AE15">
        <v>0.11310909090909091</v>
      </c>
      <c r="AF15">
        <v>0.154</v>
      </c>
      <c r="AG15">
        <v>0.55549999999999999</v>
      </c>
      <c r="AH15">
        <v>975.96</v>
      </c>
      <c r="AI15">
        <v>1.829</v>
      </c>
      <c r="AJ15">
        <v>559.19000000000005</v>
      </c>
      <c r="AK15">
        <v>0</v>
      </c>
      <c r="AL15">
        <v>365.1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7.4999999999999997E-2</v>
      </c>
      <c r="AV15">
        <v>0.64500000000000002</v>
      </c>
      <c r="AW15">
        <v>2.3820000000000001</v>
      </c>
      <c r="AX15">
        <v>277.92</v>
      </c>
      <c r="AY15">
        <v>3.6700000000000004</v>
      </c>
      <c r="AZ15">
        <v>0.134071</v>
      </c>
      <c r="BA15">
        <v>0.57389999999999997</v>
      </c>
      <c r="BB15">
        <v>0.111</v>
      </c>
      <c r="BC15">
        <v>1.4728E-2</v>
      </c>
      <c r="BD15">
        <v>4.53</v>
      </c>
      <c r="BE15">
        <v>6.9068750000000003</v>
      </c>
      <c r="BF15">
        <v>70.569999999999993</v>
      </c>
      <c r="BG15">
        <v>3.85</v>
      </c>
      <c r="BH15">
        <v>0.56000000000000005</v>
      </c>
      <c r="BI15">
        <v>0.38</v>
      </c>
      <c r="BJ15">
        <v>2.0129999999999999</v>
      </c>
      <c r="BK15">
        <v>1.6020000000000001</v>
      </c>
      <c r="BL15">
        <v>2.6800000000000001E-2</v>
      </c>
      <c r="BM15">
        <v>0.89</v>
      </c>
      <c r="BN15">
        <v>9.8000000000000004E-2</v>
      </c>
      <c r="BO15">
        <v>0.62</v>
      </c>
      <c r="BP15">
        <v>0.28687699999999999</v>
      </c>
      <c r="BQ15">
        <v>8.8942999999999994E-2</v>
      </c>
      <c r="BR15">
        <v>0</v>
      </c>
      <c r="BS15">
        <v>0.378</v>
      </c>
      <c r="BT15">
        <v>1.7999999999999999E-2</v>
      </c>
      <c r="BU15">
        <v>7.5449999999999996E-3</v>
      </c>
      <c r="BV15">
        <v>2.4379999999999999E-2</v>
      </c>
      <c r="BW15">
        <v>2.9000000000000001E-2</v>
      </c>
      <c r="BX15">
        <v>2.9000000000000001E-2</v>
      </c>
      <c r="BY15">
        <v>8.6400000000000005E-2</v>
      </c>
      <c r="BZ15">
        <v>0</v>
      </c>
      <c r="CA15">
        <v>2.5999999999999999E-2</v>
      </c>
      <c r="CB15">
        <v>0</v>
      </c>
      <c r="CC15">
        <v>4.6930000000000001E-3</v>
      </c>
      <c r="CD15">
        <v>0</v>
      </c>
      <c r="CE15">
        <v>0.32721600000000001</v>
      </c>
      <c r="CF15">
        <v>0</v>
      </c>
      <c r="CG15">
        <v>1.6E-2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</row>
    <row r="16" spans="1:105" x14ac:dyDescent="0.25">
      <c r="A16" s="1">
        <v>40633</v>
      </c>
      <c r="B16">
        <v>0</v>
      </c>
      <c r="C16">
        <v>7.2999999999999995E-2</v>
      </c>
      <c r="D16">
        <v>3.03</v>
      </c>
      <c r="E16">
        <v>0.17100000000000001</v>
      </c>
      <c r="F16">
        <v>0.21584</v>
      </c>
      <c r="G16">
        <v>4.7E-2</v>
      </c>
      <c r="H16">
        <v>0.27300000000000002</v>
      </c>
      <c r="I16">
        <v>0.159</v>
      </c>
      <c r="J16">
        <v>8.6999999999999994E-2</v>
      </c>
      <c r="K16">
        <v>7.6999999999999999E-2</v>
      </c>
      <c r="L16">
        <v>0.6</v>
      </c>
      <c r="M16">
        <v>1.4890000000000001</v>
      </c>
      <c r="N16">
        <v>1.0209999999999999</v>
      </c>
      <c r="O16">
        <v>0.92320000000000002</v>
      </c>
      <c r="P16">
        <v>4.8</v>
      </c>
      <c r="Q16">
        <v>0.13200000000000001</v>
      </c>
      <c r="R16">
        <v>0.12</v>
      </c>
      <c r="S16">
        <v>0.64838700000000005</v>
      </c>
      <c r="T16">
        <v>1.073</v>
      </c>
      <c r="U16">
        <v>1E-3</v>
      </c>
      <c r="V16">
        <v>1.6999999999999999E-3</v>
      </c>
      <c r="W16">
        <v>6.3700000000000007E-2</v>
      </c>
      <c r="X16">
        <v>1.47</v>
      </c>
      <c r="Y16">
        <v>4.43</v>
      </c>
      <c r="Z16">
        <v>31.23</v>
      </c>
      <c r="AA16">
        <v>0.43</v>
      </c>
      <c r="AB16">
        <v>0.1</v>
      </c>
      <c r="AC16">
        <v>3.653</v>
      </c>
      <c r="AD16">
        <v>0.06</v>
      </c>
      <c r="AE16">
        <v>0.11463636363636363</v>
      </c>
      <c r="AF16">
        <v>0.17</v>
      </c>
      <c r="AG16">
        <v>0.58169999999999999</v>
      </c>
      <c r="AH16">
        <v>725.55</v>
      </c>
      <c r="AI16">
        <v>0.54500000000000004</v>
      </c>
      <c r="AJ16">
        <v>1036.8</v>
      </c>
      <c r="AK16">
        <v>0</v>
      </c>
      <c r="AL16">
        <v>223.8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6.9000000000000006E-2</v>
      </c>
      <c r="AV16">
        <v>0.69625000000000004</v>
      </c>
      <c r="AW16">
        <v>2.3559999999999999</v>
      </c>
      <c r="AX16">
        <v>363.21</v>
      </c>
      <c r="AY16">
        <v>4.41</v>
      </c>
      <c r="AZ16">
        <v>0.107225</v>
      </c>
      <c r="BA16">
        <v>0.46250000000000002</v>
      </c>
      <c r="BB16">
        <v>0.11</v>
      </c>
      <c r="BC16">
        <v>1.4244E-2</v>
      </c>
      <c r="BD16">
        <v>3.577</v>
      </c>
      <c r="BE16">
        <v>6.2882499999999997</v>
      </c>
      <c r="BF16">
        <v>65.08</v>
      </c>
      <c r="BG16">
        <v>4.2</v>
      </c>
      <c r="BH16">
        <v>0.61</v>
      </c>
      <c r="BI16">
        <v>0.38</v>
      </c>
      <c r="BJ16">
        <v>1.8759999999999999</v>
      </c>
      <c r="BK16">
        <v>1.4510000000000001</v>
      </c>
      <c r="BL16">
        <v>2.2599999999999999E-2</v>
      </c>
      <c r="BM16">
        <v>1.1499999999999999</v>
      </c>
      <c r="BN16">
        <v>9.7045999999999993E-2</v>
      </c>
      <c r="BO16">
        <v>0.6</v>
      </c>
      <c r="BP16">
        <v>0.25812099999999999</v>
      </c>
      <c r="BQ16">
        <v>9.7532999999999995E-2</v>
      </c>
      <c r="BR16">
        <v>0</v>
      </c>
      <c r="BS16">
        <v>0.315</v>
      </c>
      <c r="BT16">
        <v>1.2E-2</v>
      </c>
      <c r="BU16">
        <v>7.0239999999999999E-3</v>
      </c>
      <c r="BV16">
        <v>2.188E-2</v>
      </c>
      <c r="BW16">
        <v>2.7E-2</v>
      </c>
      <c r="BX16">
        <v>2.7E-2</v>
      </c>
      <c r="BY16">
        <v>0.128</v>
      </c>
      <c r="BZ16">
        <v>0</v>
      </c>
      <c r="CA16">
        <v>2.6599999999999999E-2</v>
      </c>
      <c r="CB16">
        <v>0</v>
      </c>
      <c r="CC16">
        <v>4.8830000000000002E-3</v>
      </c>
      <c r="CD16">
        <v>0</v>
      </c>
      <c r="CE16">
        <v>0.31886399999999998</v>
      </c>
      <c r="CF16">
        <v>0</v>
      </c>
      <c r="CG16">
        <v>1.4999999999999999E-2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</row>
    <row r="17" spans="1:105" x14ac:dyDescent="0.25">
      <c r="A17" s="1">
        <v>40663</v>
      </c>
      <c r="B17">
        <v>0</v>
      </c>
      <c r="C17">
        <v>8.2000000000000003E-2</v>
      </c>
      <c r="D17">
        <v>3.08</v>
      </c>
      <c r="E17">
        <v>0.165218</v>
      </c>
      <c r="F17">
        <v>0.2268</v>
      </c>
      <c r="G17">
        <v>4.8000000000000001E-2</v>
      </c>
      <c r="H17">
        <v>0.27400000000000002</v>
      </c>
      <c r="I17">
        <v>0.185</v>
      </c>
      <c r="J17">
        <v>6.0199999999999997E-2</v>
      </c>
      <c r="K17">
        <v>0.09</v>
      </c>
      <c r="L17">
        <v>0.6</v>
      </c>
      <c r="M17">
        <v>1.355</v>
      </c>
      <c r="N17">
        <v>1.0209999999999999</v>
      </c>
      <c r="O17">
        <v>0.93359999999999999</v>
      </c>
      <c r="P17">
        <v>4.9000000000000004</v>
      </c>
      <c r="Q17">
        <v>0.126</v>
      </c>
      <c r="R17">
        <v>8.5999999999999993E-2</v>
      </c>
      <c r="S17">
        <v>0.75833300000000003</v>
      </c>
      <c r="T17">
        <v>1.087</v>
      </c>
      <c r="U17">
        <v>1E-3</v>
      </c>
      <c r="V17">
        <v>1.1000000000000001E-3</v>
      </c>
      <c r="W17">
        <v>6.9699999999999998E-2</v>
      </c>
      <c r="X17">
        <v>1.18</v>
      </c>
      <c r="Y17">
        <v>4.3099999999999996</v>
      </c>
      <c r="Z17">
        <v>28.82</v>
      </c>
      <c r="AA17">
        <v>2.27</v>
      </c>
      <c r="AB17">
        <v>0.105</v>
      </c>
      <c r="AC17">
        <v>3.6389999999999998</v>
      </c>
      <c r="AD17">
        <v>0.01</v>
      </c>
      <c r="AE17">
        <v>0.11616363636363636</v>
      </c>
      <c r="AF17">
        <v>0.183</v>
      </c>
      <c r="AG17">
        <v>0.59599999999999997</v>
      </c>
      <c r="AH17">
        <v>913.23</v>
      </c>
      <c r="AI17">
        <v>3.0960000000000001</v>
      </c>
      <c r="AJ17">
        <v>1166.06</v>
      </c>
      <c r="AK17">
        <v>0</v>
      </c>
      <c r="AL17">
        <v>401.5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7.2999999999999995E-2</v>
      </c>
      <c r="AV17">
        <v>0.74750000000000005</v>
      </c>
      <c r="AW17">
        <v>2.2957000000000001</v>
      </c>
      <c r="AX17">
        <v>507.56</v>
      </c>
      <c r="AY17">
        <v>5.15</v>
      </c>
      <c r="AZ17">
        <v>0.1041</v>
      </c>
      <c r="BA17">
        <v>0.58930000000000005</v>
      </c>
      <c r="BB17">
        <v>0.112</v>
      </c>
      <c r="BC17">
        <v>1.2519000000000001E-2</v>
      </c>
      <c r="BD17">
        <v>3.234</v>
      </c>
      <c r="BE17">
        <v>5.6696249999999999</v>
      </c>
      <c r="BF17">
        <v>64.63</v>
      </c>
      <c r="BG17">
        <v>4.24</v>
      </c>
      <c r="BH17">
        <v>0.59</v>
      </c>
      <c r="BI17">
        <v>0.48</v>
      </c>
      <c r="BJ17">
        <v>1.869</v>
      </c>
      <c r="BK17">
        <v>1.4390000000000001</v>
      </c>
      <c r="BL17">
        <v>2.18E-2</v>
      </c>
      <c r="BM17">
        <v>1.5</v>
      </c>
      <c r="BN17">
        <v>0.12642900000000001</v>
      </c>
      <c r="BO17">
        <v>0.7</v>
      </c>
      <c r="BP17">
        <v>0.234849</v>
      </c>
      <c r="BQ17">
        <v>9.9838999999999997E-2</v>
      </c>
      <c r="BR17">
        <v>0</v>
      </c>
      <c r="BS17">
        <v>0.36399999999999999</v>
      </c>
      <c r="BT17">
        <v>1.4200000000000001E-2</v>
      </c>
      <c r="BU17">
        <v>7.476E-3</v>
      </c>
      <c r="BV17">
        <v>2.1260000000000001E-2</v>
      </c>
      <c r="BW17">
        <v>2.8000000000000001E-2</v>
      </c>
      <c r="BX17">
        <v>2.8000000000000001E-2</v>
      </c>
      <c r="BY17">
        <v>0.109</v>
      </c>
      <c r="BZ17">
        <v>0</v>
      </c>
      <c r="CA17">
        <v>3.0099999999999998E-2</v>
      </c>
      <c r="CB17">
        <v>0</v>
      </c>
      <c r="CC17">
        <v>5.9100000000000003E-3</v>
      </c>
      <c r="CD17">
        <v>0</v>
      </c>
      <c r="CE17">
        <v>0.31094899999999998</v>
      </c>
      <c r="CF17">
        <v>0</v>
      </c>
      <c r="CG17">
        <v>1.6E-2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</row>
    <row r="18" spans="1:105" x14ac:dyDescent="0.25">
      <c r="A18" s="1">
        <v>40694</v>
      </c>
      <c r="B18">
        <v>0</v>
      </c>
      <c r="C18">
        <v>8.7999999999999995E-2</v>
      </c>
      <c r="D18">
        <v>2.56</v>
      </c>
      <c r="E18">
        <v>0.14646899999999999</v>
      </c>
      <c r="F18">
        <v>0.24676999999999999</v>
      </c>
      <c r="G18">
        <v>4.5999999999999999E-2</v>
      </c>
      <c r="H18">
        <v>0.224</v>
      </c>
      <c r="I18">
        <v>0.16800000000000001</v>
      </c>
      <c r="J18">
        <v>9.4399999999999998E-2</v>
      </c>
      <c r="K18">
        <v>0.09</v>
      </c>
      <c r="L18">
        <v>0.7</v>
      </c>
      <c r="M18">
        <v>1.3280000000000001</v>
      </c>
      <c r="N18">
        <v>1.0289999999999999</v>
      </c>
      <c r="O18">
        <v>0.89790000000000003</v>
      </c>
      <c r="P18">
        <v>4.9000000000000004</v>
      </c>
      <c r="Q18">
        <v>0.13200000000000001</v>
      </c>
      <c r="R18">
        <v>9.0999999999999998E-2</v>
      </c>
      <c r="S18">
        <v>1.4438709999999999</v>
      </c>
      <c r="T18">
        <v>1.0740000000000001</v>
      </c>
      <c r="U18">
        <v>1E-3</v>
      </c>
      <c r="V18">
        <v>1.6000000000000001E-3</v>
      </c>
      <c r="W18">
        <v>8.3400000000000002E-2</v>
      </c>
      <c r="X18">
        <v>1.05</v>
      </c>
      <c r="Y18">
        <v>4.1100000000000003</v>
      </c>
      <c r="Z18">
        <v>23.99</v>
      </c>
      <c r="AA18">
        <v>6.14</v>
      </c>
      <c r="AB18">
        <v>0.1</v>
      </c>
      <c r="AC18">
        <v>3.68</v>
      </c>
      <c r="AD18">
        <v>0.03</v>
      </c>
      <c r="AE18">
        <v>0.1176909090909091</v>
      </c>
      <c r="AF18">
        <v>0.185</v>
      </c>
      <c r="AG18">
        <v>0.60899999999999999</v>
      </c>
      <c r="AH18">
        <v>997.48</v>
      </c>
      <c r="AI18">
        <v>4.9000000000000004</v>
      </c>
      <c r="AJ18">
        <v>667.05</v>
      </c>
      <c r="AK18">
        <v>0</v>
      </c>
      <c r="AL18">
        <v>414.6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8.8999999999999996E-2</v>
      </c>
      <c r="AV18">
        <v>0.79874999999999996</v>
      </c>
      <c r="AW18">
        <v>2.3172000000000001</v>
      </c>
      <c r="AX18">
        <v>502.83</v>
      </c>
      <c r="AY18">
        <v>5.2572000000000001</v>
      </c>
      <c r="AZ18">
        <v>0.106354</v>
      </c>
      <c r="BA18">
        <v>0.65700000000000003</v>
      </c>
      <c r="BB18">
        <v>0.11600000000000001</v>
      </c>
      <c r="BC18">
        <v>1.4569E-2</v>
      </c>
      <c r="BD18">
        <v>3.3109999999999999</v>
      </c>
      <c r="BE18">
        <v>5.0510000000000002</v>
      </c>
      <c r="BF18">
        <v>64.989999999999995</v>
      </c>
      <c r="BG18">
        <v>4.01</v>
      </c>
      <c r="BH18">
        <v>0.53</v>
      </c>
      <c r="BI18">
        <v>0.6</v>
      </c>
      <c r="BJ18">
        <v>1.9413</v>
      </c>
      <c r="BK18">
        <v>1.4239999999999999</v>
      </c>
      <c r="BL18">
        <v>2.1299999999999999E-2</v>
      </c>
      <c r="BM18">
        <v>1.4</v>
      </c>
      <c r="BN18">
        <v>0.114167</v>
      </c>
      <c r="BO18">
        <v>0.6</v>
      </c>
      <c r="BP18">
        <v>0.20716200000000001</v>
      </c>
      <c r="BQ18">
        <v>9.5537999999999998E-2</v>
      </c>
      <c r="BR18">
        <v>0</v>
      </c>
      <c r="BS18">
        <v>0.316</v>
      </c>
      <c r="BT18">
        <v>1.5299999999999999E-2</v>
      </c>
      <c r="BU18">
        <v>6.8139999999999997E-3</v>
      </c>
      <c r="BV18">
        <v>2.1190000000000001E-2</v>
      </c>
      <c r="BW18">
        <v>2.9000000000000001E-2</v>
      </c>
      <c r="BX18">
        <v>2.9000000000000001E-2</v>
      </c>
      <c r="BY18">
        <v>0.71</v>
      </c>
      <c r="BZ18">
        <v>0</v>
      </c>
      <c r="CA18">
        <v>2.6849999999999999E-2</v>
      </c>
      <c r="CB18">
        <v>0</v>
      </c>
      <c r="CC18">
        <v>5.7029999999999997E-3</v>
      </c>
      <c r="CD18">
        <v>0</v>
      </c>
      <c r="CE18">
        <v>0.31514700000000001</v>
      </c>
      <c r="CF18">
        <v>0</v>
      </c>
      <c r="CG18">
        <v>1.7000000000000001E-2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</row>
    <row r="19" spans="1:105" x14ac:dyDescent="0.25">
      <c r="A19" s="1">
        <v>40724</v>
      </c>
      <c r="B19">
        <v>4.8599999999999997E-2</v>
      </c>
      <c r="C19">
        <v>0.159</v>
      </c>
      <c r="D19">
        <v>2.64</v>
      </c>
      <c r="E19">
        <v>0.13794100000000001</v>
      </c>
      <c r="F19">
        <v>0.2374</v>
      </c>
      <c r="G19">
        <v>5.2999999999999999E-2</v>
      </c>
      <c r="H19">
        <v>0.27</v>
      </c>
      <c r="I19">
        <v>0.17299999999999999</v>
      </c>
      <c r="J19">
        <v>7.2099999999999997E-2</v>
      </c>
      <c r="K19">
        <v>8.8999999999999996E-2</v>
      </c>
      <c r="L19">
        <v>0.6</v>
      </c>
      <c r="M19">
        <v>1.284</v>
      </c>
      <c r="N19">
        <v>0.98599999999999999</v>
      </c>
      <c r="O19">
        <v>0.86539999999999995</v>
      </c>
      <c r="P19">
        <v>4.7</v>
      </c>
      <c r="Q19">
        <v>0.13300000000000001</v>
      </c>
      <c r="R19">
        <v>0.12</v>
      </c>
      <c r="S19">
        <v>1.403</v>
      </c>
      <c r="T19">
        <v>1.119</v>
      </c>
      <c r="U19">
        <v>5.0000000000000001E-3</v>
      </c>
      <c r="V19">
        <v>2.0999999999999999E-3</v>
      </c>
      <c r="W19">
        <v>7.8E-2</v>
      </c>
      <c r="X19">
        <v>0.53</v>
      </c>
      <c r="Y19">
        <v>3.8</v>
      </c>
      <c r="Z19">
        <v>21.77</v>
      </c>
      <c r="AA19">
        <v>6.88</v>
      </c>
      <c r="AB19">
        <v>8.6999999999999994E-2</v>
      </c>
      <c r="AC19">
        <v>3.8180000000000001</v>
      </c>
      <c r="AD19">
        <v>0.02</v>
      </c>
      <c r="AE19">
        <v>0.11921818181818182</v>
      </c>
      <c r="AF19">
        <v>0.192</v>
      </c>
      <c r="AG19">
        <v>0.622</v>
      </c>
      <c r="AH19">
        <v>1082.93</v>
      </c>
      <c r="AI19">
        <v>9.9390000000000001</v>
      </c>
      <c r="AJ19">
        <v>1209.5999999999999</v>
      </c>
      <c r="AK19">
        <v>0</v>
      </c>
      <c r="AL19">
        <v>717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7.5999999999999998E-2</v>
      </c>
      <c r="AV19">
        <v>0.85</v>
      </c>
      <c r="AW19">
        <v>2.3401999999999998</v>
      </c>
      <c r="AX19">
        <v>537.12</v>
      </c>
      <c r="AY19">
        <v>5.3644000000000007</v>
      </c>
      <c r="AZ19">
        <v>0.10953300000000001</v>
      </c>
      <c r="BA19">
        <v>0.56210000000000004</v>
      </c>
      <c r="BB19">
        <v>0.112</v>
      </c>
      <c r="BC19">
        <v>9.2929999999999992E-3</v>
      </c>
      <c r="BD19">
        <v>2.802</v>
      </c>
      <c r="BE19">
        <v>4.4323750000000004</v>
      </c>
      <c r="BF19">
        <v>65.58</v>
      </c>
      <c r="BG19">
        <v>4.5999999999999996</v>
      </c>
      <c r="BH19">
        <v>0.57999999999999996</v>
      </c>
      <c r="BI19">
        <v>0.85</v>
      </c>
      <c r="BJ19">
        <v>2.1190000000000002</v>
      </c>
      <c r="BK19">
        <v>1.478</v>
      </c>
      <c r="BL19">
        <v>2.0299999999999999E-2</v>
      </c>
      <c r="BM19">
        <v>1.54</v>
      </c>
      <c r="BN19">
        <v>0.108367</v>
      </c>
      <c r="BO19">
        <v>0.6</v>
      </c>
      <c r="BP19">
        <v>0.18448300000000001</v>
      </c>
      <c r="BQ19">
        <v>8.1424999999999997E-2</v>
      </c>
      <c r="BR19">
        <v>0</v>
      </c>
      <c r="BS19">
        <v>0.35899999999999999</v>
      </c>
      <c r="BT19">
        <v>1.54E-2</v>
      </c>
      <c r="BU19">
        <v>5.6620000000000004E-3</v>
      </c>
      <c r="BV19">
        <v>2.044E-2</v>
      </c>
      <c r="BW19">
        <v>2.8000000000000001E-2</v>
      </c>
      <c r="BX19">
        <v>2.8000000000000001E-2</v>
      </c>
      <c r="BY19">
        <v>0.12</v>
      </c>
      <c r="BZ19">
        <v>0</v>
      </c>
      <c r="CA19">
        <v>2.3599999999999999E-2</v>
      </c>
      <c r="CB19">
        <v>0</v>
      </c>
      <c r="CC19">
        <v>6.1739999999999998E-3</v>
      </c>
      <c r="CD19">
        <v>0</v>
      </c>
      <c r="CE19">
        <v>0.27170299999999997</v>
      </c>
      <c r="CF19">
        <v>0</v>
      </c>
      <c r="CG19">
        <v>1.6E-2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</row>
    <row r="20" spans="1:105" x14ac:dyDescent="0.25">
      <c r="A20" s="1">
        <v>40755</v>
      </c>
      <c r="B20">
        <v>5.6099999999999997E-2</v>
      </c>
      <c r="C20">
        <v>0.185</v>
      </c>
      <c r="D20">
        <v>2.5499999999999998</v>
      </c>
      <c r="E20">
        <v>0.12914200000000001</v>
      </c>
      <c r="F20">
        <v>0.22664500000000001</v>
      </c>
      <c r="G20">
        <v>5.1999999999999998E-2</v>
      </c>
      <c r="H20">
        <v>0.27800000000000002</v>
      </c>
      <c r="I20">
        <v>0.17299999999999999</v>
      </c>
      <c r="J20">
        <v>6.8699999999999997E-2</v>
      </c>
      <c r="K20">
        <v>9.0999999999999998E-2</v>
      </c>
      <c r="L20">
        <v>0.4</v>
      </c>
      <c r="M20">
        <v>1.361</v>
      </c>
      <c r="N20">
        <v>0.94799999999999995</v>
      </c>
      <c r="O20">
        <v>0.84970000000000001</v>
      </c>
      <c r="P20">
        <v>4.7</v>
      </c>
      <c r="Q20">
        <v>0.13900000000000001</v>
      </c>
      <c r="R20">
        <v>0.126</v>
      </c>
      <c r="S20">
        <v>1.4132260000000001</v>
      </c>
      <c r="T20">
        <v>1.07</v>
      </c>
      <c r="U20">
        <v>8.9999999999999993E-3</v>
      </c>
      <c r="V20">
        <v>2.0999999999999999E-3</v>
      </c>
      <c r="W20">
        <v>6.7400000000000002E-2</v>
      </c>
      <c r="X20">
        <v>0.48</v>
      </c>
      <c r="Y20">
        <v>3.6</v>
      </c>
      <c r="Z20">
        <v>25.04</v>
      </c>
      <c r="AA20">
        <v>4.04</v>
      </c>
      <c r="AB20">
        <v>8.1000000000000003E-2</v>
      </c>
      <c r="AC20">
        <v>3.7120000000000002</v>
      </c>
      <c r="AD20">
        <v>0.03</v>
      </c>
      <c r="AE20">
        <v>0.12074545454545454</v>
      </c>
      <c r="AF20">
        <v>0.20200000000000001</v>
      </c>
      <c r="AG20">
        <v>0.66300000000000003</v>
      </c>
      <c r="AH20">
        <v>1076.5899999999999</v>
      </c>
      <c r="AI20">
        <v>5.3630000000000004</v>
      </c>
      <c r="AJ20">
        <v>1209.5999999999999</v>
      </c>
      <c r="AK20">
        <v>0</v>
      </c>
      <c r="AL20">
        <v>935.1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4.4999999999999998E-2</v>
      </c>
      <c r="AV20">
        <v>0.31</v>
      </c>
      <c r="AW20">
        <v>2.4081999999999999</v>
      </c>
      <c r="AX20">
        <v>537.12</v>
      </c>
      <c r="AY20">
        <v>5.4716000000000005</v>
      </c>
      <c r="AZ20">
        <v>0.101967</v>
      </c>
      <c r="BA20">
        <v>0.46089999999999998</v>
      </c>
      <c r="BB20">
        <v>0.106</v>
      </c>
      <c r="BC20">
        <v>4.2550000000000001E-3</v>
      </c>
      <c r="BD20">
        <v>2.78</v>
      </c>
      <c r="BE20">
        <v>3.8137500000000006</v>
      </c>
      <c r="BF20">
        <v>65.239999999999995</v>
      </c>
      <c r="BG20">
        <v>4.24</v>
      </c>
      <c r="BH20">
        <v>0.6</v>
      </c>
      <c r="BI20">
        <v>1.27</v>
      </c>
      <c r="BJ20">
        <v>2.129</v>
      </c>
      <c r="BK20">
        <v>1.5309999999999999</v>
      </c>
      <c r="BL20">
        <v>2.18E-2</v>
      </c>
      <c r="BM20">
        <v>1.46</v>
      </c>
      <c r="BN20">
        <v>0.10072399999999999</v>
      </c>
      <c r="BO20">
        <v>0.8</v>
      </c>
      <c r="BP20">
        <v>0.18898400000000001</v>
      </c>
      <c r="BQ20">
        <v>7.5476000000000001E-2</v>
      </c>
      <c r="BR20">
        <v>0</v>
      </c>
      <c r="BS20">
        <v>0.35399999999999998</v>
      </c>
      <c r="BT20">
        <v>1.6400000000000001E-2</v>
      </c>
      <c r="BU20">
        <v>6.058E-3</v>
      </c>
      <c r="BV20">
        <v>2.5399999999999999E-2</v>
      </c>
      <c r="BW20">
        <v>3.3000000000000002E-2</v>
      </c>
      <c r="BX20">
        <v>3.3000000000000002E-2</v>
      </c>
      <c r="BY20">
        <v>0.125</v>
      </c>
      <c r="BZ20">
        <v>0</v>
      </c>
      <c r="CA20">
        <v>2.8799999999999999E-2</v>
      </c>
      <c r="CB20">
        <v>0</v>
      </c>
      <c r="CC20">
        <v>6.7039999999999999E-3</v>
      </c>
      <c r="CD20">
        <v>0</v>
      </c>
      <c r="CE20">
        <v>0.29793900000000001</v>
      </c>
      <c r="CF20">
        <v>0</v>
      </c>
      <c r="CG20">
        <v>1.7000000000000001E-2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</row>
    <row r="21" spans="1:105" x14ac:dyDescent="0.25">
      <c r="A21" s="1">
        <v>40786</v>
      </c>
      <c r="B21">
        <v>5.7099999999999998E-2</v>
      </c>
      <c r="C21">
        <v>0.19</v>
      </c>
      <c r="D21">
        <v>2.54</v>
      </c>
      <c r="E21">
        <v>0.11567</v>
      </c>
      <c r="F21">
        <v>0.23487</v>
      </c>
      <c r="G21">
        <v>5.8999999999999997E-2</v>
      </c>
      <c r="H21">
        <v>0.27200000000000002</v>
      </c>
      <c r="I21">
        <v>0.16200000000000001</v>
      </c>
      <c r="J21">
        <v>6.5000000000000002E-2</v>
      </c>
      <c r="K21">
        <v>9.4E-2</v>
      </c>
      <c r="L21">
        <v>0.5</v>
      </c>
      <c r="M21">
        <v>1.327</v>
      </c>
      <c r="N21">
        <v>0.97399999999999998</v>
      </c>
      <c r="O21">
        <v>0.80379999999999996</v>
      </c>
      <c r="P21">
        <v>5.2</v>
      </c>
      <c r="Q21">
        <v>0.125</v>
      </c>
      <c r="R21">
        <v>0.105</v>
      </c>
      <c r="S21">
        <v>1.3925810000000001</v>
      </c>
      <c r="T21">
        <v>1.097</v>
      </c>
      <c r="U21">
        <v>8.0000000000000002E-3</v>
      </c>
      <c r="V21">
        <v>1.1999999999999999E-3</v>
      </c>
      <c r="W21">
        <v>6.08E-2</v>
      </c>
      <c r="X21">
        <v>0.35</v>
      </c>
      <c r="Y21">
        <v>3.56</v>
      </c>
      <c r="Z21">
        <v>21.12</v>
      </c>
      <c r="AA21">
        <v>5.7</v>
      </c>
      <c r="AB21">
        <v>9.6000000000000002E-2</v>
      </c>
      <c r="AC21">
        <v>3.633</v>
      </c>
      <c r="AD21">
        <v>0.01</v>
      </c>
      <c r="AE21">
        <v>0.12227272727272727</v>
      </c>
      <c r="AF21">
        <v>0.23</v>
      </c>
      <c r="AG21">
        <v>0.63400000000000001</v>
      </c>
      <c r="AH21">
        <v>1037.18</v>
      </c>
      <c r="AI21">
        <v>6.1150000000000002</v>
      </c>
      <c r="AJ21">
        <v>1209.5999999999999</v>
      </c>
      <c r="AK21">
        <v>0</v>
      </c>
      <c r="AL21">
        <v>1038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4.5999999999999999E-2</v>
      </c>
      <c r="AV21">
        <v>0.61772727272727268</v>
      </c>
      <c r="AW21">
        <v>2.2719999999999998</v>
      </c>
      <c r="AX21">
        <v>537.12</v>
      </c>
      <c r="AY21">
        <v>5.5788000000000002</v>
      </c>
      <c r="AZ21">
        <v>0.109612</v>
      </c>
      <c r="BA21">
        <v>0.44900000000000001</v>
      </c>
      <c r="BB21">
        <v>0.11799999999999999</v>
      </c>
      <c r="BC21">
        <v>7.404E-3</v>
      </c>
      <c r="BD21">
        <v>2.4420000000000002</v>
      </c>
      <c r="BE21">
        <v>3.195125</v>
      </c>
      <c r="BF21">
        <v>63.56</v>
      </c>
      <c r="BG21">
        <v>4.99</v>
      </c>
      <c r="BH21">
        <v>0.59</v>
      </c>
      <c r="BI21">
        <v>0.94</v>
      </c>
      <c r="BJ21">
        <v>2.1160000000000001</v>
      </c>
      <c r="BK21">
        <v>1.5009999999999999</v>
      </c>
      <c r="BL21">
        <v>2.0400000000000001E-2</v>
      </c>
      <c r="BM21">
        <v>1.21</v>
      </c>
      <c r="BN21">
        <v>0.10299999999999999</v>
      </c>
      <c r="BO21">
        <v>0.8</v>
      </c>
      <c r="BP21">
        <v>0.186032</v>
      </c>
      <c r="BQ21">
        <v>9.1256000000000004E-2</v>
      </c>
      <c r="BR21">
        <v>0</v>
      </c>
      <c r="BS21">
        <v>0.36399999999999999</v>
      </c>
      <c r="BT21">
        <v>2.4799999999999999E-2</v>
      </c>
      <c r="BU21">
        <v>6.4989999999999996E-3</v>
      </c>
      <c r="BV21">
        <v>2.1940000000000001E-2</v>
      </c>
      <c r="BW21">
        <v>3.4000000000000002E-2</v>
      </c>
      <c r="BX21">
        <v>3.4000000000000002E-2</v>
      </c>
      <c r="BY21">
        <v>0.14299999999999999</v>
      </c>
      <c r="BZ21">
        <v>0</v>
      </c>
      <c r="CA21">
        <v>2.1499999999999998E-2</v>
      </c>
      <c r="CB21">
        <v>0</v>
      </c>
      <c r="CC21">
        <v>5.2779999999999997E-3</v>
      </c>
      <c r="CD21">
        <v>0</v>
      </c>
      <c r="CE21">
        <v>0.30851400000000001</v>
      </c>
      <c r="CF21">
        <v>0</v>
      </c>
      <c r="CG21">
        <v>1.4999999999999999E-2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</row>
    <row r="22" spans="1:105" x14ac:dyDescent="0.25">
      <c r="A22" s="1">
        <v>40816</v>
      </c>
      <c r="B22">
        <v>7.7299999999999994E-2</v>
      </c>
      <c r="C22">
        <v>0.13700000000000001</v>
      </c>
      <c r="D22">
        <v>2.52</v>
      </c>
      <c r="E22">
        <v>0.133242</v>
      </c>
      <c r="F22">
        <v>0.22083</v>
      </c>
      <c r="G22">
        <v>5.5E-2</v>
      </c>
      <c r="H22">
        <v>0.25600000000000001</v>
      </c>
      <c r="I22">
        <v>0.161</v>
      </c>
      <c r="J22">
        <v>7.6799999999999993E-2</v>
      </c>
      <c r="K22">
        <v>9.2999999999999999E-2</v>
      </c>
      <c r="L22">
        <v>0.5</v>
      </c>
      <c r="M22">
        <v>1.359</v>
      </c>
      <c r="N22">
        <v>0.99299999999999999</v>
      </c>
      <c r="O22">
        <v>0.83589999999999998</v>
      </c>
      <c r="P22">
        <v>5</v>
      </c>
      <c r="Q22">
        <v>0.11799999999999999</v>
      </c>
      <c r="R22">
        <v>8.5000000000000006E-2</v>
      </c>
      <c r="S22">
        <v>1.3437330000000001</v>
      </c>
      <c r="T22">
        <v>1.173</v>
      </c>
      <c r="U22">
        <v>7.0000000000000001E-3</v>
      </c>
      <c r="V22">
        <v>1E-3</v>
      </c>
      <c r="W22">
        <v>7.0999999999999994E-2</v>
      </c>
      <c r="X22">
        <v>0.36</v>
      </c>
      <c r="Y22">
        <v>3.91</v>
      </c>
      <c r="Z22">
        <v>22.03</v>
      </c>
      <c r="AA22">
        <v>6.39</v>
      </c>
      <c r="AB22">
        <v>0.106</v>
      </c>
      <c r="AC22">
        <v>3.5939999999999999</v>
      </c>
      <c r="AD22">
        <v>1.7999999999999999E-2</v>
      </c>
      <c r="AE22">
        <v>0.12379999999999999</v>
      </c>
      <c r="AF22">
        <v>0.23</v>
      </c>
      <c r="AG22">
        <v>0.64300000000000002</v>
      </c>
      <c r="AH22">
        <v>954.57</v>
      </c>
      <c r="AI22">
        <v>6.2930000000000001</v>
      </c>
      <c r="AJ22">
        <v>1209.5999999999999</v>
      </c>
      <c r="AK22">
        <v>0</v>
      </c>
      <c r="AL22">
        <v>713.2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3.5999999999999997E-2</v>
      </c>
      <c r="AV22">
        <v>0.92545454545454553</v>
      </c>
      <c r="AW22">
        <v>2.33</v>
      </c>
      <c r="AX22">
        <v>527.84</v>
      </c>
      <c r="AY22">
        <v>5.6859999999999999</v>
      </c>
      <c r="AZ22">
        <v>0.1227</v>
      </c>
      <c r="BA22">
        <v>0.40760000000000002</v>
      </c>
      <c r="BB22">
        <v>0.13</v>
      </c>
      <c r="BC22">
        <v>1.5579000000000001E-2</v>
      </c>
      <c r="BD22">
        <v>2.5470000000000002</v>
      </c>
      <c r="BE22">
        <v>2.5765000000000002</v>
      </c>
      <c r="BF22">
        <v>65.17</v>
      </c>
      <c r="BG22">
        <v>4.45</v>
      </c>
      <c r="BH22">
        <v>0.57999999999999996</v>
      </c>
      <c r="BI22">
        <v>0.95</v>
      </c>
      <c r="BJ22">
        <v>1.869</v>
      </c>
      <c r="BK22">
        <v>1.349</v>
      </c>
      <c r="BL22">
        <v>2.1610000000000001E-2</v>
      </c>
      <c r="BM22">
        <v>1.53</v>
      </c>
      <c r="BN22">
        <v>0.115733</v>
      </c>
      <c r="BO22">
        <v>0.8</v>
      </c>
      <c r="BP22">
        <v>0.152645</v>
      </c>
      <c r="BQ22">
        <v>0.110094</v>
      </c>
      <c r="BR22">
        <v>0</v>
      </c>
      <c r="BS22">
        <v>0.378</v>
      </c>
      <c r="BT22">
        <v>1.7299999999999999E-2</v>
      </c>
      <c r="BU22">
        <v>6.6540000000000002E-3</v>
      </c>
      <c r="BV22">
        <v>1.874E-2</v>
      </c>
      <c r="BW22">
        <v>3.5000000000000003E-2</v>
      </c>
      <c r="BX22">
        <v>3.5000000000000003E-2</v>
      </c>
      <c r="BY22">
        <v>0.106</v>
      </c>
      <c r="BZ22">
        <v>0</v>
      </c>
      <c r="CA22">
        <v>2.1000000000000001E-2</v>
      </c>
      <c r="CB22">
        <v>0</v>
      </c>
      <c r="CC22">
        <v>5.7670000000000004E-3</v>
      </c>
      <c r="CD22">
        <v>0</v>
      </c>
      <c r="CE22">
        <v>0.329791</v>
      </c>
      <c r="CF22">
        <v>0</v>
      </c>
      <c r="CG22">
        <v>1.4E-2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</row>
    <row r="23" spans="1:105" x14ac:dyDescent="0.25">
      <c r="A23" s="1">
        <v>40847</v>
      </c>
      <c r="B23">
        <v>6.8099999999999994E-2</v>
      </c>
      <c r="C23">
        <v>4.9000000000000002E-2</v>
      </c>
      <c r="D23">
        <v>2.52</v>
      </c>
      <c r="E23">
        <v>0.14174300000000001</v>
      </c>
      <c r="F23">
        <v>0.18809999999999999</v>
      </c>
      <c r="G23">
        <v>0.06</v>
      </c>
      <c r="H23">
        <v>0.23400000000000001</v>
      </c>
      <c r="I23">
        <v>0.17100000000000001</v>
      </c>
      <c r="J23">
        <v>8.9200000000000002E-2</v>
      </c>
      <c r="K23">
        <v>8.7999999999999995E-2</v>
      </c>
      <c r="L23">
        <v>0.4</v>
      </c>
      <c r="M23">
        <v>1.4039999999999999</v>
      </c>
      <c r="N23">
        <v>0.97499999999999998</v>
      </c>
      <c r="O23">
        <v>0.91490000000000005</v>
      </c>
      <c r="P23">
        <v>5.0999999999999996</v>
      </c>
      <c r="Q23">
        <v>0.124</v>
      </c>
      <c r="R23">
        <v>7.5999999999999998E-2</v>
      </c>
      <c r="S23">
        <v>1.347742</v>
      </c>
      <c r="T23">
        <v>1.2010000000000001</v>
      </c>
      <c r="U23">
        <v>8.0000000000000002E-3</v>
      </c>
      <c r="V23">
        <v>8.0000000000000007E-5</v>
      </c>
      <c r="W23">
        <v>8.4599999999999995E-2</v>
      </c>
      <c r="X23">
        <v>1</v>
      </c>
      <c r="Y23">
        <v>4.4000000000000004</v>
      </c>
      <c r="Z23">
        <v>27.62</v>
      </c>
      <c r="AA23">
        <v>4.1100000000000003</v>
      </c>
      <c r="AB23">
        <v>0.10199999999999999</v>
      </c>
      <c r="AC23">
        <v>3.8239999999999998</v>
      </c>
      <c r="AD23">
        <v>8.9999999999999993E-3</v>
      </c>
      <c r="AE23">
        <v>0.12532727272727273</v>
      </c>
      <c r="AF23">
        <v>0.16</v>
      </c>
      <c r="AG23">
        <v>0.63300000000000001</v>
      </c>
      <c r="AH23">
        <v>861.36</v>
      </c>
      <c r="AI23">
        <v>4.6749999999999998</v>
      </c>
      <c r="AJ23">
        <v>875.15</v>
      </c>
      <c r="AK23">
        <v>0</v>
      </c>
      <c r="AL23">
        <v>555.6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6.4000000000000001E-2</v>
      </c>
      <c r="AV23">
        <v>1.2331818181818182</v>
      </c>
      <c r="AW23">
        <v>2.3140000000000001</v>
      </c>
      <c r="AX23">
        <v>18.72</v>
      </c>
      <c r="AY23">
        <v>5.7932000000000006</v>
      </c>
      <c r="AZ23">
        <v>0.12754799999999999</v>
      </c>
      <c r="BA23">
        <v>0.43609999999999999</v>
      </c>
      <c r="BB23">
        <v>0.125</v>
      </c>
      <c r="BC23">
        <v>1.1259999999999999E-2</v>
      </c>
      <c r="BD23">
        <v>3.9510000000000001</v>
      </c>
      <c r="BE23">
        <v>1.9578749999999996</v>
      </c>
      <c r="BF23">
        <v>68.41</v>
      </c>
      <c r="BG23">
        <v>3.38</v>
      </c>
      <c r="BH23">
        <v>0.51</v>
      </c>
      <c r="BI23">
        <v>0.79</v>
      </c>
      <c r="BJ23">
        <v>1.845</v>
      </c>
      <c r="BK23">
        <v>1.349</v>
      </c>
      <c r="BL23">
        <v>2.3199999999999998E-2</v>
      </c>
      <c r="BM23">
        <v>1.57</v>
      </c>
      <c r="BN23">
        <v>0.13930999999999999</v>
      </c>
      <c r="BO23">
        <v>0.8</v>
      </c>
      <c r="BP23">
        <v>0.15213699999999999</v>
      </c>
      <c r="BQ23">
        <v>8.9040999999999995E-2</v>
      </c>
      <c r="BR23">
        <v>0</v>
      </c>
      <c r="BS23">
        <v>0.36799999999999999</v>
      </c>
      <c r="BT23">
        <v>1.9699999999999999E-2</v>
      </c>
      <c r="BU23">
        <v>7.7329999999999999E-4</v>
      </c>
      <c r="BV23">
        <v>2.189E-2</v>
      </c>
      <c r="BW23">
        <v>3.5999999999999997E-2</v>
      </c>
      <c r="BX23">
        <v>3.5999999999999997E-2</v>
      </c>
      <c r="BY23">
        <v>9.6000000000000002E-2</v>
      </c>
      <c r="BZ23">
        <v>0</v>
      </c>
      <c r="CA23">
        <v>3.1600000000000003E-2</v>
      </c>
      <c r="CB23">
        <v>0</v>
      </c>
      <c r="CC23">
        <v>6.4799999999999996E-3</v>
      </c>
      <c r="CD23">
        <v>0</v>
      </c>
      <c r="CE23">
        <v>0.352435</v>
      </c>
      <c r="CF23">
        <v>0</v>
      </c>
      <c r="CG23">
        <v>1.4E-2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</row>
    <row r="24" spans="1:105" x14ac:dyDescent="0.25">
      <c r="A24" s="1">
        <v>40877</v>
      </c>
      <c r="B24">
        <v>8.2793000000000005E-2</v>
      </c>
      <c r="C24">
        <v>1.7999999999999999E-2</v>
      </c>
      <c r="D24">
        <v>2.57</v>
      </c>
      <c r="E24">
        <v>0.142983</v>
      </c>
      <c r="F24">
        <v>0.155</v>
      </c>
      <c r="G24">
        <v>5.8999999999999997E-2</v>
      </c>
      <c r="H24">
        <v>0.26100000000000001</v>
      </c>
      <c r="I24">
        <v>0.18</v>
      </c>
      <c r="J24">
        <v>9.3299999999999994E-2</v>
      </c>
      <c r="K24">
        <v>8.4000000000000005E-2</v>
      </c>
      <c r="L24">
        <v>0.4</v>
      </c>
      <c r="M24">
        <v>1.5209999999999999</v>
      </c>
      <c r="N24">
        <v>0.93500000000000005</v>
      </c>
      <c r="O24">
        <v>0.89810000000000001</v>
      </c>
      <c r="P24">
        <v>4.9000000000000004</v>
      </c>
      <c r="Q24">
        <v>0.129</v>
      </c>
      <c r="R24">
        <v>7.9000000000000001E-2</v>
      </c>
      <c r="S24">
        <v>1.2936669999999999</v>
      </c>
      <c r="T24">
        <v>1.214</v>
      </c>
      <c r="U24">
        <v>8.0000000000000002E-3</v>
      </c>
      <c r="V24">
        <v>8.0000000000000004E-4</v>
      </c>
      <c r="W24">
        <v>7.9799999999999996E-2</v>
      </c>
      <c r="X24">
        <v>1.25</v>
      </c>
      <c r="Y24">
        <v>4.28</v>
      </c>
      <c r="Z24">
        <v>30.15</v>
      </c>
      <c r="AA24">
        <v>0.52</v>
      </c>
      <c r="AB24">
        <v>9.6000000000000002E-2</v>
      </c>
      <c r="AC24">
        <v>3.8340000000000001</v>
      </c>
      <c r="AD24">
        <v>2.3E-2</v>
      </c>
      <c r="AE24">
        <v>0.12685454545454544</v>
      </c>
      <c r="AF24">
        <v>0.14699999999999999</v>
      </c>
      <c r="AG24">
        <v>0.61529999999999996</v>
      </c>
      <c r="AH24">
        <v>817.9</v>
      </c>
      <c r="AI24">
        <v>3.9140000000000001</v>
      </c>
      <c r="AJ24">
        <v>1066.8800000000001</v>
      </c>
      <c r="AK24">
        <v>0</v>
      </c>
      <c r="AL24">
        <v>457.9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2.3E-2</v>
      </c>
      <c r="AV24">
        <v>1.540909090909091</v>
      </c>
      <c r="AW24">
        <v>2.3704999999999998</v>
      </c>
      <c r="AX24">
        <v>18.239999999999998</v>
      </c>
      <c r="AY24">
        <v>5.9004000000000003</v>
      </c>
      <c r="AZ24">
        <v>0.1144</v>
      </c>
      <c r="BA24">
        <v>0.42349999999999999</v>
      </c>
      <c r="BB24">
        <v>0.113</v>
      </c>
      <c r="BC24">
        <v>9.5700000000000004E-3</v>
      </c>
      <c r="BD24">
        <v>3.7869999999999999</v>
      </c>
      <c r="BE24">
        <v>1.3392499999999998</v>
      </c>
      <c r="BF24">
        <v>66.66</v>
      </c>
      <c r="BG24">
        <v>3.86</v>
      </c>
      <c r="BH24">
        <v>0.57999999999999996</v>
      </c>
      <c r="BI24">
        <v>0.53</v>
      </c>
      <c r="BJ24">
        <v>1.9059999999999999</v>
      </c>
      <c r="BK24">
        <v>1.444</v>
      </c>
      <c r="BL24">
        <v>2.4500000000000001E-2</v>
      </c>
      <c r="BM24">
        <v>1.37</v>
      </c>
      <c r="BN24">
        <v>8.7300000000000003E-2</v>
      </c>
      <c r="BO24">
        <v>0.8</v>
      </c>
      <c r="BP24">
        <v>0.16755700000000001</v>
      </c>
      <c r="BQ24">
        <v>9.3397999999999995E-2</v>
      </c>
      <c r="BR24">
        <v>0</v>
      </c>
      <c r="BS24">
        <v>0.31</v>
      </c>
      <c r="BT24">
        <v>2.0199999999999999E-2</v>
      </c>
      <c r="BU24">
        <v>5.5589999999999997E-3</v>
      </c>
      <c r="BV24">
        <v>2.0289999999999999E-2</v>
      </c>
      <c r="BW24">
        <v>3.7999999999999999E-2</v>
      </c>
      <c r="BX24">
        <v>3.7999999999999999E-2</v>
      </c>
      <c r="BY24">
        <v>0.14799999999999999</v>
      </c>
      <c r="BZ24">
        <v>0</v>
      </c>
      <c r="CA24">
        <v>2.81E-2</v>
      </c>
      <c r="CB24">
        <v>0.01</v>
      </c>
      <c r="CC24">
        <v>4.8120000000000003E-3</v>
      </c>
      <c r="CD24">
        <v>0</v>
      </c>
      <c r="CE24">
        <v>0.32914199999999999</v>
      </c>
      <c r="CF24">
        <v>0</v>
      </c>
      <c r="CG24">
        <v>1.4E-2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</row>
    <row r="25" spans="1:105" x14ac:dyDescent="0.25">
      <c r="A25" s="1">
        <v>40908</v>
      </c>
      <c r="B25">
        <v>4.24E-2</v>
      </c>
      <c r="C25">
        <v>4.7E-2</v>
      </c>
      <c r="D25">
        <v>2.73</v>
      </c>
      <c r="E25">
        <v>0.16705500000000001</v>
      </c>
      <c r="F25">
        <v>0.14899999999999999</v>
      </c>
      <c r="G25">
        <v>7.1999999999999995E-2</v>
      </c>
      <c r="H25">
        <v>0.28000000000000003</v>
      </c>
      <c r="I25">
        <v>0.14499999999999999</v>
      </c>
      <c r="J25">
        <v>0.14180000000000001</v>
      </c>
      <c r="K25">
        <v>0.08</v>
      </c>
      <c r="L25">
        <v>0.6</v>
      </c>
      <c r="M25">
        <v>1.6</v>
      </c>
      <c r="N25">
        <v>0.98</v>
      </c>
      <c r="O25">
        <v>0.98540000000000005</v>
      </c>
      <c r="P25">
        <v>4.8</v>
      </c>
      <c r="Q25">
        <v>0.13800000000000001</v>
      </c>
      <c r="R25">
        <v>8.5999999999999993E-2</v>
      </c>
      <c r="S25">
        <v>1.2377419999999999</v>
      </c>
      <c r="T25">
        <v>1.325</v>
      </c>
      <c r="U25">
        <v>1.15E-2</v>
      </c>
      <c r="V25">
        <v>3.3999999999999998E-3</v>
      </c>
      <c r="W25">
        <v>9.7000000000000003E-2</v>
      </c>
      <c r="X25">
        <v>1.82</v>
      </c>
      <c r="Y25">
        <v>4.8499999999999996</v>
      </c>
      <c r="Z25">
        <v>34.409999999999997</v>
      </c>
      <c r="AA25">
        <v>0.44</v>
      </c>
      <c r="AB25">
        <v>0.108</v>
      </c>
      <c r="AC25">
        <v>4.2679999999999998</v>
      </c>
      <c r="AD25">
        <v>0.02</v>
      </c>
      <c r="AE25">
        <v>0.12838181818181818</v>
      </c>
      <c r="AF25">
        <v>0.14299999999999999</v>
      </c>
      <c r="AG25">
        <v>0.55830000000000002</v>
      </c>
      <c r="AH25">
        <v>829.36</v>
      </c>
      <c r="AI25">
        <v>4.5270000000000001</v>
      </c>
      <c r="AJ25">
        <v>1036.8</v>
      </c>
      <c r="AK25">
        <v>0</v>
      </c>
      <c r="AL25">
        <v>355.4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0.01</v>
      </c>
      <c r="AV25">
        <v>1.8486363636363636</v>
      </c>
      <c r="AW25">
        <v>2.7364000000000002</v>
      </c>
      <c r="AX25">
        <v>108.39</v>
      </c>
      <c r="AY25">
        <v>6.0076000000000001</v>
      </c>
      <c r="AZ25">
        <v>0.16087000000000001</v>
      </c>
      <c r="BA25">
        <v>0.50480000000000003</v>
      </c>
      <c r="BB25">
        <v>0.111</v>
      </c>
      <c r="BC25">
        <v>9.5320000000000005E-3</v>
      </c>
      <c r="BD25">
        <v>5.093</v>
      </c>
      <c r="BE25">
        <v>0.72062500000000007</v>
      </c>
      <c r="BF25">
        <v>68.260000000000005</v>
      </c>
      <c r="BG25">
        <v>3.78</v>
      </c>
      <c r="BH25">
        <v>0.55000000000000004</v>
      </c>
      <c r="BI25">
        <v>0.33</v>
      </c>
      <c r="BJ25">
        <v>2.0634999999999999</v>
      </c>
      <c r="BK25">
        <v>1.8620000000000001</v>
      </c>
      <c r="BL25">
        <v>2.58E-2</v>
      </c>
      <c r="BM25">
        <v>1.01</v>
      </c>
      <c r="BN25">
        <v>7.3867000000000002E-2</v>
      </c>
      <c r="BO25">
        <v>0.9</v>
      </c>
      <c r="BP25">
        <v>0.146868</v>
      </c>
      <c r="BQ25">
        <v>0.105641</v>
      </c>
      <c r="BR25">
        <v>0</v>
      </c>
      <c r="BS25">
        <v>0.3</v>
      </c>
      <c r="BT25">
        <v>2.8199999999999999E-2</v>
      </c>
      <c r="BU25">
        <v>6.0660000000000002E-3</v>
      </c>
      <c r="BV25">
        <v>2.0820000000000002E-2</v>
      </c>
      <c r="BW25">
        <v>4.3999999999999997E-2</v>
      </c>
      <c r="BX25">
        <v>4.3999999999999997E-2</v>
      </c>
      <c r="BY25">
        <v>6.2E-2</v>
      </c>
      <c r="BZ25">
        <v>0</v>
      </c>
      <c r="CA25">
        <v>2.8799999999999999E-2</v>
      </c>
      <c r="CB25">
        <v>1.7999999999999999E-2</v>
      </c>
      <c r="CC25">
        <v>4.2290000000000001E-3</v>
      </c>
      <c r="CD25">
        <v>0</v>
      </c>
      <c r="CE25">
        <v>0.33912500000000001</v>
      </c>
      <c r="CF25">
        <v>0</v>
      </c>
      <c r="CG25">
        <v>0.19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</row>
    <row r="26" spans="1:105" x14ac:dyDescent="0.25">
      <c r="A26" s="1">
        <v>40939</v>
      </c>
      <c r="B26">
        <v>4.1599999999999998E-2</v>
      </c>
      <c r="C26">
        <v>1.7999999999999999E-2</v>
      </c>
      <c r="D26">
        <v>2.69</v>
      </c>
      <c r="E26">
        <v>0.143957</v>
      </c>
      <c r="F26">
        <v>0.14710000000000001</v>
      </c>
      <c r="G26">
        <v>7.6999999999999999E-2</v>
      </c>
      <c r="H26">
        <v>0.24299999999999999</v>
      </c>
      <c r="I26">
        <v>0.161</v>
      </c>
      <c r="J26">
        <v>0.13170000000000001</v>
      </c>
      <c r="K26">
        <v>8.1000000000000003E-2</v>
      </c>
      <c r="L26">
        <v>0.5</v>
      </c>
      <c r="M26">
        <v>1.6830000000000001</v>
      </c>
      <c r="N26">
        <v>1.0189999999999999</v>
      </c>
      <c r="O26">
        <v>0.92830000000000001</v>
      </c>
      <c r="P26">
        <v>4.9000000000000004</v>
      </c>
      <c r="Q26">
        <v>0.13900000000000001</v>
      </c>
      <c r="R26">
        <v>0.08</v>
      </c>
      <c r="S26">
        <v>1.135</v>
      </c>
      <c r="T26">
        <v>1.343</v>
      </c>
      <c r="U26">
        <v>7.0000000000000001E-3</v>
      </c>
      <c r="V26">
        <v>1.6999999999999999E-3</v>
      </c>
      <c r="W26">
        <v>8.0600000000000005E-2</v>
      </c>
      <c r="X26">
        <v>1.83</v>
      </c>
      <c r="Y26">
        <v>4.95</v>
      </c>
      <c r="Z26">
        <v>32.65</v>
      </c>
      <c r="AA26">
        <v>0.27</v>
      </c>
      <c r="AB26">
        <v>0.10299999999999999</v>
      </c>
      <c r="AC26">
        <v>4.0209999999999999</v>
      </c>
      <c r="AD26">
        <v>0.03</v>
      </c>
      <c r="AE26">
        <v>0.12990909090909092</v>
      </c>
      <c r="AF26">
        <v>0.13900000000000001</v>
      </c>
      <c r="AG26">
        <v>0.54600000000000004</v>
      </c>
      <c r="AH26">
        <v>838.24</v>
      </c>
      <c r="AI26">
        <v>5.7210000000000001</v>
      </c>
      <c r="AJ26">
        <v>1141.7</v>
      </c>
      <c r="AK26">
        <v>0</v>
      </c>
      <c r="AL26">
        <v>68.8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3.0000000000000001E-3</v>
      </c>
      <c r="AV26">
        <v>2.1563636363636363</v>
      </c>
      <c r="AW26">
        <v>2.7631000000000001</v>
      </c>
      <c r="AX26">
        <v>277.92</v>
      </c>
      <c r="AY26">
        <v>6.1148000000000007</v>
      </c>
      <c r="AZ26">
        <v>0.113096</v>
      </c>
      <c r="BA26">
        <v>0.51229999999999998</v>
      </c>
      <c r="BB26">
        <v>0.11600000000000001</v>
      </c>
      <c r="BC26">
        <v>1.3089999999999999E-2</v>
      </c>
      <c r="BD26">
        <v>4.617</v>
      </c>
      <c r="BE26">
        <v>0.10199999999999999</v>
      </c>
      <c r="BF26">
        <v>68.12</v>
      </c>
      <c r="BG26">
        <v>4.79</v>
      </c>
      <c r="BH26">
        <v>0.56999999999999995</v>
      </c>
      <c r="BI26">
        <v>0.31</v>
      </c>
      <c r="BJ26">
        <v>1.756</v>
      </c>
      <c r="BK26">
        <v>1.5660000000000001</v>
      </c>
      <c r="BL26">
        <v>3.1300000000000001E-2</v>
      </c>
      <c r="BM26">
        <v>0.88</v>
      </c>
      <c r="BN26">
        <v>7.177E-2</v>
      </c>
      <c r="BO26">
        <v>0.9</v>
      </c>
      <c r="BP26">
        <v>0.200708</v>
      </c>
      <c r="BQ26">
        <v>0.100952</v>
      </c>
      <c r="BR26">
        <v>0</v>
      </c>
      <c r="BS26">
        <v>0.28499999999999998</v>
      </c>
      <c r="BT26">
        <v>2.4379999999999999E-2</v>
      </c>
      <c r="BU26">
        <v>6.1000000000000004E-3</v>
      </c>
      <c r="BV26">
        <v>2.1989999999999999E-2</v>
      </c>
      <c r="BW26">
        <v>5.2999999999999999E-2</v>
      </c>
      <c r="BX26">
        <v>5.2999999999999999E-2</v>
      </c>
      <c r="BY26">
        <v>4.8000000000000001E-2</v>
      </c>
      <c r="BZ26">
        <v>0</v>
      </c>
      <c r="CA26">
        <v>2.5000000000000001E-2</v>
      </c>
      <c r="CB26">
        <v>1.6E-2</v>
      </c>
      <c r="CC26">
        <v>4.927E-3</v>
      </c>
      <c r="CD26">
        <v>0</v>
      </c>
      <c r="CE26">
        <v>0.31215300000000001</v>
      </c>
      <c r="CF26">
        <v>0</v>
      </c>
      <c r="CG26">
        <v>2.3E-2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</row>
    <row r="27" spans="1:105" x14ac:dyDescent="0.25">
      <c r="A27" s="1">
        <v>40968</v>
      </c>
      <c r="B27">
        <v>7.0263000000000006E-2</v>
      </c>
      <c r="C27">
        <v>3.3000000000000002E-2</v>
      </c>
      <c r="D27">
        <v>2.88</v>
      </c>
      <c r="E27">
        <v>0.17113</v>
      </c>
      <c r="F27">
        <v>0.151586</v>
      </c>
      <c r="G27">
        <v>0.108</v>
      </c>
      <c r="H27">
        <v>0.33200000000000002</v>
      </c>
      <c r="I27">
        <v>0.217</v>
      </c>
      <c r="J27">
        <v>0.1691</v>
      </c>
      <c r="K27">
        <v>9.0999999999999998E-2</v>
      </c>
      <c r="L27">
        <v>0.5</v>
      </c>
      <c r="M27">
        <v>2.1909999999999998</v>
      </c>
      <c r="N27">
        <v>1.0780000000000001</v>
      </c>
      <c r="O27">
        <v>1.0042</v>
      </c>
      <c r="P27">
        <v>6</v>
      </c>
      <c r="Q27">
        <v>0.17799999999999999</v>
      </c>
      <c r="R27">
        <v>8.2000000000000003E-2</v>
      </c>
      <c r="S27">
        <v>1.4710000000000001</v>
      </c>
      <c r="T27">
        <v>1.3360000000000001</v>
      </c>
      <c r="U27">
        <v>0.01</v>
      </c>
      <c r="V27">
        <v>1.2999999999999999E-3</v>
      </c>
      <c r="W27">
        <v>8.0199999999999994E-2</v>
      </c>
      <c r="X27">
        <v>1.99</v>
      </c>
      <c r="Y27">
        <v>5.98</v>
      </c>
      <c r="Z27">
        <v>36.17</v>
      </c>
      <c r="AA27">
        <v>0.38</v>
      </c>
      <c r="AB27">
        <v>0.112</v>
      </c>
      <c r="AC27">
        <v>4.9279999999999999</v>
      </c>
      <c r="AD27">
        <v>0.02</v>
      </c>
      <c r="AE27">
        <v>0.13143636363636363</v>
      </c>
      <c r="AF27">
        <v>0.13300000000000001</v>
      </c>
      <c r="AG27">
        <v>0.53800000000000003</v>
      </c>
      <c r="AH27">
        <v>849.17</v>
      </c>
      <c r="AI27">
        <v>4.4029999999999996</v>
      </c>
      <c r="AJ27">
        <v>1190.23</v>
      </c>
      <c r="AK27">
        <v>0</v>
      </c>
      <c r="AL27">
        <v>70.599999999999994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6.0000000000000001E-3</v>
      </c>
      <c r="AV27">
        <v>2.4640909090909093</v>
      </c>
      <c r="AW27">
        <v>3.1859999999999999</v>
      </c>
      <c r="AX27">
        <v>281.64</v>
      </c>
      <c r="AY27">
        <v>6.2220000000000004</v>
      </c>
      <c r="AZ27">
        <v>0.11551699999999999</v>
      </c>
      <c r="BA27">
        <v>0.54979999999999996</v>
      </c>
      <c r="BB27">
        <v>0.115</v>
      </c>
      <c r="BC27">
        <v>1.7410999999999999E-2</v>
      </c>
      <c r="BD27">
        <v>5.556</v>
      </c>
      <c r="BE27">
        <v>0.47510000000000002</v>
      </c>
      <c r="BF27">
        <v>82.9</v>
      </c>
      <c r="BG27">
        <v>3.97</v>
      </c>
      <c r="BH27">
        <v>0.56999999999999995</v>
      </c>
      <c r="BI27">
        <v>0.57999999999999996</v>
      </c>
      <c r="BJ27">
        <v>2.1471</v>
      </c>
      <c r="BK27">
        <v>2.145</v>
      </c>
      <c r="BL27">
        <v>2.775E-2</v>
      </c>
      <c r="BM27">
        <v>1.01</v>
      </c>
      <c r="BN27">
        <v>8.5516999999999996E-2</v>
      </c>
      <c r="BO27">
        <v>0.9</v>
      </c>
      <c r="BP27">
        <v>0.179284</v>
      </c>
      <c r="BQ27">
        <v>0.100685</v>
      </c>
      <c r="BR27">
        <v>0</v>
      </c>
      <c r="BS27">
        <v>0.316</v>
      </c>
      <c r="BT27">
        <v>2.2700000000000001E-2</v>
      </c>
      <c r="BU27">
        <v>6.7669999999999996E-3</v>
      </c>
      <c r="BV27">
        <v>1.917E-2</v>
      </c>
      <c r="BW27">
        <v>5.5E-2</v>
      </c>
      <c r="BX27">
        <v>5.5E-2</v>
      </c>
      <c r="BY27">
        <v>8.6999999999999994E-2</v>
      </c>
      <c r="BZ27">
        <v>0</v>
      </c>
      <c r="CA27">
        <v>2.3599999999999999E-2</v>
      </c>
      <c r="CB27">
        <v>1.0999999999999999E-2</v>
      </c>
      <c r="CC27">
        <v>4.7860000000000003E-3</v>
      </c>
      <c r="CD27">
        <v>0</v>
      </c>
      <c r="CE27">
        <v>0.361591</v>
      </c>
      <c r="CF27">
        <v>0</v>
      </c>
      <c r="CG27">
        <v>1.9E-2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</row>
    <row r="28" spans="1:105" x14ac:dyDescent="0.25">
      <c r="A28" s="1">
        <v>40999</v>
      </c>
      <c r="B28">
        <v>7.4700000000000003E-2</v>
      </c>
      <c r="C28">
        <v>0.104</v>
      </c>
      <c r="D28">
        <v>3.09</v>
      </c>
      <c r="E28">
        <v>0.16933200000000001</v>
      </c>
      <c r="F28">
        <v>0.18290000000000001</v>
      </c>
      <c r="G28">
        <v>7.9000000000000001E-2</v>
      </c>
      <c r="H28">
        <v>0.313</v>
      </c>
      <c r="I28">
        <v>0.193</v>
      </c>
      <c r="J28">
        <v>0.1323</v>
      </c>
      <c r="K28">
        <v>0.111</v>
      </c>
      <c r="L28">
        <v>0.6</v>
      </c>
      <c r="M28">
        <v>1.9490000000000001</v>
      </c>
      <c r="N28">
        <v>1.1439999999999999</v>
      </c>
      <c r="O28">
        <v>1.0913999999999999</v>
      </c>
      <c r="P28">
        <v>6</v>
      </c>
      <c r="Q28">
        <v>0.16200000000000001</v>
      </c>
      <c r="R28">
        <v>0.10299999999999999</v>
      </c>
      <c r="S28">
        <v>1.4396770000000001</v>
      </c>
      <c r="T28">
        <v>1.3360000000000001</v>
      </c>
      <c r="U28">
        <v>6.0000000000000001E-3</v>
      </c>
      <c r="V28">
        <v>2.2000000000000001E-3</v>
      </c>
      <c r="W28">
        <v>7.3700000000000002E-2</v>
      </c>
      <c r="X28">
        <v>2.06</v>
      </c>
      <c r="Y28">
        <v>6.17</v>
      </c>
      <c r="Z28">
        <v>36.67</v>
      </c>
      <c r="AA28">
        <v>0.49</v>
      </c>
      <c r="AB28">
        <v>0.106</v>
      </c>
      <c r="AC28">
        <v>4.6050000000000004</v>
      </c>
      <c r="AD28">
        <v>0.04</v>
      </c>
      <c r="AE28">
        <v>0.13296363636363637</v>
      </c>
      <c r="AF28">
        <v>0.14799999999999999</v>
      </c>
      <c r="AG28">
        <v>0.54800000000000004</v>
      </c>
      <c r="AH28">
        <v>536.91</v>
      </c>
      <c r="AI28">
        <v>3.8879999999999999</v>
      </c>
      <c r="AJ28">
        <v>1180.3399999999999</v>
      </c>
      <c r="AK28">
        <v>0</v>
      </c>
      <c r="AL28">
        <v>819.3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2.7E-2</v>
      </c>
      <c r="AV28">
        <v>2.771818181818182</v>
      </c>
      <c r="AW28">
        <v>2.976</v>
      </c>
      <c r="AX28">
        <v>328.5</v>
      </c>
      <c r="AY28">
        <v>6.3292000000000002</v>
      </c>
      <c r="AZ28">
        <v>0.126</v>
      </c>
      <c r="BA28">
        <v>0.56030000000000002</v>
      </c>
      <c r="BB28">
        <v>0.111</v>
      </c>
      <c r="BC28">
        <v>1.5257E-2</v>
      </c>
      <c r="BD28">
        <v>5.2519999999999998</v>
      </c>
      <c r="BE28">
        <v>1.54</v>
      </c>
      <c r="BF28">
        <v>75.91</v>
      </c>
      <c r="BG28">
        <v>4.1900000000000004</v>
      </c>
      <c r="BH28">
        <v>0.59</v>
      </c>
      <c r="BI28">
        <v>0.68599999999999994</v>
      </c>
      <c r="BJ28">
        <v>2.1219999999999999</v>
      </c>
      <c r="BK28">
        <v>2.0369999999999999</v>
      </c>
      <c r="BL28">
        <v>3.49E-2</v>
      </c>
      <c r="BM28">
        <v>1.49</v>
      </c>
      <c r="BN28">
        <v>0.101067</v>
      </c>
      <c r="BO28">
        <v>0.9</v>
      </c>
      <c r="BP28">
        <v>0.20671900000000001</v>
      </c>
      <c r="BQ28">
        <v>9.3397999999999995E-2</v>
      </c>
      <c r="BR28">
        <v>0</v>
      </c>
      <c r="BS28">
        <v>0.21299999999999999</v>
      </c>
      <c r="BT28">
        <v>2.75E-2</v>
      </c>
      <c r="BU28">
        <v>5.9820000000000003E-3</v>
      </c>
      <c r="BV28">
        <v>2.0719999999999999E-2</v>
      </c>
      <c r="BW28">
        <v>0.05</v>
      </c>
      <c r="BX28">
        <v>0.05</v>
      </c>
      <c r="BY28">
        <v>6.0999999999999999E-2</v>
      </c>
      <c r="BZ28">
        <v>0</v>
      </c>
      <c r="CA28">
        <v>2.6200000000000001E-2</v>
      </c>
      <c r="CB28">
        <v>8.0000000000000002E-3</v>
      </c>
      <c r="CC28">
        <v>3.4139999999999999E-3</v>
      </c>
      <c r="CD28">
        <v>0</v>
      </c>
      <c r="CE28">
        <v>0.378409</v>
      </c>
      <c r="CF28">
        <v>0</v>
      </c>
      <c r="CG28">
        <v>1.4999999999999999E-2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</row>
    <row r="29" spans="1:105" x14ac:dyDescent="0.25">
      <c r="A29" s="1">
        <v>41029</v>
      </c>
      <c r="B29">
        <v>6.9599999999999995E-2</v>
      </c>
      <c r="C29">
        <v>0.10299999999999999</v>
      </c>
      <c r="D29">
        <v>2.88</v>
      </c>
      <c r="E29">
        <v>0.13860600000000001</v>
      </c>
      <c r="F29">
        <v>0.16969999999999999</v>
      </c>
      <c r="G29">
        <v>5.2999999999999999E-2</v>
      </c>
      <c r="H29">
        <v>0.28199999999999997</v>
      </c>
      <c r="I29">
        <v>0.182</v>
      </c>
      <c r="J29">
        <v>0.1076</v>
      </c>
      <c r="K29">
        <v>9.4E-2</v>
      </c>
      <c r="L29">
        <v>0.75</v>
      </c>
      <c r="M29">
        <v>1.6479999999999999</v>
      </c>
      <c r="N29">
        <v>1.0289999999999999</v>
      </c>
      <c r="O29">
        <v>1.0111000000000001</v>
      </c>
      <c r="P29">
        <v>5.2</v>
      </c>
      <c r="Q29">
        <v>0.13600000000000001</v>
      </c>
      <c r="R29">
        <v>9.5000000000000001E-2</v>
      </c>
      <c r="S29">
        <v>1.4243429999999999</v>
      </c>
      <c r="T29">
        <v>1.304</v>
      </c>
      <c r="U29">
        <v>8.0000000000000002E-3</v>
      </c>
      <c r="V29">
        <v>1.5E-3</v>
      </c>
      <c r="W29">
        <v>7.9100000000000004E-2</v>
      </c>
      <c r="X29">
        <v>1.27</v>
      </c>
      <c r="Y29">
        <v>5.38</v>
      </c>
      <c r="Z29">
        <v>32.19</v>
      </c>
      <c r="AA29">
        <v>0.6</v>
      </c>
      <c r="AB29">
        <v>0.10199999999999999</v>
      </c>
      <c r="AC29">
        <v>4.0209999999999999</v>
      </c>
      <c r="AD29">
        <v>5.0000000000000001E-3</v>
      </c>
      <c r="AE29">
        <v>0.13449090909090911</v>
      </c>
      <c r="AF29">
        <v>0.14000000000000001</v>
      </c>
      <c r="AG29">
        <v>0.52</v>
      </c>
      <c r="AH29">
        <v>603.42999999999995</v>
      </c>
      <c r="AI29">
        <v>2.6779999999999999</v>
      </c>
      <c r="AJ29">
        <v>1209.5999999999999</v>
      </c>
      <c r="AK29">
        <v>0</v>
      </c>
      <c r="AL29">
        <v>778.2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3.3000000000000002E-2</v>
      </c>
      <c r="AV29">
        <v>3.0795454545454546</v>
      </c>
      <c r="AW29">
        <v>2.5529999999999999</v>
      </c>
      <c r="AX29">
        <v>491.74</v>
      </c>
      <c r="AY29">
        <v>6.4364000000000008</v>
      </c>
      <c r="AZ29">
        <v>0.1192</v>
      </c>
      <c r="BA29">
        <v>0.432</v>
      </c>
      <c r="BB29">
        <v>0.113</v>
      </c>
      <c r="BC29">
        <v>1.2514000000000001E-2</v>
      </c>
      <c r="BD29">
        <v>3.8010000000000002</v>
      </c>
      <c r="BE29">
        <v>0.35599999999999998</v>
      </c>
      <c r="BF29">
        <v>68.61</v>
      </c>
      <c r="BG29">
        <v>4.08</v>
      </c>
      <c r="BH29">
        <v>0.59</v>
      </c>
      <c r="BI29">
        <v>0.79200000000000004</v>
      </c>
      <c r="BJ29">
        <v>1.8049999999999999</v>
      </c>
      <c r="BK29">
        <v>1.5329999999999999</v>
      </c>
      <c r="BL29">
        <v>2.3599999999999999E-2</v>
      </c>
      <c r="BM29">
        <v>1.24</v>
      </c>
      <c r="BN29">
        <v>8.2966999999999999E-2</v>
      </c>
      <c r="BO29">
        <v>0.68</v>
      </c>
      <c r="BP29">
        <v>0.15267600000000001</v>
      </c>
      <c r="BQ29">
        <v>9.5449000000000006E-2</v>
      </c>
      <c r="BR29">
        <v>0</v>
      </c>
      <c r="BS29">
        <v>0.30299999999999999</v>
      </c>
      <c r="BT29">
        <v>2.5700000000000001E-2</v>
      </c>
      <c r="BU29">
        <v>6.6509999999999998E-3</v>
      </c>
      <c r="BV29">
        <v>1.788E-2</v>
      </c>
      <c r="BW29">
        <v>5.5E-2</v>
      </c>
      <c r="BX29">
        <v>5.5E-2</v>
      </c>
      <c r="BY29">
        <v>5.5E-2</v>
      </c>
      <c r="BZ29">
        <v>0</v>
      </c>
      <c r="CA29">
        <v>0.03</v>
      </c>
      <c r="CB29">
        <v>1.2999999999999999E-2</v>
      </c>
      <c r="CC29">
        <v>3.686E-3</v>
      </c>
      <c r="CD29">
        <v>0</v>
      </c>
      <c r="CE29">
        <v>0.37735849999999999</v>
      </c>
      <c r="CF29">
        <v>0</v>
      </c>
      <c r="CG29">
        <v>1.6E-2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</row>
    <row r="30" spans="1:105" x14ac:dyDescent="0.25">
      <c r="A30" s="1">
        <v>41060</v>
      </c>
      <c r="B30">
        <v>6.7299999999999999E-2</v>
      </c>
      <c r="C30">
        <v>7.1999999999999995E-2</v>
      </c>
      <c r="D30">
        <v>3.07</v>
      </c>
      <c r="E30">
        <v>0.17049</v>
      </c>
      <c r="F30">
        <v>0.1948</v>
      </c>
      <c r="G30">
        <v>6.6000000000000003E-2</v>
      </c>
      <c r="H30">
        <v>0.29499999999999998</v>
      </c>
      <c r="I30">
        <v>0.184</v>
      </c>
      <c r="J30">
        <v>0.1542</v>
      </c>
      <c r="K30">
        <v>0.1</v>
      </c>
      <c r="L30">
        <v>0.7</v>
      </c>
      <c r="M30">
        <v>2.109</v>
      </c>
      <c r="N30">
        <v>1.03</v>
      </c>
      <c r="O30">
        <v>1.0357000000000001</v>
      </c>
      <c r="P30">
        <v>5.2</v>
      </c>
      <c r="Q30">
        <v>0.14199999999999999</v>
      </c>
      <c r="R30">
        <v>0.104</v>
      </c>
      <c r="S30">
        <v>1.3945160000000001</v>
      </c>
      <c r="T30">
        <v>1.3819999999999999</v>
      </c>
      <c r="U30">
        <v>8.9999999999999993E-3</v>
      </c>
      <c r="V30">
        <v>1.5E-3</v>
      </c>
      <c r="W30">
        <v>8.8599999999999998E-2</v>
      </c>
      <c r="X30">
        <v>1.68</v>
      </c>
      <c r="Y30">
        <v>5.67</v>
      </c>
      <c r="Z30">
        <v>36.82</v>
      </c>
      <c r="AA30">
        <v>0.59</v>
      </c>
      <c r="AB30">
        <v>0.11600000000000001</v>
      </c>
      <c r="AC30">
        <v>4.7670000000000003</v>
      </c>
      <c r="AD30">
        <v>0.02</v>
      </c>
      <c r="AE30">
        <v>0.13601818181818182</v>
      </c>
      <c r="AF30">
        <v>0.14599999999999999</v>
      </c>
      <c r="AG30">
        <v>0.627</v>
      </c>
      <c r="AH30">
        <v>847.59</v>
      </c>
      <c r="AI30">
        <v>2.7130000000000001</v>
      </c>
      <c r="AJ30">
        <v>1209.5999999999999</v>
      </c>
      <c r="AK30">
        <v>0</v>
      </c>
      <c r="AL30">
        <v>1141.8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1.4999999999999999E-2</v>
      </c>
      <c r="AV30">
        <v>3.3872727272727272</v>
      </c>
      <c r="AW30">
        <v>2.9129999999999998</v>
      </c>
      <c r="AX30">
        <v>537.12</v>
      </c>
      <c r="AY30">
        <v>6.5436000000000005</v>
      </c>
      <c r="AZ30">
        <v>0.15212899999999999</v>
      </c>
      <c r="BA30">
        <v>0.59360000000000002</v>
      </c>
      <c r="BB30">
        <v>0.12</v>
      </c>
      <c r="BC30">
        <v>1.5042E-2</v>
      </c>
      <c r="BD30">
        <v>4.8719999999999999</v>
      </c>
      <c r="BE30">
        <v>1.1100000000000001</v>
      </c>
      <c r="BF30">
        <v>77.48</v>
      </c>
      <c r="BG30">
        <v>4.09</v>
      </c>
      <c r="BH30">
        <v>0.56999999999999995</v>
      </c>
      <c r="BI30">
        <v>0.89800000000000002</v>
      </c>
      <c r="BJ30">
        <v>2.19</v>
      </c>
      <c r="BK30">
        <v>2.0790000000000002</v>
      </c>
      <c r="BL30">
        <v>2.7400000000000001E-2</v>
      </c>
      <c r="BM30">
        <v>1.48</v>
      </c>
      <c r="BN30">
        <v>9.8000000000000004E-2</v>
      </c>
      <c r="BO30">
        <v>0.8</v>
      </c>
      <c r="BP30">
        <v>0.23150899999999999</v>
      </c>
      <c r="BQ30">
        <v>0.106146</v>
      </c>
      <c r="BR30">
        <v>0</v>
      </c>
      <c r="BS30">
        <v>0.28199999999999997</v>
      </c>
      <c r="BT30">
        <v>1.43E-2</v>
      </c>
      <c r="BU30">
        <v>5.5399999999999998E-3</v>
      </c>
      <c r="BV30">
        <v>1.915E-2</v>
      </c>
      <c r="BW30">
        <v>0.06</v>
      </c>
      <c r="BX30">
        <v>0.06</v>
      </c>
      <c r="BY30">
        <v>0.06</v>
      </c>
      <c r="BZ30">
        <v>0</v>
      </c>
      <c r="CA30">
        <v>2.3800000000000002E-2</v>
      </c>
      <c r="CB30">
        <v>1.7000000000000001E-2</v>
      </c>
      <c r="CC30">
        <v>6.3759999999999997E-3</v>
      </c>
      <c r="CD30">
        <v>0</v>
      </c>
      <c r="CE30">
        <v>0.37630799999999998</v>
      </c>
      <c r="CF30">
        <v>0</v>
      </c>
      <c r="CG30">
        <v>1.6E-2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</row>
    <row r="31" spans="1:105" x14ac:dyDescent="0.25">
      <c r="A31" s="1">
        <v>41090</v>
      </c>
      <c r="B31">
        <v>7.5700000000000003E-2</v>
      </c>
      <c r="C31">
        <v>9.7000000000000003E-2</v>
      </c>
      <c r="D31">
        <v>2.82</v>
      </c>
      <c r="E31">
        <v>0.122465</v>
      </c>
      <c r="F31">
        <v>0.19620000000000001</v>
      </c>
      <c r="G31">
        <v>4.5999999999999999E-2</v>
      </c>
      <c r="H31">
        <v>0.28499999999999998</v>
      </c>
      <c r="I31">
        <v>0.17399999999999999</v>
      </c>
      <c r="J31">
        <v>8.0399999999999999E-2</v>
      </c>
      <c r="K31">
        <v>0.1</v>
      </c>
      <c r="L31">
        <v>0.5</v>
      </c>
      <c r="M31">
        <v>1.395</v>
      </c>
      <c r="N31">
        <v>1.006</v>
      </c>
      <c r="O31">
        <v>0.95579999999999998</v>
      </c>
      <c r="P31">
        <v>5.0999999999999996</v>
      </c>
      <c r="Q31">
        <v>0.13400000000000001</v>
      </c>
      <c r="R31">
        <v>0.126</v>
      </c>
      <c r="S31">
        <v>1.4306669999999999</v>
      </c>
      <c r="T31">
        <v>1.413</v>
      </c>
      <c r="U31">
        <v>9.4000000000000004E-3</v>
      </c>
      <c r="V31">
        <v>1.9E-2</v>
      </c>
      <c r="W31">
        <v>6.9199999999999998E-2</v>
      </c>
      <c r="X31">
        <v>0.87</v>
      </c>
      <c r="Y31">
        <v>4.37</v>
      </c>
      <c r="Z31">
        <v>28.99</v>
      </c>
      <c r="AA31">
        <v>2.77</v>
      </c>
      <c r="AB31">
        <v>8.7999999999999995E-2</v>
      </c>
      <c r="AC31">
        <v>4.0430000000000001</v>
      </c>
      <c r="AD31">
        <v>7.0000000000000007E-2</v>
      </c>
      <c r="AE31">
        <v>0.13754545454545455</v>
      </c>
      <c r="AF31">
        <v>0.14899999999999999</v>
      </c>
      <c r="AG31">
        <v>0.52900000000000003</v>
      </c>
      <c r="AH31">
        <v>1120</v>
      </c>
      <c r="AI31">
        <v>2.552</v>
      </c>
      <c r="AJ31">
        <v>1210</v>
      </c>
      <c r="AK31">
        <v>0</v>
      </c>
      <c r="AL31">
        <v>574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0.02</v>
      </c>
      <c r="AV31">
        <v>3.6950000000000003</v>
      </c>
      <c r="AW31">
        <v>2.5680000000000001</v>
      </c>
      <c r="AX31">
        <v>524.77</v>
      </c>
      <c r="AY31">
        <v>6.6508000000000003</v>
      </c>
      <c r="AZ31">
        <v>0.117066</v>
      </c>
      <c r="BA31">
        <v>0.44600000000000001</v>
      </c>
      <c r="BB31">
        <v>0.106</v>
      </c>
      <c r="BC31">
        <v>5.4299999999999999E-3</v>
      </c>
      <c r="BD31">
        <v>3.3170000000000002</v>
      </c>
      <c r="BE31">
        <v>1.0395000000000001</v>
      </c>
      <c r="BF31">
        <v>65.959999999999994</v>
      </c>
      <c r="BG31">
        <v>4</v>
      </c>
      <c r="BH31">
        <v>0.59</v>
      </c>
      <c r="BI31">
        <v>1.004</v>
      </c>
      <c r="BJ31">
        <v>2.0716000000000001</v>
      </c>
      <c r="BK31">
        <v>1.5429999999999999</v>
      </c>
      <c r="BL31">
        <v>2.4400000000000002E-2</v>
      </c>
      <c r="BM31">
        <v>1.49</v>
      </c>
      <c r="BN31">
        <v>7.9862000000000002E-2</v>
      </c>
      <c r="BO31">
        <v>0.7</v>
      </c>
      <c r="BP31">
        <v>0.184332</v>
      </c>
      <c r="BQ31">
        <v>8.1303E-2</v>
      </c>
      <c r="BR31">
        <v>0</v>
      </c>
      <c r="BS31">
        <v>4.5999999999999999E-2</v>
      </c>
      <c r="BT31">
        <v>2.5000000000000001E-2</v>
      </c>
      <c r="BU31">
        <v>6.4419999999999998E-3</v>
      </c>
      <c r="BV31">
        <v>2.1069999999999998E-2</v>
      </c>
      <c r="BW31">
        <v>6.2E-2</v>
      </c>
      <c r="BX31">
        <v>6.2E-2</v>
      </c>
      <c r="BY31">
        <v>7.6999999999999999E-2</v>
      </c>
      <c r="BZ31">
        <v>0</v>
      </c>
      <c r="CA31">
        <v>2.6200000000000001E-2</v>
      </c>
      <c r="CB31">
        <v>0.01</v>
      </c>
      <c r="CC31">
        <v>5.4679999999999998E-3</v>
      </c>
      <c r="CD31">
        <v>0</v>
      </c>
      <c r="CE31">
        <v>0.37604300000000002</v>
      </c>
      <c r="CF31">
        <v>0</v>
      </c>
      <c r="CG31">
        <v>1.2999999999999999E-2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</row>
    <row r="32" spans="1:105" x14ac:dyDescent="0.25">
      <c r="A32" s="1">
        <v>41121</v>
      </c>
      <c r="B32">
        <v>5.7099999999999998E-2</v>
      </c>
      <c r="C32">
        <v>7.5999999999999998E-2</v>
      </c>
      <c r="D32">
        <v>2.86</v>
      </c>
      <c r="E32">
        <v>0.132025</v>
      </c>
      <c r="F32">
        <v>0.19980000000000001</v>
      </c>
      <c r="G32">
        <v>5.6000000000000001E-2</v>
      </c>
      <c r="H32">
        <v>0.26900000000000002</v>
      </c>
      <c r="I32">
        <v>0.17</v>
      </c>
      <c r="J32">
        <v>0.15720000000000001</v>
      </c>
      <c r="K32">
        <v>0.106</v>
      </c>
      <c r="L32">
        <v>0.44</v>
      </c>
      <c r="M32">
        <v>1.6639999999999999</v>
      </c>
      <c r="N32">
        <v>1.08</v>
      </c>
      <c r="O32">
        <v>0.94369999999999998</v>
      </c>
      <c r="P32">
        <v>5.6</v>
      </c>
      <c r="Q32">
        <v>0.14599999999999999</v>
      </c>
      <c r="R32">
        <v>0.13200000000000001</v>
      </c>
      <c r="S32">
        <v>1.4380649999999999</v>
      </c>
      <c r="T32">
        <v>1.381</v>
      </c>
      <c r="U32">
        <v>1.14E-2</v>
      </c>
      <c r="V32">
        <v>4.1999999999999997E-3</v>
      </c>
      <c r="W32">
        <v>8.2000000000000003E-2</v>
      </c>
      <c r="X32">
        <v>1.06</v>
      </c>
      <c r="Y32">
        <v>4.72</v>
      </c>
      <c r="Z32">
        <v>30.77</v>
      </c>
      <c r="AA32">
        <v>2.79</v>
      </c>
      <c r="AB32">
        <v>8.6999999999999994E-2</v>
      </c>
      <c r="AC32">
        <v>4.2539999999999996</v>
      </c>
      <c r="AD32">
        <v>0.04</v>
      </c>
      <c r="AE32">
        <v>0.13907272727272726</v>
      </c>
      <c r="AF32">
        <v>0.153</v>
      </c>
      <c r="AG32">
        <v>0.56999999999999995</v>
      </c>
      <c r="AH32">
        <v>1104</v>
      </c>
      <c r="AI32">
        <v>2.585</v>
      </c>
      <c r="AJ32">
        <v>1145</v>
      </c>
      <c r="AK32">
        <v>0</v>
      </c>
      <c r="AL32">
        <v>811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7.0000000000000007E-2</v>
      </c>
      <c r="AV32">
        <v>4.0027272727272729</v>
      </c>
      <c r="AW32">
        <v>2.6669999999999998</v>
      </c>
      <c r="AX32">
        <v>531.20000000000005</v>
      </c>
      <c r="AY32">
        <v>6.758</v>
      </c>
      <c r="AZ32">
        <v>0.14303199999999999</v>
      </c>
      <c r="BA32">
        <v>0.52170000000000005</v>
      </c>
      <c r="BB32">
        <v>0.10199999999999999</v>
      </c>
      <c r="BC32">
        <v>7.3474999999999999E-3</v>
      </c>
      <c r="BD32">
        <v>4.218</v>
      </c>
      <c r="BE32">
        <v>0.96899999999999997</v>
      </c>
      <c r="BF32">
        <v>71.430000000000007</v>
      </c>
      <c r="BG32">
        <v>4.28</v>
      </c>
      <c r="BH32">
        <v>0.59</v>
      </c>
      <c r="BI32">
        <v>1.1100000000000001</v>
      </c>
      <c r="BJ32">
        <v>2.2839999999999998</v>
      </c>
      <c r="BK32">
        <v>1.635</v>
      </c>
      <c r="BL32">
        <v>2.826E-2</v>
      </c>
      <c r="BM32">
        <v>1.42</v>
      </c>
      <c r="BN32">
        <v>8.1516000000000005E-2</v>
      </c>
      <c r="BO32">
        <v>0.7</v>
      </c>
      <c r="BP32">
        <v>0.17566399999999999</v>
      </c>
      <c r="BQ32">
        <v>9.3397999999999995E-2</v>
      </c>
      <c r="BR32">
        <v>0</v>
      </c>
      <c r="BS32">
        <v>0.33</v>
      </c>
      <c r="BT32">
        <v>2.4E-2</v>
      </c>
      <c r="BU32">
        <v>1.8674E-2</v>
      </c>
      <c r="BV32">
        <v>2.496E-2</v>
      </c>
      <c r="BW32">
        <v>7.4999999999999997E-2</v>
      </c>
      <c r="BX32">
        <v>7.4999999999999997E-2</v>
      </c>
      <c r="BY32">
        <v>9.6000000000000002E-2</v>
      </c>
      <c r="BZ32">
        <v>0</v>
      </c>
      <c r="CA32">
        <v>2.41E-2</v>
      </c>
      <c r="CB32">
        <v>1.2999999999999999E-2</v>
      </c>
      <c r="CC32">
        <v>5.8539999999999998E-3</v>
      </c>
      <c r="CD32">
        <v>0</v>
      </c>
      <c r="CE32">
        <v>0.38880999999999999</v>
      </c>
      <c r="CF32">
        <v>0</v>
      </c>
      <c r="CG32">
        <v>1.6E-2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</row>
    <row r="33" spans="1:105" x14ac:dyDescent="0.25">
      <c r="A33" s="1">
        <v>41152</v>
      </c>
      <c r="B33">
        <v>5.4199999999999998E-2</v>
      </c>
      <c r="C33">
        <v>9.9000000000000005E-2</v>
      </c>
      <c r="D33">
        <v>2.92</v>
      </c>
      <c r="E33">
        <v>0.13803399999999999</v>
      </c>
      <c r="F33">
        <v>0.1762</v>
      </c>
      <c r="G33">
        <v>5.1999999999999998E-2</v>
      </c>
      <c r="H33">
        <v>0.27100000000000002</v>
      </c>
      <c r="I33">
        <v>0.19</v>
      </c>
      <c r="J33">
        <v>9.2499999999999999E-2</v>
      </c>
      <c r="K33">
        <v>0.10100000000000001</v>
      </c>
      <c r="L33">
        <v>0.5</v>
      </c>
      <c r="M33">
        <v>1.5229999999999999</v>
      </c>
      <c r="N33">
        <v>1.006</v>
      </c>
      <c r="O33">
        <v>0.95530000000000004</v>
      </c>
      <c r="P33">
        <v>5.3</v>
      </c>
      <c r="Q33">
        <v>0.14299999999999999</v>
      </c>
      <c r="R33">
        <v>0.11899999999999999</v>
      </c>
      <c r="S33">
        <v>1.48</v>
      </c>
      <c r="T33">
        <v>1.2809999999999999</v>
      </c>
      <c r="U33">
        <v>7.0000000000000001E-3</v>
      </c>
      <c r="V33">
        <v>3.7000000000000002E-3</v>
      </c>
      <c r="W33">
        <v>7.9100000000000004E-2</v>
      </c>
      <c r="X33">
        <v>0.82</v>
      </c>
      <c r="Y33">
        <v>4.3</v>
      </c>
      <c r="Z33">
        <v>27.24</v>
      </c>
      <c r="AA33">
        <v>3.98</v>
      </c>
      <c r="AB33">
        <v>8.5000000000000006E-2</v>
      </c>
      <c r="AC33">
        <v>4.0460000000000003</v>
      </c>
      <c r="AD33">
        <v>0.03</v>
      </c>
      <c r="AE33">
        <v>0.1406</v>
      </c>
      <c r="AF33">
        <v>0.154</v>
      </c>
      <c r="AG33">
        <v>0.57199999999999995</v>
      </c>
      <c r="AH33">
        <v>1203</v>
      </c>
      <c r="AI33">
        <v>2.3319999999999999</v>
      </c>
      <c r="AJ33">
        <v>1210</v>
      </c>
      <c r="AK33">
        <v>0</v>
      </c>
      <c r="AL33">
        <v>1145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0.08</v>
      </c>
      <c r="AV33">
        <v>4.3104545454545455</v>
      </c>
      <c r="AW33">
        <v>2.6110000000000002</v>
      </c>
      <c r="AX33">
        <v>537.12</v>
      </c>
      <c r="AY33">
        <v>6.8651999999999997</v>
      </c>
      <c r="AZ33">
        <v>0.13106400000000001</v>
      </c>
      <c r="BA33">
        <v>0.46870000000000001</v>
      </c>
      <c r="BB33">
        <v>0.114</v>
      </c>
      <c r="BC33">
        <v>9.2650000000000007E-3</v>
      </c>
      <c r="BD33">
        <v>3.1589999999999998</v>
      </c>
      <c r="BE33">
        <v>0.37</v>
      </c>
      <c r="BF33">
        <v>70.22</v>
      </c>
      <c r="BG33">
        <v>5.12</v>
      </c>
      <c r="BH33">
        <v>0.6</v>
      </c>
      <c r="BI33">
        <v>0.98</v>
      </c>
      <c r="BJ33">
        <v>2.0528</v>
      </c>
      <c r="BK33">
        <v>1.673</v>
      </c>
      <c r="BL33">
        <v>3.2000000000000001E-2</v>
      </c>
      <c r="BM33">
        <v>1.45</v>
      </c>
      <c r="BN33">
        <v>6.9903000000000007E-2</v>
      </c>
      <c r="BO33">
        <v>0.7</v>
      </c>
      <c r="BP33">
        <v>0.15878100000000001</v>
      </c>
      <c r="BQ33">
        <v>9.5028000000000001E-2</v>
      </c>
      <c r="BR33">
        <v>0</v>
      </c>
      <c r="BS33">
        <v>0.34100000000000003</v>
      </c>
      <c r="BT33">
        <v>2.4E-2</v>
      </c>
      <c r="BU33">
        <v>6.7130000000000002E-3</v>
      </c>
      <c r="BV33">
        <v>2.4729999999999999E-2</v>
      </c>
      <c r="BW33">
        <v>6.3E-2</v>
      </c>
      <c r="BX33">
        <v>6.3E-2</v>
      </c>
      <c r="BY33">
        <v>0.11700000000000001</v>
      </c>
      <c r="BZ33">
        <v>0</v>
      </c>
      <c r="CA33">
        <v>3.15E-2</v>
      </c>
      <c r="CB33">
        <v>1.4999999999999999E-2</v>
      </c>
      <c r="CC33">
        <v>6.0939999999999996E-3</v>
      </c>
      <c r="CD33">
        <v>0</v>
      </c>
      <c r="CE33">
        <v>0.41023300000000001</v>
      </c>
      <c r="CF33">
        <v>0</v>
      </c>
      <c r="CG33">
        <v>1.2999999999999999E-2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</row>
    <row r="34" spans="1:105" x14ac:dyDescent="0.25">
      <c r="A34" s="1">
        <v>41182</v>
      </c>
      <c r="B34">
        <v>5.2999999999999999E-2</v>
      </c>
      <c r="C34">
        <v>9.2999999999999999E-2</v>
      </c>
      <c r="D34">
        <v>3.04</v>
      </c>
      <c r="E34">
        <v>0.16266</v>
      </c>
      <c r="F34">
        <v>0.18909999999999999</v>
      </c>
      <c r="G34">
        <v>8.2000000000000003E-2</v>
      </c>
      <c r="H34">
        <v>0.27700000000000002</v>
      </c>
      <c r="I34">
        <v>0.19</v>
      </c>
      <c r="J34">
        <v>0.1</v>
      </c>
      <c r="K34">
        <v>0.123</v>
      </c>
      <c r="L34">
        <v>0.5</v>
      </c>
      <c r="M34">
        <v>2.1080000000000001</v>
      </c>
      <c r="N34">
        <v>1.034</v>
      </c>
      <c r="O34">
        <v>1.0169999999999999</v>
      </c>
      <c r="P34">
        <v>5.5</v>
      </c>
      <c r="Q34">
        <v>0.14399999999999999</v>
      </c>
      <c r="R34">
        <v>9.7000000000000003E-2</v>
      </c>
      <c r="S34">
        <v>1.345</v>
      </c>
      <c r="T34">
        <v>1.236</v>
      </c>
      <c r="U34">
        <v>8.0000000000000002E-3</v>
      </c>
      <c r="V34">
        <v>3.5000000000000001E-3</v>
      </c>
      <c r="W34">
        <v>8.3400000000000002E-2</v>
      </c>
      <c r="X34">
        <v>1.39</v>
      </c>
      <c r="Y34">
        <v>5.0599999999999996</v>
      </c>
      <c r="Z34">
        <v>35.880000000000003</v>
      </c>
      <c r="AA34">
        <v>3.99</v>
      </c>
      <c r="AB34">
        <v>0.111</v>
      </c>
      <c r="AC34">
        <v>4.6859999999999999</v>
      </c>
      <c r="AD34">
        <v>0.03</v>
      </c>
      <c r="AE34">
        <v>0.14212727272727271</v>
      </c>
      <c r="AF34">
        <v>0.16500000000000001</v>
      </c>
      <c r="AG34">
        <v>0.58299999999999996</v>
      </c>
      <c r="AH34">
        <v>933</v>
      </c>
      <c r="AI34">
        <v>2.9009999999999998</v>
      </c>
      <c r="AJ34">
        <v>1210</v>
      </c>
      <c r="AK34">
        <v>0</v>
      </c>
      <c r="AL34">
        <v>804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0.14099999999999999</v>
      </c>
      <c r="AV34">
        <v>4.6181818181818182</v>
      </c>
      <c r="AW34">
        <v>2.6019999999999999</v>
      </c>
      <c r="AX34">
        <v>537.12</v>
      </c>
      <c r="AY34">
        <v>6.9724000000000004</v>
      </c>
      <c r="AZ34">
        <v>0.162966</v>
      </c>
      <c r="BA34">
        <v>0.52659999999999996</v>
      </c>
      <c r="BB34">
        <v>0.128</v>
      </c>
      <c r="BC34">
        <v>1.7559999999999999E-2</v>
      </c>
      <c r="BD34">
        <v>4.2859999999999996</v>
      </c>
      <c r="BE34">
        <v>1.68</v>
      </c>
      <c r="BF34">
        <v>77.23</v>
      </c>
      <c r="BG34">
        <v>4.74</v>
      </c>
      <c r="BH34">
        <v>0.54</v>
      </c>
      <c r="BI34">
        <v>0.68</v>
      </c>
      <c r="BJ34">
        <v>2.1469999999999998</v>
      </c>
      <c r="BK34">
        <v>1.8169999999999999</v>
      </c>
      <c r="BL34">
        <v>3.6299999999999999E-2</v>
      </c>
      <c r="BM34">
        <v>1.48</v>
      </c>
      <c r="BN34">
        <v>8.5538000000000003E-2</v>
      </c>
      <c r="BO34">
        <v>0.7</v>
      </c>
      <c r="BP34">
        <v>0.17918600000000001</v>
      </c>
      <c r="BQ34">
        <v>0.10401299999999999</v>
      </c>
      <c r="BR34">
        <v>0</v>
      </c>
      <c r="BS34">
        <v>0.35</v>
      </c>
      <c r="BT34">
        <v>2.7E-2</v>
      </c>
      <c r="BU34">
        <v>7.6309999999999998E-3</v>
      </c>
      <c r="BV34">
        <v>2.2630000000000001E-2</v>
      </c>
      <c r="BW34">
        <v>6.4000000000000001E-2</v>
      </c>
      <c r="BX34">
        <v>6.4000000000000001E-2</v>
      </c>
      <c r="BY34">
        <v>0.106</v>
      </c>
      <c r="BZ34">
        <v>0</v>
      </c>
      <c r="CA34">
        <v>3.15E-2</v>
      </c>
      <c r="CB34">
        <v>2.1000000000000001E-2</v>
      </c>
      <c r="CC34">
        <v>5.483E-3</v>
      </c>
      <c r="CD34">
        <v>0</v>
      </c>
      <c r="CE34">
        <v>0.44377499999999998</v>
      </c>
      <c r="CF34">
        <v>0</v>
      </c>
      <c r="CG34">
        <v>1.4E-2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</row>
    <row r="35" spans="1:105" x14ac:dyDescent="0.25">
      <c r="A35" s="1">
        <v>41213</v>
      </c>
      <c r="B35">
        <v>5.04E-2</v>
      </c>
      <c r="C35">
        <v>3.5999999999999997E-2</v>
      </c>
      <c r="D35">
        <v>2.85</v>
      </c>
      <c r="E35">
        <v>0.145871</v>
      </c>
      <c r="F35">
        <v>0.1764</v>
      </c>
      <c r="G35">
        <v>4.8000000000000001E-2</v>
      </c>
      <c r="H35">
        <v>0.27200000000000002</v>
      </c>
      <c r="I35">
        <v>0.19</v>
      </c>
      <c r="J35">
        <v>0.11840000000000001</v>
      </c>
      <c r="K35">
        <v>0.10199999999999999</v>
      </c>
      <c r="L35">
        <v>0.4</v>
      </c>
      <c r="M35">
        <v>1.661</v>
      </c>
      <c r="N35">
        <v>1.0169999999999999</v>
      </c>
      <c r="O35">
        <v>1.0253000000000001</v>
      </c>
      <c r="P35">
        <v>5.0999999999999996</v>
      </c>
      <c r="Q35">
        <v>0.13900000000000001</v>
      </c>
      <c r="R35">
        <v>8.4000000000000005E-2</v>
      </c>
      <c r="S35">
        <v>1.264</v>
      </c>
      <c r="T35">
        <v>1.2030000000000001</v>
      </c>
      <c r="U35">
        <v>8.3999999999999995E-3</v>
      </c>
      <c r="V35">
        <v>2.5999999999999999E-3</v>
      </c>
      <c r="W35">
        <v>8.8099999999999998E-2</v>
      </c>
      <c r="X35">
        <v>1.25</v>
      </c>
      <c r="Y35">
        <v>4.88</v>
      </c>
      <c r="Z35">
        <v>36.81</v>
      </c>
      <c r="AA35">
        <v>0.71</v>
      </c>
      <c r="AB35">
        <v>0.10299999999999999</v>
      </c>
      <c r="AC35">
        <v>4.2510000000000003</v>
      </c>
      <c r="AD35">
        <v>0.02</v>
      </c>
      <c r="AE35">
        <v>0.14365454545454545</v>
      </c>
      <c r="AF35">
        <v>0.14599999999999999</v>
      </c>
      <c r="AG35">
        <v>0.52800000000000002</v>
      </c>
      <c r="AH35">
        <v>951</v>
      </c>
      <c r="AI35">
        <v>2.3780000000000001</v>
      </c>
      <c r="AJ35">
        <v>1011</v>
      </c>
      <c r="AK35">
        <v>0</v>
      </c>
      <c r="AL35">
        <v>385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2.5000000000000001E-2</v>
      </c>
      <c r="AV35">
        <v>4.9259090909090908</v>
      </c>
      <c r="AW35">
        <v>2.5990000000000002</v>
      </c>
      <c r="AX35">
        <v>537.12</v>
      </c>
      <c r="AY35">
        <v>7.0796000000000001</v>
      </c>
      <c r="AZ35">
        <v>0.130193</v>
      </c>
      <c r="BA35">
        <v>0.49390000000000001</v>
      </c>
      <c r="BB35">
        <v>0.123</v>
      </c>
      <c r="BC35">
        <v>1.9181E-2</v>
      </c>
      <c r="BD35">
        <v>4.7279999999999998</v>
      </c>
      <c r="BE35">
        <v>0.23</v>
      </c>
      <c r="BF35">
        <v>74.17</v>
      </c>
      <c r="BG35">
        <v>4.1100000000000003</v>
      </c>
      <c r="BH35">
        <v>0.54200000000000004</v>
      </c>
      <c r="BI35">
        <v>0.74</v>
      </c>
      <c r="BJ35">
        <v>1.9764999999999999</v>
      </c>
      <c r="BK35">
        <v>1.77</v>
      </c>
      <c r="BL35">
        <v>3.4000000000000002E-2</v>
      </c>
      <c r="BM35">
        <v>1.39</v>
      </c>
      <c r="BN35">
        <v>7.6226000000000002E-2</v>
      </c>
      <c r="BO35">
        <v>0.7</v>
      </c>
      <c r="BP35">
        <v>9.7383999999999998E-2</v>
      </c>
      <c r="BQ35">
        <v>6.8851999999999997E-2</v>
      </c>
      <c r="BR35">
        <v>0</v>
      </c>
      <c r="BS35">
        <v>0.28599999999999998</v>
      </c>
      <c r="BT35">
        <v>2.5000000000000001E-2</v>
      </c>
      <c r="BU35">
        <v>5.7460000000000002E-3</v>
      </c>
      <c r="BV35">
        <v>2.0420000000000001E-2</v>
      </c>
      <c r="BW35">
        <v>6.3E-2</v>
      </c>
      <c r="BX35">
        <v>6.3E-2</v>
      </c>
      <c r="BY35">
        <v>7.6999999999999999E-2</v>
      </c>
      <c r="BZ35">
        <v>0</v>
      </c>
      <c r="CA35">
        <v>3.15E-2</v>
      </c>
      <c r="CB35">
        <v>1.4E-2</v>
      </c>
      <c r="CC35">
        <v>6.6249999999999998E-3</v>
      </c>
      <c r="CD35">
        <v>0</v>
      </c>
      <c r="CE35">
        <v>0.40315699999999999</v>
      </c>
      <c r="CF35">
        <v>0</v>
      </c>
      <c r="CG35">
        <v>0.02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</row>
    <row r="36" spans="1:105" x14ac:dyDescent="0.25">
      <c r="A36" s="1">
        <v>41243</v>
      </c>
      <c r="B36">
        <v>4.7300000000000002E-2</v>
      </c>
      <c r="C36">
        <v>4.2000000000000003E-2</v>
      </c>
      <c r="D36">
        <v>2.72</v>
      </c>
      <c r="E36">
        <v>0.14913299999999999</v>
      </c>
      <c r="F36">
        <v>0.14000000000000001</v>
      </c>
      <c r="G36">
        <v>3.5000000000000003E-2</v>
      </c>
      <c r="H36">
        <v>0.21199999999999999</v>
      </c>
      <c r="I36">
        <v>0.17699999999999999</v>
      </c>
      <c r="J36">
        <v>0.17130000000000001</v>
      </c>
      <c r="K36">
        <v>8.4000000000000005E-2</v>
      </c>
      <c r="L36">
        <v>0.4</v>
      </c>
      <c r="M36">
        <v>1.698</v>
      </c>
      <c r="N36">
        <v>0.98799999999999999</v>
      </c>
      <c r="O36">
        <v>0.98219999999999996</v>
      </c>
      <c r="P36">
        <v>4.8</v>
      </c>
      <c r="Q36">
        <v>0.14099999999999999</v>
      </c>
      <c r="R36">
        <v>8.3000000000000004E-2</v>
      </c>
      <c r="S36">
        <v>1.226</v>
      </c>
      <c r="T36">
        <v>1.2410000000000001</v>
      </c>
      <c r="U36">
        <v>7.1000000000000004E-3</v>
      </c>
      <c r="V36">
        <v>2.7000000000000001E-3</v>
      </c>
      <c r="W36">
        <v>8.7999999999999995E-2</v>
      </c>
      <c r="X36">
        <v>1.43</v>
      </c>
      <c r="Y36">
        <v>4.46</v>
      </c>
      <c r="Z36">
        <v>34.159999999999997</v>
      </c>
      <c r="AA36">
        <v>0.59</v>
      </c>
      <c r="AB36">
        <v>9.4E-2</v>
      </c>
      <c r="AC36">
        <v>4.0060000000000002</v>
      </c>
      <c r="AD36">
        <v>4.0000000000000001E-3</v>
      </c>
      <c r="AE36">
        <v>0.14518181818181819</v>
      </c>
      <c r="AF36">
        <v>0.13700000000000001</v>
      </c>
      <c r="AG36">
        <v>0.51980000000000004</v>
      </c>
      <c r="AH36">
        <v>869</v>
      </c>
      <c r="AI36">
        <v>1.75</v>
      </c>
      <c r="AJ36">
        <v>1037</v>
      </c>
      <c r="AK36">
        <v>0</v>
      </c>
      <c r="AL36">
        <v>433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1.6E-2</v>
      </c>
      <c r="AV36">
        <v>5.2336363636363634</v>
      </c>
      <c r="AW36">
        <v>2.4921000000000002</v>
      </c>
      <c r="AX36">
        <v>327.42</v>
      </c>
      <c r="AY36">
        <v>7.1867999999999999</v>
      </c>
      <c r="AZ36">
        <v>0.136266</v>
      </c>
      <c r="BA36">
        <v>0.48</v>
      </c>
      <c r="BB36">
        <v>0.126</v>
      </c>
      <c r="BC36">
        <v>1.1126E-2</v>
      </c>
      <c r="BD36">
        <v>4.3140000000000001</v>
      </c>
      <c r="BE36">
        <v>7.0000000000000007E-2</v>
      </c>
      <c r="BF36">
        <v>67.41</v>
      </c>
      <c r="BG36">
        <v>4.04</v>
      </c>
      <c r="BH36">
        <v>0.54400000000000004</v>
      </c>
      <c r="BI36">
        <v>0.62</v>
      </c>
      <c r="BJ36">
        <v>1.9956</v>
      </c>
      <c r="BK36">
        <v>1.569</v>
      </c>
      <c r="BL36">
        <v>2.9899999999999999E-2</v>
      </c>
      <c r="BM36">
        <v>0.98</v>
      </c>
      <c r="BN36">
        <v>6.4066999999999999E-2</v>
      </c>
      <c r="BO36">
        <v>0.6</v>
      </c>
      <c r="BP36">
        <v>0.19764499999999999</v>
      </c>
      <c r="BQ36">
        <v>0.13802</v>
      </c>
      <c r="BR36">
        <v>0</v>
      </c>
      <c r="BS36">
        <v>0.35299999999999998</v>
      </c>
      <c r="BT36">
        <v>2.5000000000000001E-2</v>
      </c>
      <c r="BU36">
        <v>5.5009999999999998E-3</v>
      </c>
      <c r="BV36">
        <v>2.0559999999999998E-2</v>
      </c>
      <c r="BW36">
        <v>6.4000000000000001E-2</v>
      </c>
      <c r="BX36">
        <v>6.4000000000000001E-2</v>
      </c>
      <c r="BY36">
        <v>7.8E-2</v>
      </c>
      <c r="BZ36">
        <v>0</v>
      </c>
      <c r="CA36">
        <v>3.15E-2</v>
      </c>
      <c r="CB36">
        <v>1.5565000000000001E-2</v>
      </c>
      <c r="CC36">
        <v>3.9179999999999996E-3</v>
      </c>
      <c r="CD36">
        <v>0</v>
      </c>
      <c r="CE36">
        <v>0.408391</v>
      </c>
      <c r="CF36">
        <v>0</v>
      </c>
      <c r="CG36">
        <v>1.2E-2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</row>
    <row r="37" spans="1:105" x14ac:dyDescent="0.25">
      <c r="A37" s="1">
        <v>41274</v>
      </c>
      <c r="B37">
        <v>4.1200000000000001E-2</v>
      </c>
      <c r="C37">
        <v>3.4000000000000002E-2</v>
      </c>
      <c r="D37">
        <v>2.81</v>
      </c>
      <c r="E37">
        <v>0.15337899999999999</v>
      </c>
      <c r="F37">
        <v>0.123</v>
      </c>
      <c r="G37">
        <v>3.6999999999999998E-2</v>
      </c>
      <c r="H37">
        <v>0.23499999999999999</v>
      </c>
      <c r="I37">
        <v>0.16300000000000001</v>
      </c>
      <c r="J37">
        <v>0.13830000000000001</v>
      </c>
      <c r="K37">
        <v>8.5999999999999993E-2</v>
      </c>
      <c r="L37">
        <v>0.4</v>
      </c>
      <c r="M37">
        <v>1.6539999999999999</v>
      </c>
      <c r="N37">
        <v>0.96599999999999997</v>
      </c>
      <c r="O37">
        <v>0.96789999999999998</v>
      </c>
      <c r="P37">
        <v>5</v>
      </c>
      <c r="Q37">
        <v>0.14399999999999999</v>
      </c>
      <c r="R37">
        <v>9.0999999999999998E-2</v>
      </c>
      <c r="S37">
        <v>0.98899999999999999</v>
      </c>
      <c r="T37">
        <v>1.23</v>
      </c>
      <c r="U37">
        <v>1.2699999999999999E-2</v>
      </c>
      <c r="V37">
        <v>3.0000000000000001E-3</v>
      </c>
      <c r="W37">
        <v>8.4500000000000006E-2</v>
      </c>
      <c r="X37">
        <v>1.54</v>
      </c>
      <c r="Y37">
        <v>4</v>
      </c>
      <c r="Z37">
        <v>33.46</v>
      </c>
      <c r="AA37">
        <v>0.7</v>
      </c>
      <c r="AB37">
        <v>9.4E-2</v>
      </c>
      <c r="AC37">
        <v>3.9049999999999998</v>
      </c>
      <c r="AD37">
        <v>1.7999999999999999E-2</v>
      </c>
      <c r="AE37">
        <v>0.1467090909090909</v>
      </c>
      <c r="AF37">
        <v>0.13200000000000001</v>
      </c>
      <c r="AG37">
        <v>0.52400000000000002</v>
      </c>
      <c r="AH37">
        <v>546</v>
      </c>
      <c r="AI37">
        <v>2.1160000000000001</v>
      </c>
      <c r="AJ37">
        <v>1037</v>
      </c>
      <c r="AK37">
        <v>0</v>
      </c>
      <c r="AL37">
        <v>383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1.7999999999999999E-2</v>
      </c>
      <c r="AV37">
        <v>5.541363636363636</v>
      </c>
      <c r="AW37">
        <v>2.4660000000000002</v>
      </c>
      <c r="AX37">
        <v>277.92</v>
      </c>
      <c r="AY37">
        <v>7.2940000000000005</v>
      </c>
      <c r="AZ37">
        <v>0.10954800000000001</v>
      </c>
      <c r="BA37">
        <v>0.4914</v>
      </c>
      <c r="BB37">
        <v>0.125</v>
      </c>
      <c r="BC37">
        <v>1.2574E-2</v>
      </c>
      <c r="BD37">
        <v>4.6310000000000002</v>
      </c>
      <c r="BE37">
        <v>0.34</v>
      </c>
      <c r="BF37">
        <v>67.5</v>
      </c>
      <c r="BG37">
        <v>4.01</v>
      </c>
      <c r="BH37">
        <v>0.54600000000000004</v>
      </c>
      <c r="BI37">
        <v>0.59</v>
      </c>
      <c r="BJ37">
        <v>1.9501999999999999</v>
      </c>
      <c r="BK37">
        <v>1.5980000000000001</v>
      </c>
      <c r="BL37">
        <v>3.1E-2</v>
      </c>
      <c r="BM37">
        <v>1.02</v>
      </c>
      <c r="BN37">
        <v>7.5759000000000007E-2</v>
      </c>
      <c r="BO37">
        <v>0.6</v>
      </c>
      <c r="BP37">
        <v>0.18912100000000001</v>
      </c>
      <c r="BQ37">
        <v>0.116879</v>
      </c>
      <c r="BR37">
        <v>0</v>
      </c>
      <c r="BS37">
        <v>0.35099999999999998</v>
      </c>
      <c r="BT37">
        <v>2.4E-2</v>
      </c>
      <c r="BU37">
        <v>6.7210000000000004E-3</v>
      </c>
      <c r="BV37">
        <v>1.949E-2</v>
      </c>
      <c r="BW37">
        <v>0.06</v>
      </c>
      <c r="BX37">
        <v>0.06</v>
      </c>
      <c r="BY37">
        <v>9.6000000000000002E-2</v>
      </c>
      <c r="BZ37">
        <v>0</v>
      </c>
      <c r="CA37">
        <v>2.0369999999999999E-2</v>
      </c>
      <c r="CB37">
        <v>1.5341E-2</v>
      </c>
      <c r="CC37">
        <v>4.8129999999999996E-3</v>
      </c>
      <c r="CD37">
        <v>0</v>
      </c>
      <c r="CE37">
        <v>0.36924600000000002</v>
      </c>
      <c r="CF37">
        <v>0</v>
      </c>
      <c r="CG37">
        <v>1.7000000000000001E-2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</row>
    <row r="38" spans="1:105" x14ac:dyDescent="0.25">
      <c r="A38" s="1">
        <v>41305</v>
      </c>
      <c r="B38">
        <v>4.2200000000000001E-2</v>
      </c>
      <c r="C38">
        <v>0.04</v>
      </c>
      <c r="D38">
        <v>2.84</v>
      </c>
      <c r="E38">
        <v>0.16081899999999999</v>
      </c>
      <c r="F38">
        <v>0.121</v>
      </c>
      <c r="G38">
        <v>4.1000000000000002E-2</v>
      </c>
      <c r="H38">
        <v>0.25800000000000001</v>
      </c>
      <c r="I38">
        <v>0.17499999999999999</v>
      </c>
      <c r="J38">
        <v>0.13930000000000001</v>
      </c>
      <c r="K38">
        <v>8.5999999999999993E-2</v>
      </c>
      <c r="L38">
        <v>0.4</v>
      </c>
      <c r="M38">
        <v>1.621</v>
      </c>
      <c r="N38">
        <v>1.1240000000000001</v>
      </c>
      <c r="O38">
        <v>1.1081000000000001</v>
      </c>
      <c r="P38">
        <v>5.0999999999999996</v>
      </c>
      <c r="Q38">
        <v>0.15</v>
      </c>
      <c r="R38">
        <v>8.6999999999999994E-2</v>
      </c>
      <c r="S38">
        <v>1.105</v>
      </c>
      <c r="T38">
        <v>1.2849999999999999</v>
      </c>
      <c r="U38">
        <v>2.1000000000000001E-2</v>
      </c>
      <c r="V38">
        <v>2.7000000000000001E-3</v>
      </c>
      <c r="W38">
        <v>9.1300000000000006E-2</v>
      </c>
      <c r="X38">
        <v>1.87</v>
      </c>
      <c r="Y38">
        <v>4.57</v>
      </c>
      <c r="Z38">
        <v>35.020000000000003</v>
      </c>
      <c r="AA38">
        <v>6.5</v>
      </c>
      <c r="AB38">
        <v>9.8000000000000004E-2</v>
      </c>
      <c r="AC38">
        <v>4.3220000000000001</v>
      </c>
      <c r="AD38">
        <v>0.03</v>
      </c>
      <c r="AE38">
        <v>0.14823636363636364</v>
      </c>
      <c r="AF38">
        <v>0.13600000000000001</v>
      </c>
      <c r="AG38">
        <v>0.54200000000000004</v>
      </c>
      <c r="AH38">
        <v>251</v>
      </c>
      <c r="AI38">
        <v>1.6140000000000001</v>
      </c>
      <c r="AJ38">
        <v>1037</v>
      </c>
      <c r="AK38">
        <v>0</v>
      </c>
      <c r="AL38">
        <v>330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2.5999999999999999E-2</v>
      </c>
      <c r="AV38">
        <v>5.8490909090909087</v>
      </c>
      <c r="AW38">
        <v>2.6680000000000001</v>
      </c>
      <c r="AX38">
        <v>233.88</v>
      </c>
      <c r="AY38">
        <v>7.4012000000000002</v>
      </c>
      <c r="AZ38">
        <v>0.148225</v>
      </c>
      <c r="BA38">
        <v>0.53090000000000004</v>
      </c>
      <c r="BB38">
        <v>0.109</v>
      </c>
      <c r="BC38">
        <v>1.1332999999999999E-2</v>
      </c>
      <c r="BD38">
        <v>4.8550000000000004</v>
      </c>
      <c r="BE38">
        <v>0.61</v>
      </c>
      <c r="BF38">
        <v>71.989999999999995</v>
      </c>
      <c r="BG38">
        <v>3.78</v>
      </c>
      <c r="BH38">
        <v>0.54800000000000004</v>
      </c>
      <c r="BI38">
        <v>0.13800000000000001</v>
      </c>
      <c r="BJ38">
        <v>2.1030000000000002</v>
      </c>
      <c r="BK38">
        <v>1.9139999999999999</v>
      </c>
      <c r="BL38">
        <v>2.716E-2</v>
      </c>
      <c r="BM38">
        <v>1.02</v>
      </c>
      <c r="BN38">
        <v>8.1000000000000003E-2</v>
      </c>
      <c r="BO38">
        <v>0.6</v>
      </c>
      <c r="BP38">
        <v>0.186747</v>
      </c>
      <c r="BQ38">
        <v>0.13788700000000001</v>
      </c>
      <c r="BR38">
        <v>0</v>
      </c>
      <c r="BS38">
        <v>0.32400000000000001</v>
      </c>
      <c r="BT38">
        <v>2.5000000000000001E-2</v>
      </c>
      <c r="BU38">
        <v>6.8490000000000001E-3</v>
      </c>
      <c r="BV38">
        <v>1.9029999999999998E-2</v>
      </c>
      <c r="BW38">
        <v>0.06</v>
      </c>
      <c r="BX38">
        <v>0.06</v>
      </c>
      <c r="BY38">
        <v>7.2999999999999995E-2</v>
      </c>
      <c r="BZ38">
        <v>0</v>
      </c>
      <c r="CA38">
        <v>0.03</v>
      </c>
      <c r="CB38">
        <v>1.9E-2</v>
      </c>
      <c r="CC38">
        <v>4.9410000000000001E-3</v>
      </c>
      <c r="CD38">
        <v>0</v>
      </c>
      <c r="CE38">
        <v>0.39793899999999999</v>
      </c>
      <c r="CF38">
        <v>0</v>
      </c>
      <c r="CG38">
        <v>2.1999999999999999E-2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</row>
    <row r="39" spans="1:105" x14ac:dyDescent="0.25">
      <c r="A39" s="1">
        <v>41333</v>
      </c>
      <c r="B39">
        <v>4.2159000000000002E-2</v>
      </c>
      <c r="C39">
        <v>3.6999999999999998E-2</v>
      </c>
      <c r="D39">
        <v>2.76</v>
      </c>
      <c r="E39">
        <v>0.124671</v>
      </c>
      <c r="F39">
        <v>0.128</v>
      </c>
      <c r="G39">
        <v>3.5999999999999997E-2</v>
      </c>
      <c r="H39">
        <v>0.223</v>
      </c>
      <c r="I39">
        <v>0.16800000000000001</v>
      </c>
      <c r="J39">
        <v>0.11119999999999999</v>
      </c>
      <c r="K39">
        <v>8.3000000000000004E-2</v>
      </c>
      <c r="L39">
        <v>0.4</v>
      </c>
      <c r="M39">
        <v>1.5620000000000001</v>
      </c>
      <c r="N39">
        <v>0.999</v>
      </c>
      <c r="O39">
        <v>0.93010000000000004</v>
      </c>
      <c r="P39">
        <v>4.9000000000000004</v>
      </c>
      <c r="Q39">
        <v>0.13400000000000001</v>
      </c>
      <c r="R39">
        <v>0.08</v>
      </c>
      <c r="S39">
        <v>1.25</v>
      </c>
      <c r="T39">
        <v>1.2509999999999999</v>
      </c>
      <c r="U39">
        <v>2.0400000000000001E-2</v>
      </c>
      <c r="V39">
        <v>1.6000000000000001E-3</v>
      </c>
      <c r="W39">
        <v>8.4099999999999994E-2</v>
      </c>
      <c r="X39">
        <v>1.54</v>
      </c>
      <c r="Y39">
        <v>4.3499999999999996</v>
      </c>
      <c r="Z39">
        <v>32.299999999999997</v>
      </c>
      <c r="AA39">
        <v>4.0999999999999996</v>
      </c>
      <c r="AB39">
        <v>9.2999999999999999E-2</v>
      </c>
      <c r="AC39">
        <v>3.9670000000000001</v>
      </c>
      <c r="AD39">
        <v>2E-3</v>
      </c>
      <c r="AE39">
        <v>0.14976363636363638</v>
      </c>
      <c r="AF39">
        <v>0.14099999999999999</v>
      </c>
      <c r="AG39">
        <v>0.5343</v>
      </c>
      <c r="AH39">
        <v>705</v>
      </c>
      <c r="AI39">
        <v>1.4770000000000001</v>
      </c>
      <c r="AJ39">
        <v>943</v>
      </c>
      <c r="AK39">
        <v>0</v>
      </c>
      <c r="AL39">
        <v>318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2.3E-2</v>
      </c>
      <c r="AV39">
        <v>6.1568181818181813</v>
      </c>
      <c r="AW39">
        <v>2.4862000000000002</v>
      </c>
      <c r="AX39">
        <v>277.92</v>
      </c>
      <c r="AY39">
        <v>7.5084</v>
      </c>
      <c r="AZ39">
        <v>0.14849999999999999</v>
      </c>
      <c r="BA39">
        <v>0.4748</v>
      </c>
      <c r="BB39">
        <v>0.113</v>
      </c>
      <c r="BC39">
        <v>1.3826E-2</v>
      </c>
      <c r="BD39">
        <v>4.4820000000000002</v>
      </c>
      <c r="BE39">
        <v>0.57499999999999996</v>
      </c>
      <c r="BF39">
        <v>65.45</v>
      </c>
      <c r="BG39">
        <v>3.76</v>
      </c>
      <c r="BH39">
        <v>0.55000000000000004</v>
      </c>
      <c r="BI39">
        <v>0.12257142857142858</v>
      </c>
      <c r="BJ39">
        <v>1.9570000000000001</v>
      </c>
      <c r="BK39">
        <v>1.5820000000000001</v>
      </c>
      <c r="BL39">
        <v>2.3699999999999999E-2</v>
      </c>
      <c r="BM39">
        <v>0.98</v>
      </c>
      <c r="BN39">
        <v>7.7464000000000005E-2</v>
      </c>
      <c r="BO39">
        <v>0.6</v>
      </c>
      <c r="BP39">
        <v>0.15174099999999999</v>
      </c>
      <c r="BQ39">
        <v>8.2354999999999998E-2</v>
      </c>
      <c r="BR39">
        <v>0</v>
      </c>
      <c r="BS39">
        <v>0.32800000000000001</v>
      </c>
      <c r="BT39">
        <v>2.4E-2</v>
      </c>
      <c r="BU39">
        <v>6.868E-3</v>
      </c>
      <c r="BV39">
        <v>1.891E-2</v>
      </c>
      <c r="BW39">
        <v>5.7000000000000002E-2</v>
      </c>
      <c r="BX39">
        <v>5.7000000000000002E-2</v>
      </c>
      <c r="BY39">
        <v>7.6999999999999999E-2</v>
      </c>
      <c r="BZ39">
        <v>0</v>
      </c>
      <c r="CA39">
        <v>3.4000000000000002E-2</v>
      </c>
      <c r="CB39">
        <v>1.6728E-2</v>
      </c>
      <c r="CC39">
        <v>4.2290000000000001E-3</v>
      </c>
      <c r="CD39">
        <v>0</v>
      </c>
      <c r="CE39">
        <v>0.36562800000000001</v>
      </c>
      <c r="CF39">
        <v>0</v>
      </c>
      <c r="CG39">
        <v>2.5999999999999999E-2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</row>
    <row r="40" spans="1:105" x14ac:dyDescent="0.25">
      <c r="A40" s="1">
        <v>41364</v>
      </c>
      <c r="B40">
        <v>4.2568000000000002E-2</v>
      </c>
      <c r="C40">
        <v>7.4999999999999997E-2</v>
      </c>
      <c r="D40">
        <v>2.76</v>
      </c>
      <c r="E40">
        <v>0.125779</v>
      </c>
      <c r="F40">
        <v>0.126</v>
      </c>
      <c r="G40">
        <v>3.2000000000000001E-2</v>
      </c>
      <c r="H40">
        <v>0.23400000000000001</v>
      </c>
      <c r="I40">
        <v>0.153</v>
      </c>
      <c r="J40">
        <v>0.1004</v>
      </c>
      <c r="K40">
        <v>7.8E-2</v>
      </c>
      <c r="L40">
        <v>0.4</v>
      </c>
      <c r="M40">
        <v>1.669</v>
      </c>
      <c r="N40">
        <v>0.93799999999999994</v>
      </c>
      <c r="O40">
        <v>0.9657</v>
      </c>
      <c r="P40">
        <v>4.7</v>
      </c>
      <c r="Q40">
        <v>0.13500000000000001</v>
      </c>
      <c r="R40">
        <v>0.10299999999999999</v>
      </c>
      <c r="S40">
        <v>1.25</v>
      </c>
      <c r="T40">
        <v>1.2450000000000001</v>
      </c>
      <c r="U40">
        <v>2.1899999999999999E-2</v>
      </c>
      <c r="V40">
        <v>2.8700000000000002E-3</v>
      </c>
      <c r="W40">
        <v>7.3899999999999993E-2</v>
      </c>
      <c r="X40">
        <v>1.35</v>
      </c>
      <c r="Y40">
        <v>4.32</v>
      </c>
      <c r="Z40">
        <v>32.76</v>
      </c>
      <c r="AA40">
        <v>2.09</v>
      </c>
      <c r="AB40">
        <v>9.0999999999999998E-2</v>
      </c>
      <c r="AC40">
        <v>3.964</v>
      </c>
      <c r="AD40">
        <v>3.0000000000000001E-3</v>
      </c>
      <c r="AE40">
        <v>0.15129090909090909</v>
      </c>
      <c r="AF40">
        <v>0.13200000000000001</v>
      </c>
      <c r="AG40">
        <v>0.53049999999999997</v>
      </c>
      <c r="AH40">
        <v>857</v>
      </c>
      <c r="AI40">
        <v>1.3560000000000001</v>
      </c>
      <c r="AJ40">
        <v>843</v>
      </c>
      <c r="AK40">
        <v>0</v>
      </c>
      <c r="AL40">
        <v>407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3.6999999999999998E-2</v>
      </c>
      <c r="AV40">
        <v>6.4645454545454539</v>
      </c>
      <c r="AW40">
        <v>2.52</v>
      </c>
      <c r="AX40">
        <v>277.92</v>
      </c>
      <c r="AY40">
        <v>7.6156000000000006</v>
      </c>
      <c r="AZ40">
        <v>0.14116100000000001</v>
      </c>
      <c r="BA40">
        <v>0.4803</v>
      </c>
      <c r="BB40">
        <v>0.15</v>
      </c>
      <c r="BC40">
        <v>1.0695E-2</v>
      </c>
      <c r="BD40">
        <v>4.1820000000000004</v>
      </c>
      <c r="BE40">
        <v>0.54</v>
      </c>
      <c r="BF40">
        <v>66.3</v>
      </c>
      <c r="BG40">
        <v>3.91</v>
      </c>
      <c r="BH40">
        <v>0.55200000000000005</v>
      </c>
      <c r="BI40">
        <v>0.10714285714285715</v>
      </c>
      <c r="BJ40">
        <v>1.9669000000000001</v>
      </c>
      <c r="BK40">
        <v>1.3979999999999999</v>
      </c>
      <c r="BL40">
        <v>2.4E-2</v>
      </c>
      <c r="BM40">
        <v>0.98</v>
      </c>
      <c r="BN40">
        <v>7.6172000000000004E-2</v>
      </c>
      <c r="BO40">
        <v>0.6</v>
      </c>
      <c r="BP40">
        <v>0.13347200000000001</v>
      </c>
      <c r="BQ40">
        <v>0</v>
      </c>
      <c r="BR40">
        <v>4.0000000000000001E-3</v>
      </c>
      <c r="BS40">
        <v>0.27900000000000003</v>
      </c>
      <c r="BT40">
        <v>2.5999999999999999E-2</v>
      </c>
      <c r="BU40">
        <v>5.1900000000000002E-3</v>
      </c>
      <c r="BV40">
        <v>1.5509999999999999E-2</v>
      </c>
      <c r="BW40">
        <v>6.2E-2</v>
      </c>
      <c r="BX40">
        <v>6.2E-2</v>
      </c>
      <c r="BY40">
        <v>8.2000000000000003E-2</v>
      </c>
      <c r="BZ40">
        <v>0</v>
      </c>
      <c r="CA40">
        <v>3.7999999999999999E-2</v>
      </c>
      <c r="CB40">
        <v>1.5644999999999999E-2</v>
      </c>
      <c r="CC40">
        <v>4.4299999999999999E-3</v>
      </c>
      <c r="CD40">
        <v>0</v>
      </c>
      <c r="CE40">
        <v>0.364952</v>
      </c>
      <c r="CF40">
        <v>0</v>
      </c>
      <c r="CG40">
        <v>1.2999999999999999E-2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25">
      <c r="A41" s="1">
        <v>41394</v>
      </c>
      <c r="B41">
        <v>3.6392000000000001E-2</v>
      </c>
      <c r="C41">
        <v>4.8000000000000001E-2</v>
      </c>
      <c r="D41">
        <v>2.72</v>
      </c>
      <c r="E41">
        <v>0.13120699999999999</v>
      </c>
      <c r="F41">
        <v>0.14399999999999999</v>
      </c>
      <c r="G41">
        <v>3.5999999999999997E-2</v>
      </c>
      <c r="H41">
        <v>0.23499999999999999</v>
      </c>
      <c r="I41">
        <v>0.16500000000000001</v>
      </c>
      <c r="J41">
        <v>0.1077</v>
      </c>
      <c r="K41">
        <v>9.6000000000000002E-2</v>
      </c>
      <c r="L41">
        <v>0.5</v>
      </c>
      <c r="M41">
        <v>1.65</v>
      </c>
      <c r="N41">
        <v>0.96299999999999997</v>
      </c>
      <c r="O41">
        <v>0.7016</v>
      </c>
      <c r="P41">
        <v>5.0999999999999996</v>
      </c>
      <c r="Q41">
        <v>0.13700000000000001</v>
      </c>
      <c r="R41">
        <v>9.1999999999999998E-2</v>
      </c>
      <c r="S41">
        <v>1.3779999999999999</v>
      </c>
      <c r="T41">
        <v>1.2490000000000001</v>
      </c>
      <c r="U41">
        <v>1.2800000000000001E-2</v>
      </c>
      <c r="V41">
        <v>2.7680000000000001E-3</v>
      </c>
      <c r="W41">
        <v>8.77E-2</v>
      </c>
      <c r="X41">
        <v>1.63</v>
      </c>
      <c r="Y41">
        <v>4.6900000000000004</v>
      </c>
      <c r="Z41">
        <v>33.24</v>
      </c>
      <c r="AA41">
        <v>1.71</v>
      </c>
      <c r="AB41">
        <v>0.10299999999999999</v>
      </c>
      <c r="AC41">
        <v>4.1760000000000002</v>
      </c>
      <c r="AD41">
        <v>0.01</v>
      </c>
      <c r="AE41">
        <v>0.15281818181818183</v>
      </c>
      <c r="AF41">
        <v>0.156</v>
      </c>
      <c r="AG41">
        <v>0.54800000000000004</v>
      </c>
      <c r="AH41">
        <v>907</v>
      </c>
      <c r="AI41">
        <v>1.47</v>
      </c>
      <c r="AJ41">
        <v>488</v>
      </c>
      <c r="AK41">
        <v>0</v>
      </c>
      <c r="AL41">
        <v>384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4.4999999999999998E-2</v>
      </c>
      <c r="AV41">
        <v>6.7722727272727274</v>
      </c>
      <c r="AW41">
        <v>2.552</v>
      </c>
      <c r="AX41">
        <v>441.62</v>
      </c>
      <c r="AY41">
        <v>7.7228000000000003</v>
      </c>
      <c r="AZ41">
        <v>0.15776599999999999</v>
      </c>
      <c r="BA41">
        <v>0.52959999999999996</v>
      </c>
      <c r="BB41">
        <v>0.11700000000000001</v>
      </c>
      <c r="BC41">
        <v>1.4711999999999999E-2</v>
      </c>
      <c r="BD41">
        <v>4.5279999999999996</v>
      </c>
      <c r="BE41">
        <v>1.03E-2</v>
      </c>
      <c r="BF41">
        <v>72.25</v>
      </c>
      <c r="BG41">
        <v>4.05</v>
      </c>
      <c r="BH41">
        <v>0.55400000000000005</v>
      </c>
      <c r="BI41">
        <v>9.171428571428572E-2</v>
      </c>
      <c r="BJ41">
        <v>1.952</v>
      </c>
      <c r="BK41">
        <v>1.681</v>
      </c>
      <c r="BL41">
        <v>3.526E-2</v>
      </c>
      <c r="BM41">
        <v>0.98</v>
      </c>
      <c r="BN41">
        <v>9.2966999999999994E-2</v>
      </c>
      <c r="BO41">
        <v>0.7</v>
      </c>
      <c r="BP41">
        <v>0.17868500000000001</v>
      </c>
      <c r="BQ41">
        <v>0</v>
      </c>
      <c r="BR41">
        <v>1.2999999999999999E-2</v>
      </c>
      <c r="BS41">
        <v>0.26800000000000002</v>
      </c>
      <c r="BT41">
        <v>2.5999999999999999E-2</v>
      </c>
      <c r="BU41">
        <v>4.9569999999999996E-3</v>
      </c>
      <c r="BV41">
        <v>0.02</v>
      </c>
      <c r="BW41">
        <v>6.4000000000000001E-2</v>
      </c>
      <c r="BX41">
        <v>6.4000000000000001E-2</v>
      </c>
      <c r="BY41">
        <v>9.1999999999999998E-2</v>
      </c>
      <c r="BZ41">
        <v>0</v>
      </c>
      <c r="CA41">
        <v>4.2000000000000003E-2</v>
      </c>
      <c r="CB41">
        <v>1.44E-2</v>
      </c>
      <c r="CC41">
        <v>4.901E-3</v>
      </c>
      <c r="CD41">
        <v>0</v>
      </c>
      <c r="CE41">
        <v>0.39468999999999999</v>
      </c>
      <c r="CF41">
        <v>0.27639999999999998</v>
      </c>
      <c r="CG41">
        <v>1.2999999999999999E-2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</row>
    <row r="42" spans="1:105" x14ac:dyDescent="0.25">
      <c r="A42" s="1">
        <v>41425</v>
      </c>
      <c r="B42">
        <v>0.05</v>
      </c>
      <c r="C42">
        <v>0.107</v>
      </c>
      <c r="D42">
        <v>2.83</v>
      </c>
      <c r="E42">
        <v>0.12859100000000001</v>
      </c>
      <c r="F42">
        <v>0.16500000000000001</v>
      </c>
      <c r="G42">
        <v>3.6999999999999998E-2</v>
      </c>
      <c r="H42">
        <v>0.252</v>
      </c>
      <c r="I42">
        <v>0.156</v>
      </c>
      <c r="J42">
        <v>0.1191</v>
      </c>
      <c r="K42">
        <v>0.104</v>
      </c>
      <c r="L42">
        <v>0.5</v>
      </c>
      <c r="M42">
        <v>1.371</v>
      </c>
      <c r="N42">
        <v>0.99299999999999999</v>
      </c>
      <c r="O42">
        <v>0.78839999999999999</v>
      </c>
      <c r="P42">
        <v>5.4</v>
      </c>
      <c r="Q42">
        <v>1.5900000000000001E-2</v>
      </c>
      <c r="R42">
        <v>0.108</v>
      </c>
      <c r="S42">
        <v>1.3</v>
      </c>
      <c r="T42">
        <v>1.321</v>
      </c>
      <c r="U42">
        <v>8.9999999999999993E-3</v>
      </c>
      <c r="V42">
        <v>2.5000000000000001E-3</v>
      </c>
      <c r="W42">
        <v>7.22E-2</v>
      </c>
      <c r="X42">
        <v>1.72</v>
      </c>
      <c r="Y42">
        <v>4.5599999999999996</v>
      </c>
      <c r="Z42">
        <v>36.64</v>
      </c>
      <c r="AA42">
        <v>2.38</v>
      </c>
      <c r="AB42">
        <v>0.11</v>
      </c>
      <c r="AC42">
        <v>4.4109999999999996</v>
      </c>
      <c r="AD42">
        <v>0.02</v>
      </c>
      <c r="AE42">
        <v>0.15434545454545456</v>
      </c>
      <c r="AF42">
        <v>0.16800000000000001</v>
      </c>
      <c r="AG42">
        <v>0.54800000000000004</v>
      </c>
      <c r="AH42">
        <v>1030</v>
      </c>
      <c r="AI42">
        <v>3.07</v>
      </c>
      <c r="AJ42">
        <v>800</v>
      </c>
      <c r="AK42">
        <v>0</v>
      </c>
      <c r="AL42">
        <v>490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7.9000000000000001E-2</v>
      </c>
      <c r="AV42">
        <v>7.08</v>
      </c>
      <c r="AW42">
        <v>2.9020999999999999</v>
      </c>
      <c r="AX42">
        <v>407.62</v>
      </c>
      <c r="AY42">
        <v>7.83</v>
      </c>
      <c r="AZ42">
        <v>0.16725799999999999</v>
      </c>
      <c r="BA42">
        <v>0.54069999999999996</v>
      </c>
      <c r="BB42">
        <v>0.11799999999999999</v>
      </c>
      <c r="BC42">
        <v>1.4234999999999999E-2</v>
      </c>
      <c r="BD42">
        <v>4.4710000000000001</v>
      </c>
      <c r="BE42">
        <v>0.40770000000000001</v>
      </c>
      <c r="BF42">
        <v>80.33</v>
      </c>
      <c r="BG42">
        <v>5.6</v>
      </c>
      <c r="BH42">
        <v>0.55600000000000005</v>
      </c>
      <c r="BI42">
        <v>7.628571428571429E-2</v>
      </c>
      <c r="BJ42">
        <v>1.974</v>
      </c>
      <c r="BK42">
        <v>2.032</v>
      </c>
      <c r="BL42">
        <v>5.04E-2</v>
      </c>
      <c r="BM42">
        <v>1.33</v>
      </c>
      <c r="BN42">
        <v>0.107645</v>
      </c>
      <c r="BO42">
        <v>0.6</v>
      </c>
      <c r="BP42">
        <v>0.16462499999999999</v>
      </c>
      <c r="BQ42">
        <v>0</v>
      </c>
      <c r="BR42">
        <v>1.6E-2</v>
      </c>
      <c r="BS42">
        <v>0.19700000000000001</v>
      </c>
      <c r="BT42">
        <v>2.9000000000000001E-2</v>
      </c>
      <c r="BU42">
        <v>4.5739999999999999E-3</v>
      </c>
      <c r="BV42">
        <v>2.3800000000000002E-2</v>
      </c>
      <c r="BW42">
        <v>6.4000000000000001E-2</v>
      </c>
      <c r="BX42">
        <v>6.4000000000000001E-2</v>
      </c>
      <c r="BY42">
        <v>8.5000000000000006E-2</v>
      </c>
      <c r="BZ42">
        <v>0</v>
      </c>
      <c r="CA42">
        <v>3.5999999999999997E-2</v>
      </c>
      <c r="CB42">
        <v>1.393E-2</v>
      </c>
      <c r="CC42">
        <v>5.3600000000000002E-3</v>
      </c>
      <c r="CD42">
        <v>0</v>
      </c>
      <c r="CE42">
        <v>0.39468999999999999</v>
      </c>
      <c r="CF42">
        <v>0.26490000000000002</v>
      </c>
      <c r="CG42">
        <v>1.6E-2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</row>
    <row r="43" spans="1:105" x14ac:dyDescent="0.25">
      <c r="A43" s="1">
        <v>41455</v>
      </c>
      <c r="B43">
        <v>5.4267999999999997E-2</v>
      </c>
      <c r="C43">
        <v>0.11700000000000001</v>
      </c>
      <c r="D43">
        <v>2.14</v>
      </c>
      <c r="E43">
        <v>0.120418</v>
      </c>
      <c r="F43">
        <v>0.16</v>
      </c>
      <c r="G43">
        <v>3.3000000000000002E-2</v>
      </c>
      <c r="H43">
        <v>0.26400000000000001</v>
      </c>
      <c r="I43">
        <v>0.156</v>
      </c>
      <c r="J43">
        <v>0.10290000000000001</v>
      </c>
      <c r="K43">
        <v>9.7000000000000003E-2</v>
      </c>
      <c r="L43">
        <v>0.5</v>
      </c>
      <c r="M43">
        <v>1.4750000000000001</v>
      </c>
      <c r="N43">
        <v>1.0680000000000001</v>
      </c>
      <c r="O43">
        <v>0.73529999999999995</v>
      </c>
      <c r="P43">
        <v>4.9000000000000004</v>
      </c>
      <c r="Q43">
        <v>0.14599999999999999</v>
      </c>
      <c r="R43">
        <v>0.123</v>
      </c>
      <c r="S43">
        <v>1.1399999999999999</v>
      </c>
      <c r="T43">
        <v>1.26</v>
      </c>
      <c r="U43">
        <v>9.5999999999999992E-3</v>
      </c>
      <c r="V43">
        <v>3.5999999999999999E-3</v>
      </c>
      <c r="W43">
        <v>8.2500000000000004E-2</v>
      </c>
      <c r="X43">
        <v>1.45</v>
      </c>
      <c r="Y43">
        <v>3.83</v>
      </c>
      <c r="Z43">
        <v>36.83</v>
      </c>
      <c r="AA43">
        <v>0.7</v>
      </c>
      <c r="AB43">
        <v>0.104</v>
      </c>
      <c r="AC43">
        <v>4.2110000000000003</v>
      </c>
      <c r="AD43">
        <v>0.06</v>
      </c>
      <c r="AE43">
        <v>0.15587272727272727</v>
      </c>
      <c r="AF43">
        <v>0.17799999999999999</v>
      </c>
      <c r="AG43">
        <v>0.56799999999999995</v>
      </c>
      <c r="AH43">
        <v>1179</v>
      </c>
      <c r="AI43">
        <v>3.4249999999999998</v>
      </c>
      <c r="AJ43">
        <v>1210</v>
      </c>
      <c r="AK43">
        <v>0</v>
      </c>
      <c r="AL43">
        <v>564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5.8999999999999997E-2</v>
      </c>
      <c r="AV43">
        <v>3.14</v>
      </c>
      <c r="AW43">
        <v>2.9714999999999998</v>
      </c>
      <c r="AX43">
        <v>532.79</v>
      </c>
      <c r="AY43">
        <v>6.29</v>
      </c>
      <c r="AZ43">
        <v>0.14680000000000001</v>
      </c>
      <c r="BA43">
        <v>0.54049999999999998</v>
      </c>
      <c r="BB43">
        <v>8.7999999999999995E-2</v>
      </c>
      <c r="BC43">
        <v>6.1500000000000001E-3</v>
      </c>
      <c r="BD43">
        <v>4.2859999999999996</v>
      </c>
      <c r="BE43">
        <v>0.3458</v>
      </c>
      <c r="BF43">
        <v>76.69</v>
      </c>
      <c r="BG43">
        <v>5.18</v>
      </c>
      <c r="BH43">
        <v>0.55800000000000005</v>
      </c>
      <c r="BI43">
        <v>6.085714285714286E-2</v>
      </c>
      <c r="BJ43">
        <v>1.7423999999999999</v>
      </c>
      <c r="BK43">
        <v>1.952</v>
      </c>
      <c r="BL43">
        <v>2.9899999999999999E-2</v>
      </c>
      <c r="BM43">
        <v>1.52</v>
      </c>
      <c r="BN43">
        <v>9.8808000000000007E-2</v>
      </c>
      <c r="BO43">
        <v>0.6</v>
      </c>
      <c r="BP43">
        <v>0.20691999999999999</v>
      </c>
      <c r="BQ43">
        <v>0</v>
      </c>
      <c r="BR43">
        <v>1.2999999999999999E-2</v>
      </c>
      <c r="BS43">
        <v>0.26800000000000002</v>
      </c>
      <c r="BT43">
        <v>2.5999999999999999E-2</v>
      </c>
      <c r="BU43">
        <v>4.7739999999999996E-3</v>
      </c>
      <c r="BV43">
        <v>2.75E-2</v>
      </c>
      <c r="BW43">
        <v>6.9000000000000006E-2</v>
      </c>
      <c r="BX43">
        <v>6.9000000000000006E-2</v>
      </c>
      <c r="BY43">
        <v>8.6999999999999994E-2</v>
      </c>
      <c r="BZ43">
        <v>0</v>
      </c>
      <c r="CA43">
        <v>3.15E-2</v>
      </c>
      <c r="CB43">
        <v>1.5032E-2</v>
      </c>
      <c r="CC43">
        <v>4.3010000000000001E-3</v>
      </c>
      <c r="CD43">
        <v>0</v>
      </c>
      <c r="CE43">
        <v>0.387293</v>
      </c>
      <c r="CF43">
        <v>0.24340000000000001</v>
      </c>
      <c r="CG43">
        <v>1.6E-2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</row>
    <row r="44" spans="1:105" x14ac:dyDescent="0.25">
      <c r="A44" s="1">
        <v>41486</v>
      </c>
      <c r="B44">
        <v>5.1529999999999999E-2</v>
      </c>
      <c r="C44">
        <v>0.13300000000000001</v>
      </c>
      <c r="D44">
        <v>1.55</v>
      </c>
      <c r="E44">
        <v>0.111012</v>
      </c>
      <c r="F44">
        <v>0.14899999999999999</v>
      </c>
      <c r="G44">
        <v>3.4000000000000002E-2</v>
      </c>
      <c r="H44">
        <v>0.252</v>
      </c>
      <c r="I44">
        <v>0.16400000000000001</v>
      </c>
      <c r="J44">
        <v>0.1169</v>
      </c>
      <c r="K44">
        <v>0.112</v>
      </c>
      <c r="L44">
        <v>0.5</v>
      </c>
      <c r="M44">
        <v>1.4359999999999999</v>
      </c>
      <c r="N44">
        <v>1.0740000000000001</v>
      </c>
      <c r="O44">
        <v>0.67920000000000003</v>
      </c>
      <c r="P44">
        <v>5.2</v>
      </c>
      <c r="Q44">
        <v>0.14000000000000001</v>
      </c>
      <c r="R44">
        <v>0.14000000000000001</v>
      </c>
      <c r="S44">
        <v>1.33</v>
      </c>
      <c r="T44">
        <v>1.26</v>
      </c>
      <c r="U44">
        <v>9.4000000000000004E-3</v>
      </c>
      <c r="V44">
        <v>3.2000000000000002E-3</v>
      </c>
      <c r="W44">
        <v>7.0099999999999996E-2</v>
      </c>
      <c r="X44">
        <v>1.23</v>
      </c>
      <c r="Y44">
        <v>3.97</v>
      </c>
      <c r="Z44">
        <v>33.200000000000003</v>
      </c>
      <c r="AA44">
        <v>0.63</v>
      </c>
      <c r="AB44">
        <v>9.1999999999999998E-2</v>
      </c>
      <c r="AC44">
        <v>4.0259999999999998</v>
      </c>
      <c r="AD44">
        <v>2.7E-2</v>
      </c>
      <c r="AE44">
        <v>0.15739999999999998</v>
      </c>
      <c r="AF44">
        <v>0.17899999999999999</v>
      </c>
      <c r="AG44">
        <v>0.56100000000000005</v>
      </c>
      <c r="AH44">
        <v>1261</v>
      </c>
      <c r="AI44">
        <v>4.9290000000000003</v>
      </c>
      <c r="AJ44">
        <v>1185</v>
      </c>
      <c r="AK44">
        <v>0</v>
      </c>
      <c r="AL44">
        <v>599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5.1999999999999998E-2</v>
      </c>
      <c r="AV44">
        <v>0.06</v>
      </c>
      <c r="AW44">
        <v>2.8849999999999998</v>
      </c>
      <c r="AX44">
        <v>537.12</v>
      </c>
      <c r="AY44">
        <v>6.3150000000000004</v>
      </c>
      <c r="AZ44">
        <v>0.16380600000000001</v>
      </c>
      <c r="BA44">
        <v>0.54530000000000001</v>
      </c>
      <c r="BB44">
        <v>5.8000000000000003E-2</v>
      </c>
      <c r="BC44">
        <v>3.9060000000000002E-3</v>
      </c>
      <c r="BD44">
        <v>3.9049999999999998</v>
      </c>
      <c r="BE44">
        <v>0.71030000000000004</v>
      </c>
      <c r="BF44">
        <v>69.84</v>
      </c>
      <c r="BG44">
        <v>5.7</v>
      </c>
      <c r="BH44">
        <v>0.56000000000000005</v>
      </c>
      <c r="BI44">
        <v>4.5428571428571429E-2</v>
      </c>
      <c r="BJ44">
        <v>2.0419999999999998</v>
      </c>
      <c r="BK44">
        <v>1.7689999999999999</v>
      </c>
      <c r="BL44">
        <v>3.5799999999999998E-2</v>
      </c>
      <c r="BM44">
        <v>1.56</v>
      </c>
      <c r="BN44">
        <v>7.0612999999999995E-2</v>
      </c>
      <c r="BO44">
        <v>0.6</v>
      </c>
      <c r="BP44">
        <v>0.22862399999999999</v>
      </c>
      <c r="BQ44">
        <v>0</v>
      </c>
      <c r="BR44">
        <v>1.4E-2</v>
      </c>
      <c r="BS44">
        <v>9.5200000000000007E-2</v>
      </c>
      <c r="BT44">
        <v>2.7E-2</v>
      </c>
      <c r="BU44">
        <v>4.8789999999999997E-3</v>
      </c>
      <c r="BV44">
        <v>1.602E-2</v>
      </c>
      <c r="BW44">
        <v>6.6000000000000003E-2</v>
      </c>
      <c r="BX44">
        <v>6.6000000000000003E-2</v>
      </c>
      <c r="BY44">
        <v>0.125</v>
      </c>
      <c r="BZ44">
        <v>0</v>
      </c>
      <c r="CA44">
        <v>3.1E-2</v>
      </c>
      <c r="CB44">
        <v>2.0299999999999999E-2</v>
      </c>
      <c r="CC44">
        <v>4.2770000000000004E-3</v>
      </c>
      <c r="CD44">
        <v>0</v>
      </c>
      <c r="CE44">
        <v>0.40692800000000001</v>
      </c>
      <c r="CF44">
        <v>0.23350000000000001</v>
      </c>
      <c r="CG44">
        <v>1.6E-2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25">
      <c r="A45" s="1">
        <v>41517</v>
      </c>
      <c r="B45">
        <v>4.99E-2</v>
      </c>
      <c r="C45">
        <v>0.13900000000000001</v>
      </c>
      <c r="D45">
        <v>2.14</v>
      </c>
      <c r="E45">
        <v>0.106187</v>
      </c>
      <c r="F45">
        <v>0.17799999999999999</v>
      </c>
      <c r="G45">
        <v>3.7999999999999999E-2</v>
      </c>
      <c r="H45">
        <v>0.27300000000000002</v>
      </c>
      <c r="I45">
        <v>0.156</v>
      </c>
      <c r="J45">
        <v>0.1171</v>
      </c>
      <c r="K45">
        <v>0.109</v>
      </c>
      <c r="L45">
        <v>0.5</v>
      </c>
      <c r="M45">
        <v>1.353</v>
      </c>
      <c r="N45">
        <v>1.048</v>
      </c>
      <c r="O45">
        <v>0.66600000000000004</v>
      </c>
      <c r="P45">
        <v>5.4</v>
      </c>
      <c r="Q45">
        <v>0.13900000000000001</v>
      </c>
      <c r="R45">
        <v>0.11799999999999999</v>
      </c>
      <c r="S45">
        <v>1.18</v>
      </c>
      <c r="T45">
        <v>1.1659999999999999</v>
      </c>
      <c r="U45">
        <v>6.7999999999999996E-3</v>
      </c>
      <c r="V45">
        <v>3.3E-3</v>
      </c>
      <c r="W45">
        <v>6.3700000000000007E-2</v>
      </c>
      <c r="X45">
        <v>0.77</v>
      </c>
      <c r="Y45">
        <v>4.04</v>
      </c>
      <c r="Z45">
        <v>30.31</v>
      </c>
      <c r="AA45">
        <v>1.72</v>
      </c>
      <c r="AB45">
        <v>9.4E-2</v>
      </c>
      <c r="AC45">
        <v>3.8559999999999999</v>
      </c>
      <c r="AD45">
        <v>0.03</v>
      </c>
      <c r="AE45">
        <v>0.15892727272727272</v>
      </c>
      <c r="AF45">
        <v>0.192</v>
      </c>
      <c r="AG45">
        <v>0.59299999999999997</v>
      </c>
      <c r="AH45">
        <v>1309</v>
      </c>
      <c r="AI45">
        <v>1.5549999999999999</v>
      </c>
      <c r="AJ45">
        <v>1210</v>
      </c>
      <c r="AK45">
        <v>0</v>
      </c>
      <c r="AL45">
        <v>839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4.7E-2</v>
      </c>
      <c r="AV45">
        <v>2.0870000000000002</v>
      </c>
      <c r="AW45">
        <v>2.6419999999999999</v>
      </c>
      <c r="AX45">
        <v>537.12</v>
      </c>
      <c r="AY45">
        <v>6.34</v>
      </c>
      <c r="AZ45">
        <v>0.15587000000000001</v>
      </c>
      <c r="BA45">
        <v>0.51449999999999996</v>
      </c>
      <c r="BB45">
        <v>4.8000000000000001E-2</v>
      </c>
      <c r="BC45">
        <v>6.424E-3</v>
      </c>
      <c r="BD45">
        <v>3.3460000000000001</v>
      </c>
      <c r="BE45">
        <v>2915763.3551499997</v>
      </c>
      <c r="BF45">
        <v>65.58</v>
      </c>
      <c r="BG45">
        <v>6.27</v>
      </c>
      <c r="BH45">
        <v>0.56200000000000006</v>
      </c>
      <c r="BI45">
        <v>0.03</v>
      </c>
      <c r="BJ45">
        <v>2.0449999999999999</v>
      </c>
      <c r="BK45">
        <v>1.661</v>
      </c>
      <c r="BL45">
        <v>3.3119999999999997E-2</v>
      </c>
      <c r="BM45">
        <v>1.1000000000000001</v>
      </c>
      <c r="BN45">
        <v>7.9732999999999998E-2</v>
      </c>
      <c r="BO45">
        <v>0.6</v>
      </c>
      <c r="BP45">
        <v>0.23988399999999999</v>
      </c>
      <c r="BQ45">
        <v>0</v>
      </c>
      <c r="BR45">
        <v>1.2999999999999999E-2</v>
      </c>
      <c r="BS45">
        <v>0.129</v>
      </c>
      <c r="BT45">
        <v>2.7E-2</v>
      </c>
      <c r="BU45">
        <v>4.9659999999999999E-3</v>
      </c>
      <c r="BV45">
        <v>2.5350000000000001E-2</v>
      </c>
      <c r="BW45">
        <v>7.0000000000000007E-2</v>
      </c>
      <c r="BX45">
        <v>7.0000000000000007E-2</v>
      </c>
      <c r="BY45">
        <v>0.14599999999999999</v>
      </c>
      <c r="BZ45">
        <v>0</v>
      </c>
      <c r="CA45">
        <v>3.15E-2</v>
      </c>
      <c r="CB45">
        <v>2.29E-2</v>
      </c>
      <c r="CC45">
        <v>4.6810000000000003E-3</v>
      </c>
      <c r="CD45">
        <v>0</v>
      </c>
      <c r="CE45">
        <v>0.39389800000000003</v>
      </c>
      <c r="CF45">
        <v>0.25230000000000002</v>
      </c>
      <c r="CG45">
        <v>1.4999999999999999E-2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</row>
    <row r="46" spans="1:105" x14ac:dyDescent="0.25">
      <c r="A46" s="1">
        <v>41547</v>
      </c>
      <c r="B46">
        <v>5.04E-2</v>
      </c>
      <c r="C46">
        <v>0.10100000000000001</v>
      </c>
      <c r="D46">
        <v>2.23</v>
      </c>
      <c r="E46">
        <v>0.12614300000000001</v>
      </c>
      <c r="F46">
        <v>0.183</v>
      </c>
      <c r="G46">
        <v>4.8000000000000001E-2</v>
      </c>
      <c r="H46">
        <v>0.246</v>
      </c>
      <c r="I46">
        <v>0.17</v>
      </c>
      <c r="J46">
        <v>0.13819999999999999</v>
      </c>
      <c r="K46">
        <v>0.112</v>
      </c>
      <c r="L46">
        <v>0.53</v>
      </c>
      <c r="M46">
        <v>1.3640000000000001</v>
      </c>
      <c r="N46">
        <v>1.1100000000000001</v>
      </c>
      <c r="O46">
        <v>0.73360000000000003</v>
      </c>
      <c r="P46">
        <v>5.4</v>
      </c>
      <c r="Q46">
        <v>0.154</v>
      </c>
      <c r="R46">
        <v>9.7000000000000003E-2</v>
      </c>
      <c r="S46">
        <v>1.3320000000000001</v>
      </c>
      <c r="T46">
        <v>1.2290000000000001</v>
      </c>
      <c r="U46">
        <v>7.7000000000000002E-3</v>
      </c>
      <c r="V46">
        <v>3.2000000000000002E-3</v>
      </c>
      <c r="W46">
        <v>8.3299999999999999E-2</v>
      </c>
      <c r="X46">
        <v>1.6</v>
      </c>
      <c r="Y46">
        <v>4.68</v>
      </c>
      <c r="Z46">
        <v>32.9</v>
      </c>
      <c r="AA46">
        <v>1.81</v>
      </c>
      <c r="AB46">
        <v>0.12</v>
      </c>
      <c r="AC46">
        <v>4.2220000000000004</v>
      </c>
      <c r="AD46">
        <v>0.03</v>
      </c>
      <c r="AE46">
        <v>0.16045454545454546</v>
      </c>
      <c r="AF46">
        <v>0.24199999999999999</v>
      </c>
      <c r="AG46">
        <v>0.65500000000000003</v>
      </c>
      <c r="AH46">
        <v>1098</v>
      </c>
      <c r="AI46">
        <v>0.97899999999999998</v>
      </c>
      <c r="AJ46">
        <v>1151</v>
      </c>
      <c r="AK46">
        <v>0</v>
      </c>
      <c r="AL46">
        <v>663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2.5000000000000001E-2</v>
      </c>
      <c r="AV46">
        <v>4.1139999999999999</v>
      </c>
      <c r="AW46">
        <v>2.6429999999999998</v>
      </c>
      <c r="AX46">
        <v>537.12</v>
      </c>
      <c r="AY46">
        <v>6.3650000000000002</v>
      </c>
      <c r="AZ46">
        <v>0.18063299999999999</v>
      </c>
      <c r="BA46">
        <v>0.51529999999999998</v>
      </c>
      <c r="BB46">
        <v>8.5999999999999993E-2</v>
      </c>
      <c r="BC46">
        <v>1.421E-2</v>
      </c>
      <c r="BD46">
        <v>4.532</v>
      </c>
      <c r="BE46">
        <v>5831526</v>
      </c>
      <c r="BF46">
        <v>71.86</v>
      </c>
      <c r="BG46">
        <v>4.3899999999999997</v>
      </c>
      <c r="BH46">
        <v>0.56400000000000006</v>
      </c>
      <c r="BI46">
        <v>0.7</v>
      </c>
      <c r="BJ46">
        <v>1.9370000000000001</v>
      </c>
      <c r="BK46">
        <v>1.8320000000000001</v>
      </c>
      <c r="BL46">
        <v>3.1699999999999999E-2</v>
      </c>
      <c r="BM46">
        <v>1.49</v>
      </c>
      <c r="BN46">
        <v>8.9206999999999995E-2</v>
      </c>
      <c r="BO46">
        <v>0.65</v>
      </c>
      <c r="BP46">
        <v>0.18228</v>
      </c>
      <c r="BQ46">
        <v>0</v>
      </c>
      <c r="BR46">
        <v>1.6E-2</v>
      </c>
      <c r="BS46">
        <v>7.8299999999999995E-2</v>
      </c>
      <c r="BT46">
        <v>3.2000000000000001E-2</v>
      </c>
      <c r="BU46">
        <v>5.8770000000000003E-3</v>
      </c>
      <c r="BV46">
        <v>2.9899999999999999E-2</v>
      </c>
      <c r="BW46">
        <v>7.0999999999999994E-2</v>
      </c>
      <c r="BX46">
        <v>7.0999999999999994E-2</v>
      </c>
      <c r="BY46">
        <v>0.16</v>
      </c>
      <c r="BZ46">
        <v>0</v>
      </c>
      <c r="CA46">
        <v>3.15E-2</v>
      </c>
      <c r="CB46">
        <v>2.29E-2</v>
      </c>
      <c r="CC46">
        <v>5.1229999999999999E-3</v>
      </c>
      <c r="CD46">
        <v>0</v>
      </c>
      <c r="CE46">
        <v>0.45341199999999998</v>
      </c>
      <c r="CF46">
        <v>0.27839999999999998</v>
      </c>
      <c r="CG46">
        <v>1.4999999999999999E-2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</row>
    <row r="47" spans="1:105" x14ac:dyDescent="0.25">
      <c r="A47" s="1">
        <v>41578</v>
      </c>
      <c r="B47">
        <v>4.9299999999999997E-2</v>
      </c>
      <c r="C47">
        <v>5.2999999999999999E-2</v>
      </c>
      <c r="D47">
        <v>2.54</v>
      </c>
      <c r="E47">
        <v>0.13262699999999999</v>
      </c>
      <c r="F47">
        <v>0.157</v>
      </c>
      <c r="G47">
        <v>4.7E-2</v>
      </c>
      <c r="H47">
        <v>0.28199999999999997</v>
      </c>
      <c r="I47">
        <v>0.19700000000000001</v>
      </c>
      <c r="J47">
        <v>0.1535</v>
      </c>
      <c r="K47">
        <v>0.10100000000000001</v>
      </c>
      <c r="L47">
        <v>0.6</v>
      </c>
      <c r="M47">
        <v>1.38</v>
      </c>
      <c r="N47">
        <v>1.028</v>
      </c>
      <c r="O47">
        <v>0.73080000000000001</v>
      </c>
      <c r="P47">
        <v>5.2</v>
      </c>
      <c r="Q47">
        <v>0.157</v>
      </c>
      <c r="R47">
        <v>0.105</v>
      </c>
      <c r="S47">
        <v>1.1499999999999999</v>
      </c>
      <c r="T47">
        <v>1.2290000000000001</v>
      </c>
      <c r="U47">
        <v>7.1000000000000004E-3</v>
      </c>
      <c r="V47">
        <v>3.29E-3</v>
      </c>
      <c r="W47">
        <v>9.5100000000000004E-2</v>
      </c>
      <c r="X47">
        <v>1.31</v>
      </c>
      <c r="Y47">
        <v>5.23</v>
      </c>
      <c r="Z47">
        <v>32.369999999999997</v>
      </c>
      <c r="AA47">
        <v>0.48</v>
      </c>
      <c r="AB47">
        <v>0.11600000000000001</v>
      </c>
      <c r="AC47">
        <v>4.2889999999999997</v>
      </c>
      <c r="AD47">
        <v>0.02</v>
      </c>
      <c r="AE47">
        <v>0.16198181818181817</v>
      </c>
      <c r="AF47">
        <v>0.182</v>
      </c>
      <c r="AG47">
        <v>0.61699999999999999</v>
      </c>
      <c r="AH47">
        <v>872</v>
      </c>
      <c r="AI47">
        <v>1.1759999999999999</v>
      </c>
      <c r="AJ47">
        <v>774</v>
      </c>
      <c r="AK47">
        <v>0</v>
      </c>
      <c r="AL47">
        <v>359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4.4999999999999998E-2</v>
      </c>
      <c r="AV47">
        <v>6.141</v>
      </c>
      <c r="AW47">
        <v>2.44</v>
      </c>
      <c r="AX47">
        <v>441.41</v>
      </c>
      <c r="AY47">
        <v>6.3900000000000006</v>
      </c>
      <c r="AZ47">
        <v>0.18135399999999999</v>
      </c>
      <c r="BA47">
        <v>0.56220000000000003</v>
      </c>
      <c r="BB47">
        <v>9.2999999999999999E-2</v>
      </c>
      <c r="BC47">
        <v>1.9429999999999999E-2</v>
      </c>
      <c r="BD47">
        <v>5.0549999999999997</v>
      </c>
      <c r="BE47">
        <v>601518</v>
      </c>
      <c r="BF47">
        <v>73.88</v>
      </c>
      <c r="BG47">
        <v>3.69</v>
      </c>
      <c r="BH47">
        <v>0.56600000000000006</v>
      </c>
      <c r="BI47">
        <v>0.62</v>
      </c>
      <c r="BJ47">
        <v>2.2387000000000001</v>
      </c>
      <c r="BK47">
        <v>1.766</v>
      </c>
      <c r="BL47">
        <v>3.9E-2</v>
      </c>
      <c r="BM47">
        <v>1.21</v>
      </c>
      <c r="BN47">
        <v>8.8999999999999996E-2</v>
      </c>
      <c r="BO47">
        <v>0.8</v>
      </c>
      <c r="BP47">
        <v>0.22555</v>
      </c>
      <c r="BQ47">
        <v>0</v>
      </c>
      <c r="BR47">
        <v>1.6E-2</v>
      </c>
      <c r="BS47">
        <v>0.23899999999999999</v>
      </c>
      <c r="BT47">
        <v>4.1000000000000002E-2</v>
      </c>
      <c r="BU47">
        <v>4.9249999999999997E-3</v>
      </c>
      <c r="BV47">
        <v>2.223E-2</v>
      </c>
      <c r="BW47">
        <v>0.09</v>
      </c>
      <c r="BX47">
        <v>0.09</v>
      </c>
      <c r="BY47">
        <v>0.13400000000000001</v>
      </c>
      <c r="BZ47">
        <v>0</v>
      </c>
      <c r="CA47">
        <v>3.1E-2</v>
      </c>
      <c r="CB47">
        <v>2.3E-2</v>
      </c>
      <c r="CC47">
        <v>6.62E-3</v>
      </c>
      <c r="CD47">
        <v>0</v>
      </c>
      <c r="CE47">
        <v>0.437776</v>
      </c>
      <c r="CF47">
        <v>0.27010000000000001</v>
      </c>
      <c r="CG47">
        <v>1.2999999999999999E-2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</row>
    <row r="48" spans="1:105" x14ac:dyDescent="0.25">
      <c r="A48" s="1">
        <v>41608</v>
      </c>
      <c r="B48">
        <v>4.6699999999999998E-2</v>
      </c>
      <c r="C48">
        <v>5.6499999999999995E-2</v>
      </c>
      <c r="D48">
        <v>2.5499999999999998</v>
      </c>
      <c r="E48">
        <v>0.13342100000000001</v>
      </c>
      <c r="F48">
        <v>0.14599999999999999</v>
      </c>
      <c r="G48">
        <v>4.2000000000000003E-2</v>
      </c>
      <c r="H48">
        <v>0.249</v>
      </c>
      <c r="I48">
        <v>0.21299999999999999</v>
      </c>
      <c r="J48">
        <v>0.16889999999999999</v>
      </c>
      <c r="K48">
        <v>0.10100000000000001</v>
      </c>
      <c r="L48">
        <v>0.47</v>
      </c>
      <c r="M48">
        <v>1.4890000000000001</v>
      </c>
      <c r="N48">
        <v>0.98</v>
      </c>
      <c r="O48">
        <v>0.76229999999999998</v>
      </c>
      <c r="P48">
        <v>5.4</v>
      </c>
      <c r="Q48">
        <v>0.159</v>
      </c>
      <c r="R48">
        <v>9.2999999999999999E-2</v>
      </c>
      <c r="S48">
        <v>1.35</v>
      </c>
      <c r="T48">
        <v>1.0469999999999999</v>
      </c>
      <c r="U48">
        <v>5.4999999999999997E-3</v>
      </c>
      <c r="V48">
        <v>3.3999999999999998E-3</v>
      </c>
      <c r="W48">
        <v>8.9300000000000004E-2</v>
      </c>
      <c r="X48">
        <v>1.85</v>
      </c>
      <c r="Y48">
        <v>4.68</v>
      </c>
      <c r="Z48">
        <v>22.18</v>
      </c>
      <c r="AA48">
        <v>1.04</v>
      </c>
      <c r="AB48">
        <v>9.4E-2</v>
      </c>
      <c r="AC48">
        <v>4.16</v>
      </c>
      <c r="AD48">
        <v>0.05</v>
      </c>
      <c r="AE48">
        <v>0.16350909090909091</v>
      </c>
      <c r="AF48">
        <v>0.14899999999999999</v>
      </c>
      <c r="AG48">
        <v>0.58299999999999996</v>
      </c>
      <c r="AH48">
        <v>1063</v>
      </c>
      <c r="AI48">
        <v>0.64800000000000002</v>
      </c>
      <c r="AJ48">
        <v>755</v>
      </c>
      <c r="AK48">
        <v>0</v>
      </c>
      <c r="AL48">
        <v>402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4.7E-2</v>
      </c>
      <c r="AV48">
        <v>8.168000000000001</v>
      </c>
      <c r="AW48">
        <v>2.6269999999999998</v>
      </c>
      <c r="AX48">
        <v>142.1</v>
      </c>
      <c r="AY48">
        <v>6.415</v>
      </c>
      <c r="AZ48">
        <v>0.159166</v>
      </c>
      <c r="BA48">
        <v>0.59630000000000005</v>
      </c>
      <c r="BB48">
        <v>8.5000000000000006E-2</v>
      </c>
      <c r="BC48">
        <v>1.2383999999999999E-2</v>
      </c>
      <c r="BD48">
        <v>4.8600000000000003</v>
      </c>
      <c r="BE48">
        <v>138382</v>
      </c>
      <c r="BF48">
        <v>79.98</v>
      </c>
      <c r="BG48">
        <v>4.09</v>
      </c>
      <c r="BH48">
        <v>0.56800000000000006</v>
      </c>
      <c r="BI48">
        <v>0.46</v>
      </c>
      <c r="BJ48">
        <v>1.9490000000000001</v>
      </c>
      <c r="BK48">
        <v>1.772</v>
      </c>
      <c r="BL48">
        <v>3.2199999999999999E-2</v>
      </c>
      <c r="BM48">
        <v>1.1000000000000001</v>
      </c>
      <c r="BN48">
        <v>8.8344000000000006E-2</v>
      </c>
      <c r="BO48">
        <v>0.63</v>
      </c>
      <c r="BP48">
        <v>0.20458000000000001</v>
      </c>
      <c r="BQ48">
        <v>0</v>
      </c>
      <c r="BR48">
        <v>1.6E-2</v>
      </c>
      <c r="BS48">
        <v>0.27500000000000002</v>
      </c>
      <c r="BT48">
        <v>3.4000000000000002E-2</v>
      </c>
      <c r="BU48">
        <v>4.0679999999999996E-3</v>
      </c>
      <c r="BV48">
        <v>3.8870000000000002E-2</v>
      </c>
      <c r="BW48">
        <v>0.13100000000000001</v>
      </c>
      <c r="BX48">
        <v>0.13100000000000001</v>
      </c>
      <c r="BY48">
        <v>0.191</v>
      </c>
      <c r="BZ48">
        <v>0</v>
      </c>
      <c r="CA48">
        <v>3.15E-2</v>
      </c>
      <c r="CB48">
        <v>2.7E-2</v>
      </c>
      <c r="CC48">
        <v>6.2750000000000002E-3</v>
      </c>
      <c r="CD48">
        <v>0</v>
      </c>
      <c r="CE48">
        <v>0.40886400000000001</v>
      </c>
      <c r="CF48">
        <v>0.2717</v>
      </c>
      <c r="CG48">
        <v>1.4E-2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</row>
    <row r="49" spans="1:105" x14ac:dyDescent="0.25">
      <c r="A49" s="1">
        <v>41639</v>
      </c>
      <c r="B49">
        <v>4.3499999999999997E-2</v>
      </c>
      <c r="C49">
        <v>0.06</v>
      </c>
      <c r="D49">
        <v>2.4300000000000002</v>
      </c>
      <c r="E49">
        <v>0.125281</v>
      </c>
      <c r="F49">
        <v>0.127</v>
      </c>
      <c r="G49">
        <v>4.2999999999999997E-2</v>
      </c>
      <c r="H49">
        <v>0.23799999999999999</v>
      </c>
      <c r="I49">
        <v>0.157</v>
      </c>
      <c r="J49">
        <v>0.15459999999999999</v>
      </c>
      <c r="K49">
        <v>8.2000000000000003E-2</v>
      </c>
      <c r="L49">
        <v>0.4</v>
      </c>
      <c r="M49">
        <v>1.7</v>
      </c>
      <c r="N49">
        <v>0.94799999999999995</v>
      </c>
      <c r="O49">
        <v>0.74139999999999995</v>
      </c>
      <c r="P49">
        <v>5</v>
      </c>
      <c r="Q49">
        <v>0.157</v>
      </c>
      <c r="R49">
        <v>9.1999999999999998E-2</v>
      </c>
      <c r="S49">
        <v>1.29</v>
      </c>
      <c r="T49">
        <v>1.2</v>
      </c>
      <c r="U49">
        <v>1.1299999999999999E-2</v>
      </c>
      <c r="V49">
        <v>3.0799999999999998E-3</v>
      </c>
      <c r="W49">
        <v>9.5399999999999999E-2</v>
      </c>
      <c r="X49">
        <v>1.79</v>
      </c>
      <c r="Y49">
        <v>4.2</v>
      </c>
      <c r="Z49">
        <v>20.350000000000001</v>
      </c>
      <c r="AA49">
        <v>3.8</v>
      </c>
      <c r="AB49">
        <v>0.1</v>
      </c>
      <c r="AC49">
        <v>4.0640000000000001</v>
      </c>
      <c r="AD49">
        <v>0.08</v>
      </c>
      <c r="AE49">
        <v>0.16503636363636365</v>
      </c>
      <c r="AF49">
        <v>0.14499999999999999</v>
      </c>
      <c r="AG49">
        <v>0.54800000000000004</v>
      </c>
      <c r="AH49">
        <v>895</v>
      </c>
      <c r="AI49">
        <v>2</v>
      </c>
      <c r="AJ49">
        <v>884</v>
      </c>
      <c r="AK49">
        <v>0</v>
      </c>
      <c r="AL49">
        <v>293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2.8000000000000001E-2</v>
      </c>
      <c r="AV49">
        <v>10.195000000000002</v>
      </c>
      <c r="AW49">
        <v>2.5123000000000002</v>
      </c>
      <c r="AX49">
        <v>277.92</v>
      </c>
      <c r="AY49">
        <v>6.44</v>
      </c>
      <c r="AZ49">
        <v>0.15290300000000001</v>
      </c>
      <c r="BA49">
        <v>0.5847</v>
      </c>
      <c r="BB49">
        <v>7.8E-2</v>
      </c>
      <c r="BC49">
        <v>9.5139999999999999E-3</v>
      </c>
      <c r="BD49">
        <v>5.1139999999999999</v>
      </c>
      <c r="BE49">
        <v>206864.11111111112</v>
      </c>
      <c r="BF49">
        <v>78.95</v>
      </c>
      <c r="BG49">
        <v>3.95</v>
      </c>
      <c r="BH49">
        <v>0.56999999999999995</v>
      </c>
      <c r="BI49">
        <v>0.41</v>
      </c>
      <c r="BJ49">
        <v>1.9319999999999999</v>
      </c>
      <c r="BK49">
        <v>1.839</v>
      </c>
      <c r="BL49">
        <v>2.8500000000000001E-2</v>
      </c>
      <c r="BM49">
        <v>0.95</v>
      </c>
      <c r="BN49">
        <v>8.7266999999999997E-2</v>
      </c>
      <c r="BO49">
        <v>0.6</v>
      </c>
      <c r="BP49">
        <v>0.181814</v>
      </c>
      <c r="BQ49">
        <v>0</v>
      </c>
      <c r="BR49">
        <v>1.6E-2</v>
      </c>
      <c r="BS49">
        <v>0.27500000000000002</v>
      </c>
      <c r="BT49">
        <v>3.3000000000000002E-2</v>
      </c>
      <c r="BU49">
        <v>4.2750000000000002E-3</v>
      </c>
      <c r="BV49">
        <v>3.2513333333333339E-2</v>
      </c>
      <c r="BW49">
        <v>0.129</v>
      </c>
      <c r="BX49">
        <v>0.129</v>
      </c>
      <c r="BY49">
        <v>0.20899999999999999</v>
      </c>
      <c r="BZ49">
        <v>0</v>
      </c>
      <c r="CA49">
        <v>3.1E-2</v>
      </c>
      <c r="CB49">
        <v>3.1600000000000003E-2</v>
      </c>
      <c r="CC49">
        <v>5.6270000000000001E-3</v>
      </c>
      <c r="CD49">
        <v>0</v>
      </c>
      <c r="CE49">
        <v>0.40424199999999999</v>
      </c>
      <c r="CF49">
        <v>0.2535</v>
      </c>
      <c r="CG49">
        <v>1.4E-2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</row>
    <row r="50" spans="1:105" x14ac:dyDescent="0.25">
      <c r="A50" s="1">
        <v>41670</v>
      </c>
      <c r="B50">
        <v>4.6399999999999997E-2</v>
      </c>
      <c r="C50">
        <v>6.4000000000000001E-2</v>
      </c>
      <c r="D50">
        <v>2.41</v>
      </c>
      <c r="E50">
        <v>0.12737000000000001</v>
      </c>
      <c r="F50">
        <v>0.11700000000000001</v>
      </c>
      <c r="G50">
        <v>4.2999999999999997E-2</v>
      </c>
      <c r="H50">
        <v>0.24299999999999999</v>
      </c>
      <c r="I50">
        <v>0.151</v>
      </c>
      <c r="J50">
        <v>0.17699999999999999</v>
      </c>
      <c r="K50">
        <v>8.1000000000000003E-2</v>
      </c>
      <c r="L50">
        <v>0.4</v>
      </c>
      <c r="M50">
        <v>1.6839999999999999</v>
      </c>
      <c r="N50">
        <v>0.97099999999999997</v>
      </c>
      <c r="O50">
        <v>0.69889999999999997</v>
      </c>
      <c r="P50">
        <v>4.9000000000000004</v>
      </c>
      <c r="Q50">
        <v>0.156</v>
      </c>
      <c r="R50">
        <v>8.5000000000000006E-2</v>
      </c>
      <c r="S50">
        <v>1.1100000000000001</v>
      </c>
      <c r="T50">
        <v>1.1399999999999999</v>
      </c>
      <c r="U50">
        <v>8.8000000000000005E-3</v>
      </c>
      <c r="V50">
        <v>3.5999999999999999E-3</v>
      </c>
      <c r="W50">
        <v>9.0899999999999995E-2</v>
      </c>
      <c r="X50">
        <v>1.7</v>
      </c>
      <c r="Y50">
        <v>4.1900000000000004</v>
      </c>
      <c r="Z50">
        <v>21.72</v>
      </c>
      <c r="AA50">
        <v>5.85</v>
      </c>
      <c r="AB50">
        <v>9.7000000000000003E-2</v>
      </c>
      <c r="AC50">
        <v>3.9820000000000002</v>
      </c>
      <c r="AD50">
        <v>0.04</v>
      </c>
      <c r="AE50">
        <v>0.16656363636363636</v>
      </c>
      <c r="AF50">
        <v>0.13800000000000001</v>
      </c>
      <c r="AG50">
        <v>0.54</v>
      </c>
      <c r="AH50">
        <v>673.55</v>
      </c>
      <c r="AI50">
        <v>2.2650000000000001</v>
      </c>
      <c r="AJ50">
        <v>1036</v>
      </c>
      <c r="AK50">
        <v>0</v>
      </c>
      <c r="AL50">
        <v>349.3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0.04</v>
      </c>
      <c r="AV50">
        <v>12.222000000000001</v>
      </c>
      <c r="AW50">
        <v>2.5059999999999998</v>
      </c>
      <c r="AX50">
        <v>256.47000000000003</v>
      </c>
      <c r="AY50">
        <v>6.4649999999999999</v>
      </c>
      <c r="AZ50">
        <v>0.17345099999999999</v>
      </c>
      <c r="BA50">
        <v>0.53810000000000002</v>
      </c>
      <c r="BB50">
        <v>0.08</v>
      </c>
      <c r="BC50">
        <v>8.2000000000000007E-3</v>
      </c>
      <c r="BD50">
        <v>4.8390000000000004</v>
      </c>
      <c r="BE50">
        <v>275346.22222222225</v>
      </c>
      <c r="BF50">
        <v>78.89</v>
      </c>
      <c r="BG50">
        <v>5.16</v>
      </c>
      <c r="BH50">
        <v>0.57199999999999995</v>
      </c>
      <c r="BI50">
        <v>0.48</v>
      </c>
      <c r="BJ50">
        <v>1.9359999999999999</v>
      </c>
      <c r="BK50">
        <v>1.9419999999999999</v>
      </c>
      <c r="BL50">
        <v>2.9000000000000001E-2</v>
      </c>
      <c r="BM50">
        <v>0.96</v>
      </c>
      <c r="BN50">
        <v>8.8289999999999993E-2</v>
      </c>
      <c r="BO50">
        <v>0.6</v>
      </c>
      <c r="BP50">
        <v>0.13811300000000001</v>
      </c>
      <c r="BQ50">
        <v>0</v>
      </c>
      <c r="BR50">
        <v>1.7000000000000001E-2</v>
      </c>
      <c r="BS50">
        <v>0.29499999999999998</v>
      </c>
      <c r="BT50">
        <v>3.3000000000000002E-2</v>
      </c>
      <c r="BU50">
        <v>4.1729999999999996E-3</v>
      </c>
      <c r="BV50">
        <v>2.6156666666666668E-2</v>
      </c>
      <c r="BW50">
        <v>0.123</v>
      </c>
      <c r="BX50">
        <v>0.123</v>
      </c>
      <c r="BY50">
        <v>0.2</v>
      </c>
      <c r="BZ50">
        <v>0</v>
      </c>
      <c r="CA50">
        <v>3.15E-2</v>
      </c>
      <c r="CB50">
        <v>0.03</v>
      </c>
      <c r="CC50">
        <v>5.4780000000000002E-3</v>
      </c>
      <c r="CD50">
        <v>0</v>
      </c>
      <c r="CE50">
        <v>0.42675000000000002</v>
      </c>
      <c r="CF50">
        <v>0.33489999999999998</v>
      </c>
      <c r="CG50">
        <v>1.0999999999999999E-2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</row>
    <row r="51" spans="1:105" x14ac:dyDescent="0.25">
      <c r="A51" s="1">
        <v>41698</v>
      </c>
      <c r="B51">
        <v>5.0700000000000002E-2</v>
      </c>
      <c r="C51">
        <v>0.1</v>
      </c>
      <c r="D51">
        <v>2.29</v>
      </c>
      <c r="E51">
        <v>0.133934</v>
      </c>
      <c r="F51">
        <v>0.129</v>
      </c>
      <c r="G51">
        <v>4.2000000000000003E-2</v>
      </c>
      <c r="H51">
        <v>0.19600000000000001</v>
      </c>
      <c r="I51">
        <v>0.13400000000000001</v>
      </c>
      <c r="J51">
        <v>0.15970000000000001</v>
      </c>
      <c r="K51">
        <v>0.08</v>
      </c>
      <c r="L51">
        <v>0.39</v>
      </c>
      <c r="M51">
        <v>1.6020000000000001</v>
      </c>
      <c r="N51">
        <v>0.94299999999999995</v>
      </c>
      <c r="O51">
        <v>0.68720000000000003</v>
      </c>
      <c r="P51">
        <v>4.4000000000000004</v>
      </c>
      <c r="Q51">
        <v>0.14799999999999999</v>
      </c>
      <c r="R51">
        <v>7.9000000000000001E-2</v>
      </c>
      <c r="S51">
        <v>1.2</v>
      </c>
      <c r="T51">
        <v>1</v>
      </c>
      <c r="U51">
        <v>6.4999999999999997E-3</v>
      </c>
      <c r="V51">
        <v>3.3E-3</v>
      </c>
      <c r="W51">
        <v>0.1008</v>
      </c>
      <c r="X51">
        <v>1.65</v>
      </c>
      <c r="Y51">
        <v>4.47</v>
      </c>
      <c r="Z51">
        <v>22.59</v>
      </c>
      <c r="AA51">
        <v>0.42</v>
      </c>
      <c r="AB51">
        <v>9.8000000000000004E-2</v>
      </c>
      <c r="AC51">
        <v>3.9380000000000002</v>
      </c>
      <c r="AD51">
        <v>0.04</v>
      </c>
      <c r="AE51">
        <v>0.1680909090909091</v>
      </c>
      <c r="AF51">
        <v>0.13900000000000001</v>
      </c>
      <c r="AG51">
        <v>0.56799999999999995</v>
      </c>
      <c r="AH51">
        <v>892.12</v>
      </c>
      <c r="AI51">
        <v>0.64800000000000002</v>
      </c>
      <c r="AJ51">
        <v>1036.7</v>
      </c>
      <c r="AK51">
        <v>0</v>
      </c>
      <c r="AL51">
        <v>279.10000000000002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3.5999999999999997E-2</v>
      </c>
      <c r="AV51">
        <v>14.249000000000001</v>
      </c>
      <c r="AW51">
        <v>2.4780000000000002</v>
      </c>
      <c r="AX51">
        <v>267.7</v>
      </c>
      <c r="AY51">
        <v>6.49</v>
      </c>
      <c r="AZ51">
        <v>0.146678</v>
      </c>
      <c r="BA51">
        <v>0.60519999999999996</v>
      </c>
      <c r="BB51">
        <v>8.8999999999999996E-2</v>
      </c>
      <c r="BC51">
        <v>0.01</v>
      </c>
      <c r="BD51">
        <v>4.6369999999999996</v>
      </c>
      <c r="BE51">
        <v>343828.33333333331</v>
      </c>
      <c r="BF51">
        <v>77.89</v>
      </c>
      <c r="BG51">
        <v>6.33</v>
      </c>
      <c r="BH51">
        <v>0.57399999999999995</v>
      </c>
      <c r="BI51">
        <v>0.44</v>
      </c>
      <c r="BJ51">
        <v>1.9390000000000001</v>
      </c>
      <c r="BK51">
        <v>1.718</v>
      </c>
      <c r="BL51">
        <v>2.9000000000000001E-2</v>
      </c>
      <c r="BM51">
        <v>1.18</v>
      </c>
      <c r="BN51">
        <v>9.2037999999999995E-2</v>
      </c>
      <c r="BO51">
        <v>0.6</v>
      </c>
      <c r="BP51">
        <v>0.13633700000000001</v>
      </c>
      <c r="BQ51">
        <v>0</v>
      </c>
      <c r="BR51">
        <v>1.7999999999999999E-2</v>
      </c>
      <c r="BS51">
        <v>0.316</v>
      </c>
      <c r="BT51">
        <v>0.03</v>
      </c>
      <c r="BU51">
        <v>4.5970000000000004E-3</v>
      </c>
      <c r="BV51">
        <v>1.9800000000000002E-2</v>
      </c>
      <c r="BW51">
        <v>0.128</v>
      </c>
      <c r="BX51">
        <v>0.128</v>
      </c>
      <c r="BY51">
        <v>0.182</v>
      </c>
      <c r="BZ51">
        <v>0</v>
      </c>
      <c r="CA51">
        <v>3.15E-2</v>
      </c>
      <c r="CB51">
        <v>2.8340000000000001E-2</v>
      </c>
      <c r="CC51">
        <v>6.1419999999999999E-3</v>
      </c>
      <c r="CD51">
        <v>0</v>
      </c>
      <c r="CE51">
        <v>0.44342500000000001</v>
      </c>
      <c r="CF51">
        <v>0.3538</v>
      </c>
      <c r="CG51">
        <v>0.02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25">
      <c r="A52" s="1">
        <v>41729</v>
      </c>
      <c r="B52">
        <v>3.9919999999999997E-2</v>
      </c>
      <c r="C52">
        <v>8.5999999999999993E-2</v>
      </c>
      <c r="D52">
        <v>2.2799999999999998</v>
      </c>
      <c r="E52">
        <v>0.13406000000000001</v>
      </c>
      <c r="F52">
        <v>0.13600000000000001</v>
      </c>
      <c r="G52">
        <v>4.1000000000000002E-2</v>
      </c>
      <c r="H52">
        <v>0.20200000000000001</v>
      </c>
      <c r="I52">
        <v>0.158</v>
      </c>
      <c r="J52">
        <v>0.15260000000000001</v>
      </c>
      <c r="K52">
        <v>8.6999999999999994E-2</v>
      </c>
      <c r="L52">
        <v>0.38</v>
      </c>
      <c r="M52">
        <v>1.6</v>
      </c>
      <c r="N52">
        <v>1.0169999999999999</v>
      </c>
      <c r="O52">
        <v>0.65459999999999996</v>
      </c>
      <c r="P52">
        <v>4.5</v>
      </c>
      <c r="Q52">
        <v>0.14399999999999999</v>
      </c>
      <c r="R52">
        <v>0.109</v>
      </c>
      <c r="S52">
        <v>1.38</v>
      </c>
      <c r="T52">
        <v>1.06</v>
      </c>
      <c r="U52">
        <v>5.7999999999999996E-3</v>
      </c>
      <c r="V52">
        <v>4.2399999999999998E-3</v>
      </c>
      <c r="W52">
        <v>0.1012</v>
      </c>
      <c r="X52">
        <v>1.53</v>
      </c>
      <c r="Y52">
        <v>4.3899999999999997</v>
      </c>
      <c r="Z52">
        <v>17.61</v>
      </c>
      <c r="AA52">
        <v>0.47</v>
      </c>
      <c r="AB52">
        <v>9.7000000000000003E-2</v>
      </c>
      <c r="AC52">
        <v>4.1070000000000002</v>
      </c>
      <c r="AD52">
        <v>0.02</v>
      </c>
      <c r="AE52">
        <v>0.16961818181818183</v>
      </c>
      <c r="AF52">
        <v>0.154</v>
      </c>
      <c r="AG52">
        <v>0.55300000000000005</v>
      </c>
      <c r="AH52">
        <v>667</v>
      </c>
      <c r="AI52">
        <v>0.92100000000000004</v>
      </c>
      <c r="AJ52">
        <v>1037</v>
      </c>
      <c r="AK52">
        <v>0</v>
      </c>
      <c r="AL52">
        <v>342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3.6999999999999998E-2</v>
      </c>
      <c r="AV52">
        <v>16.276</v>
      </c>
      <c r="AW52">
        <v>2.6707000000000001</v>
      </c>
      <c r="AX52">
        <v>289.58999999999997</v>
      </c>
      <c r="AY52">
        <v>6.5150000000000006</v>
      </c>
      <c r="AZ52">
        <v>0.15658</v>
      </c>
      <c r="BA52">
        <v>0.59250000000000003</v>
      </c>
      <c r="BB52">
        <v>9.2999999999999999E-2</v>
      </c>
      <c r="BC52">
        <v>0.01</v>
      </c>
      <c r="BD52">
        <v>4.8789999999999996</v>
      </c>
      <c r="BE52">
        <v>412310.44444444444</v>
      </c>
      <c r="BF52">
        <v>82.94</v>
      </c>
      <c r="BG52">
        <v>6.05</v>
      </c>
      <c r="BH52">
        <v>0.57599999999999996</v>
      </c>
      <c r="BI52">
        <v>0.48</v>
      </c>
      <c r="BJ52">
        <v>1.7965</v>
      </c>
      <c r="BK52">
        <v>1.7150000000000001</v>
      </c>
      <c r="BL52">
        <v>2.9000000000000001E-2</v>
      </c>
      <c r="BM52">
        <v>1.23</v>
      </c>
      <c r="BN52">
        <v>0.109</v>
      </c>
      <c r="BO52">
        <v>0.68</v>
      </c>
      <c r="BP52">
        <v>0.13292599999999999</v>
      </c>
      <c r="BQ52">
        <v>0</v>
      </c>
      <c r="BR52">
        <v>1.7999999999999999E-2</v>
      </c>
      <c r="BS52">
        <v>0.33274999999999999</v>
      </c>
      <c r="BT52">
        <v>3.2500000000000001E-2</v>
      </c>
      <c r="BU52">
        <v>4.9870000000000001E-3</v>
      </c>
      <c r="BV52">
        <v>2.1260000000000001E-2</v>
      </c>
      <c r="BW52">
        <v>0.115</v>
      </c>
      <c r="BX52">
        <v>0.115</v>
      </c>
      <c r="BY52">
        <v>0.21099999999999999</v>
      </c>
      <c r="BZ52">
        <v>0</v>
      </c>
      <c r="CA52">
        <v>3.15E-2</v>
      </c>
      <c r="CB52">
        <v>2.8000000000000001E-2</v>
      </c>
      <c r="CC52">
        <v>5.2969999999999996E-3</v>
      </c>
      <c r="CD52">
        <v>0</v>
      </c>
      <c r="CE52">
        <v>0.44141799999999998</v>
      </c>
      <c r="CF52">
        <v>0.32879999999999998</v>
      </c>
      <c r="CG52">
        <v>1.9E-2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</row>
    <row r="53" spans="1:105" x14ac:dyDescent="0.25">
      <c r="A53" s="1">
        <v>41759</v>
      </c>
      <c r="B53">
        <v>4.6996999999999997E-2</v>
      </c>
      <c r="C53">
        <v>9.7000000000000003E-2</v>
      </c>
      <c r="D53">
        <v>2.33</v>
      </c>
      <c r="E53">
        <v>0.122114</v>
      </c>
      <c r="F53">
        <v>0.14000000000000001</v>
      </c>
      <c r="G53">
        <v>3.4000000000000002E-2</v>
      </c>
      <c r="H53">
        <v>0.17100000000000001</v>
      </c>
      <c r="I53">
        <v>0.14399999999999999</v>
      </c>
      <c r="J53">
        <v>0.13250000000000001</v>
      </c>
      <c r="K53">
        <v>8.6999999999999994E-2</v>
      </c>
      <c r="L53">
        <v>0.4</v>
      </c>
      <c r="M53">
        <v>1.484</v>
      </c>
      <c r="N53">
        <v>0.98599999999999999</v>
      </c>
      <c r="O53">
        <v>0.63660000000000005</v>
      </c>
      <c r="P53">
        <v>4.4000000000000004</v>
      </c>
      <c r="Q53">
        <v>0.13900000000000001</v>
      </c>
      <c r="R53">
        <v>9.7000000000000003E-2</v>
      </c>
      <c r="S53">
        <v>1.0780000000000001</v>
      </c>
      <c r="T53">
        <v>1.06</v>
      </c>
      <c r="U53">
        <v>4.3E-3</v>
      </c>
      <c r="V53">
        <v>3.3999999999999998E-3</v>
      </c>
      <c r="W53">
        <v>7.51E-2</v>
      </c>
      <c r="X53">
        <v>1.44</v>
      </c>
      <c r="Y53">
        <v>4.33</v>
      </c>
      <c r="Z53">
        <v>17.649999999999999</v>
      </c>
      <c r="AA53">
        <v>2.23</v>
      </c>
      <c r="AB53">
        <v>9.8000000000000004E-2</v>
      </c>
      <c r="AC53">
        <v>3.9470000000000001</v>
      </c>
      <c r="AD53">
        <v>1.7999999999999999E-2</v>
      </c>
      <c r="AE53">
        <v>0.17114545454545455</v>
      </c>
      <c r="AF53">
        <v>0.155</v>
      </c>
      <c r="AG53">
        <v>0.58199999999999996</v>
      </c>
      <c r="AH53">
        <v>832</v>
      </c>
      <c r="AI53">
        <v>0.50600000000000001</v>
      </c>
      <c r="AJ53">
        <v>1202</v>
      </c>
      <c r="AK53">
        <v>0</v>
      </c>
      <c r="AL53">
        <v>389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3.4000000000000002E-2</v>
      </c>
      <c r="AV53">
        <v>18.303000000000001</v>
      </c>
      <c r="AW53">
        <v>2.4597000000000002</v>
      </c>
      <c r="AX53">
        <v>446.9</v>
      </c>
      <c r="AY53">
        <v>6.54</v>
      </c>
      <c r="AZ53">
        <v>0.1484</v>
      </c>
      <c r="BA53">
        <v>0.52349999999999997</v>
      </c>
      <c r="BB53">
        <v>9.7000000000000003E-2</v>
      </c>
      <c r="BC53">
        <v>0.02</v>
      </c>
      <c r="BD53">
        <v>4.2679999999999998</v>
      </c>
      <c r="BE53">
        <v>480792.55555555556</v>
      </c>
      <c r="BF53">
        <v>78.13</v>
      </c>
      <c r="BG53">
        <v>6.04</v>
      </c>
      <c r="BH53">
        <v>0.57799999999999996</v>
      </c>
      <c r="BI53">
        <v>0.53</v>
      </c>
      <c r="BJ53">
        <v>1.8738999999999999</v>
      </c>
      <c r="BK53">
        <v>1.744</v>
      </c>
      <c r="BL53">
        <v>2.5999999999999999E-2</v>
      </c>
      <c r="BM53">
        <v>0.94</v>
      </c>
      <c r="BN53">
        <v>8.8999999999999996E-2</v>
      </c>
      <c r="BO53">
        <v>0.67</v>
      </c>
      <c r="BP53">
        <v>0.12035800000000001</v>
      </c>
      <c r="BQ53">
        <v>0</v>
      </c>
      <c r="BR53">
        <v>1.9E-2</v>
      </c>
      <c r="BS53">
        <v>0.34950000000000003</v>
      </c>
      <c r="BT53">
        <v>3.5000000000000003E-2</v>
      </c>
      <c r="BU53">
        <v>4.888E-3</v>
      </c>
      <c r="BV53">
        <v>2.2720000000000001E-2</v>
      </c>
      <c r="BW53">
        <v>0.114</v>
      </c>
      <c r="BX53">
        <v>0.114</v>
      </c>
      <c r="BY53">
        <v>0.23200000000000001</v>
      </c>
      <c r="BZ53">
        <v>0</v>
      </c>
      <c r="CA53">
        <v>3.15E-2</v>
      </c>
      <c r="CB53">
        <v>2.5999999999999999E-2</v>
      </c>
      <c r="CC53">
        <v>3.6510000000000002E-3</v>
      </c>
      <c r="CD53">
        <v>0</v>
      </c>
      <c r="CE53">
        <v>0.40182800000000002</v>
      </c>
      <c r="CF53">
        <v>0.33750000000000002</v>
      </c>
      <c r="CG53">
        <v>1.6E-2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25">
      <c r="A54" s="1">
        <v>41790</v>
      </c>
      <c r="B54">
        <v>5.21E-2</v>
      </c>
      <c r="C54">
        <v>6.5000000000000002E-2</v>
      </c>
      <c r="D54">
        <v>2.4700000000000002</v>
      </c>
      <c r="E54">
        <v>0.14777299999999999</v>
      </c>
      <c r="F54">
        <v>0.15</v>
      </c>
      <c r="G54">
        <v>4.7E-2</v>
      </c>
      <c r="H54">
        <v>0.26700000000000002</v>
      </c>
      <c r="I54">
        <v>0.20200000000000001</v>
      </c>
      <c r="J54">
        <v>0.1779</v>
      </c>
      <c r="K54">
        <v>0.114</v>
      </c>
      <c r="L54">
        <v>0.4</v>
      </c>
      <c r="M54">
        <v>1.5249999999999999</v>
      </c>
      <c r="N54">
        <v>1.095</v>
      </c>
      <c r="O54">
        <v>0.73799999999999999</v>
      </c>
      <c r="P54">
        <v>5.0999999999999996</v>
      </c>
      <c r="Q54">
        <v>0.17</v>
      </c>
      <c r="R54">
        <v>0.10299999999999999</v>
      </c>
      <c r="S54">
        <v>1.69</v>
      </c>
      <c r="T54">
        <v>1.1000000000000001</v>
      </c>
      <c r="U54">
        <v>6.7999999999999996E-3</v>
      </c>
      <c r="V54">
        <v>3.3E-3</v>
      </c>
      <c r="W54">
        <v>7.9799999999999996E-2</v>
      </c>
      <c r="X54">
        <v>1.62</v>
      </c>
      <c r="Y54">
        <v>4.37</v>
      </c>
      <c r="Z54">
        <v>20.98</v>
      </c>
      <c r="AA54">
        <v>3.69</v>
      </c>
      <c r="AB54">
        <v>0.105</v>
      </c>
      <c r="AC54">
        <v>3.9809999999999999</v>
      </c>
      <c r="AD54">
        <v>2.5000000000000001E-2</v>
      </c>
      <c r="AE54">
        <v>0.17267272727272726</v>
      </c>
      <c r="AF54">
        <v>0.192</v>
      </c>
      <c r="AG54">
        <v>0.61199999999999999</v>
      </c>
      <c r="AH54">
        <v>1040</v>
      </c>
      <c r="AI54">
        <v>0.39200000000000002</v>
      </c>
      <c r="AJ54">
        <v>1206</v>
      </c>
      <c r="AK54">
        <v>0</v>
      </c>
      <c r="AL54">
        <v>318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4.1000000000000002E-2</v>
      </c>
      <c r="AV54">
        <v>20.329999999999998</v>
      </c>
      <c r="AW54">
        <v>2.6758999999999999</v>
      </c>
      <c r="AX54">
        <v>537.12</v>
      </c>
      <c r="AY54">
        <v>6.5650000000000004</v>
      </c>
      <c r="AZ54">
        <v>0.16093499999999999</v>
      </c>
      <c r="BA54">
        <v>0.57750000000000001</v>
      </c>
      <c r="BB54">
        <v>0.10299999999999999</v>
      </c>
      <c r="BC54">
        <v>1.4E-2</v>
      </c>
      <c r="BD54">
        <v>4.62</v>
      </c>
      <c r="BE54">
        <v>549274.66666666663</v>
      </c>
      <c r="BF54">
        <v>82.74</v>
      </c>
      <c r="BG54">
        <v>5.8</v>
      </c>
      <c r="BH54">
        <v>0.57999999999999996</v>
      </c>
      <c r="BI54">
        <v>0.62</v>
      </c>
      <c r="BJ54">
        <v>2.0718999999999999</v>
      </c>
      <c r="BK54">
        <v>2.0099999999999998</v>
      </c>
      <c r="BL54">
        <v>3.8100000000000002E-2</v>
      </c>
      <c r="BM54">
        <v>1.33</v>
      </c>
      <c r="BN54">
        <v>0.10299999999999999</v>
      </c>
      <c r="BO54">
        <v>0.8</v>
      </c>
      <c r="BP54">
        <v>0.111179</v>
      </c>
      <c r="BQ54">
        <v>0</v>
      </c>
      <c r="BR54">
        <v>2.1999999999999999E-2</v>
      </c>
      <c r="BS54">
        <v>0.36625000000000002</v>
      </c>
      <c r="BT54">
        <v>4.2000000000000003E-2</v>
      </c>
      <c r="BU54">
        <v>5.1000000000000004E-3</v>
      </c>
      <c r="BV54">
        <v>2.418E-2</v>
      </c>
      <c r="BW54">
        <v>0.11700000000000001</v>
      </c>
      <c r="BX54">
        <v>0.11700000000000001</v>
      </c>
      <c r="BY54">
        <v>0.22800000000000001</v>
      </c>
      <c r="BZ54">
        <v>0</v>
      </c>
      <c r="CA54">
        <v>3.1E-2</v>
      </c>
      <c r="CB54">
        <v>2.3E-2</v>
      </c>
      <c r="CC54">
        <v>5.215E-3</v>
      </c>
      <c r="CD54">
        <v>0</v>
      </c>
      <c r="CE54">
        <v>0.44053599999999998</v>
      </c>
      <c r="CF54">
        <v>0.34782000000000002</v>
      </c>
      <c r="CG54">
        <v>1.6E-2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4.0699999999999998E-3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</row>
    <row r="55" spans="1:105" x14ac:dyDescent="0.25">
      <c r="A55" s="1">
        <v>41820</v>
      </c>
      <c r="B55">
        <v>5.4408999999999999E-2</v>
      </c>
      <c r="C55">
        <v>1</v>
      </c>
      <c r="D55">
        <v>2.36</v>
      </c>
      <c r="E55">
        <v>0.13081599999999999</v>
      </c>
      <c r="F55">
        <v>0.159</v>
      </c>
      <c r="G55">
        <v>3.5999999999999997E-2</v>
      </c>
      <c r="H55">
        <v>0.214</v>
      </c>
      <c r="I55">
        <v>0.16400000000000001</v>
      </c>
      <c r="J55">
        <v>0.13289999999999999</v>
      </c>
      <c r="K55">
        <v>0.126</v>
      </c>
      <c r="L55">
        <v>0.44</v>
      </c>
      <c r="M55">
        <v>1.298</v>
      </c>
      <c r="N55">
        <v>1.0609999999999999</v>
      </c>
      <c r="O55">
        <v>0.71750000000000003</v>
      </c>
      <c r="P55">
        <v>5</v>
      </c>
      <c r="Q55">
        <v>0.156</v>
      </c>
      <c r="R55">
        <v>0.13400000000000001</v>
      </c>
      <c r="S55">
        <v>1.44</v>
      </c>
      <c r="T55">
        <v>1.0900000000000001</v>
      </c>
      <c r="U55">
        <v>7.0000000000000001E-3</v>
      </c>
      <c r="V55">
        <v>4.0000000000000001E-3</v>
      </c>
      <c r="W55">
        <v>9.1899999999999996E-2</v>
      </c>
      <c r="X55">
        <v>1.67</v>
      </c>
      <c r="Y55">
        <v>4.04</v>
      </c>
      <c r="Z55">
        <v>32.81</v>
      </c>
      <c r="AA55">
        <v>0.33</v>
      </c>
      <c r="AB55">
        <v>9.2999999999999999E-2</v>
      </c>
      <c r="AC55">
        <v>3.9660000000000002</v>
      </c>
      <c r="AD55">
        <v>0.02</v>
      </c>
      <c r="AE55">
        <v>0.17420000000000002</v>
      </c>
      <c r="AF55">
        <v>0.153</v>
      </c>
      <c r="AG55">
        <v>0.57699999999999996</v>
      </c>
      <c r="AH55">
        <v>1110</v>
      </c>
      <c r="AI55">
        <v>2.1309999999999998</v>
      </c>
      <c r="AJ55">
        <v>1165</v>
      </c>
      <c r="AK55">
        <v>0</v>
      </c>
      <c r="AL55">
        <v>474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7.4999999999999997E-2</v>
      </c>
      <c r="AV55">
        <v>10.17</v>
      </c>
      <c r="AW55">
        <v>2.6776</v>
      </c>
      <c r="AX55">
        <v>537.12</v>
      </c>
      <c r="AY55">
        <v>6.59</v>
      </c>
      <c r="AZ55">
        <v>0.17027700000000001</v>
      </c>
      <c r="BA55">
        <v>0.58840000000000003</v>
      </c>
      <c r="BB55">
        <v>9.9000000000000005E-2</v>
      </c>
      <c r="BC55">
        <v>7.0000000000000001E-3</v>
      </c>
      <c r="BD55">
        <v>4.5750000000000002</v>
      </c>
      <c r="BE55">
        <v>617756.77777777775</v>
      </c>
      <c r="BF55">
        <v>75.09</v>
      </c>
      <c r="BG55">
        <v>4.2300000000000004</v>
      </c>
      <c r="BH55">
        <v>0.58199999999999996</v>
      </c>
      <c r="BI55">
        <v>0.72</v>
      </c>
      <c r="BJ55">
        <v>2.0529999999999999</v>
      </c>
      <c r="BK55">
        <v>1.9379999999999999</v>
      </c>
      <c r="BL55">
        <v>2.4E-2</v>
      </c>
      <c r="BM55">
        <v>1.4</v>
      </c>
      <c r="BN55">
        <v>0.123</v>
      </c>
      <c r="BO55">
        <v>0.74</v>
      </c>
      <c r="BP55">
        <v>0.110744</v>
      </c>
      <c r="BQ55">
        <v>0</v>
      </c>
      <c r="BR55">
        <v>2.4E-2</v>
      </c>
      <c r="BS55">
        <v>0.38300000000000001</v>
      </c>
      <c r="BT55">
        <v>0.04</v>
      </c>
      <c r="BU55">
        <v>5.084E-3</v>
      </c>
      <c r="BV55">
        <v>2.2970000000000001E-2</v>
      </c>
      <c r="BW55">
        <v>0.128</v>
      </c>
      <c r="BX55">
        <v>0.128</v>
      </c>
      <c r="BY55">
        <v>0.19500000000000001</v>
      </c>
      <c r="BZ55">
        <v>0</v>
      </c>
      <c r="CA55">
        <v>3.1E-2</v>
      </c>
      <c r="CB55">
        <v>2.1700000000000001E-2</v>
      </c>
      <c r="CC55">
        <v>6.7279999999999996E-3</v>
      </c>
      <c r="CD55">
        <v>0</v>
      </c>
      <c r="CE55">
        <v>0.43713099999999999</v>
      </c>
      <c r="CF55">
        <v>0.3296</v>
      </c>
      <c r="CG55">
        <v>1.4E-2</v>
      </c>
      <c r="CH55">
        <v>0</v>
      </c>
      <c r="CI55">
        <v>0</v>
      </c>
      <c r="CJ55">
        <v>4.46E-4</v>
      </c>
      <c r="CK55">
        <v>0</v>
      </c>
      <c r="CL55">
        <v>0</v>
      </c>
      <c r="CM55">
        <v>0</v>
      </c>
      <c r="CN55">
        <v>4.9733333333333331E-3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25">
      <c r="A56" s="1">
        <v>41851</v>
      </c>
      <c r="B56">
        <v>5.3083999999999999E-2</v>
      </c>
      <c r="C56">
        <v>0.107</v>
      </c>
      <c r="D56">
        <v>2.36</v>
      </c>
      <c r="E56">
        <v>0.116772</v>
      </c>
      <c r="F56">
        <v>0.14599999999999999</v>
      </c>
      <c r="G56">
        <v>3.4000000000000002E-2</v>
      </c>
      <c r="H56">
        <v>0.216</v>
      </c>
      <c r="I56">
        <v>0.16700000000000001</v>
      </c>
      <c r="J56">
        <v>0.113</v>
      </c>
      <c r="K56">
        <v>0.11700000000000001</v>
      </c>
      <c r="L56">
        <v>0.46</v>
      </c>
      <c r="M56">
        <v>1.335</v>
      </c>
      <c r="N56">
        <v>1.02</v>
      </c>
      <c r="O56">
        <v>0.67700000000000005</v>
      </c>
      <c r="P56">
        <v>4.9000000000000004</v>
      </c>
      <c r="Q56">
        <v>0.151</v>
      </c>
      <c r="R56">
        <v>0.14599999999999999</v>
      </c>
      <c r="S56">
        <v>1.7330000000000001</v>
      </c>
      <c r="T56">
        <v>1.1000000000000001</v>
      </c>
      <c r="U56">
        <v>8.8999999999999999E-3</v>
      </c>
      <c r="V56">
        <v>5.1999999999999998E-3</v>
      </c>
      <c r="W56">
        <v>8.5199999999999998E-2</v>
      </c>
      <c r="X56">
        <v>0.94</v>
      </c>
      <c r="Y56">
        <v>3.75</v>
      </c>
      <c r="Z56">
        <v>27.81</v>
      </c>
      <c r="AA56">
        <v>0.73</v>
      </c>
      <c r="AB56">
        <v>9.2999999999999999E-2</v>
      </c>
      <c r="AC56">
        <v>3.7389999999999999</v>
      </c>
      <c r="AD56">
        <v>0.02</v>
      </c>
      <c r="AE56">
        <v>0.17572727272727273</v>
      </c>
      <c r="AF56">
        <v>0.19400000000000001</v>
      </c>
      <c r="AG56">
        <v>0.58799999999999997</v>
      </c>
      <c r="AH56">
        <v>1136</v>
      </c>
      <c r="AI56">
        <v>1.077</v>
      </c>
      <c r="AJ56">
        <v>1210</v>
      </c>
      <c r="AK56">
        <v>0</v>
      </c>
      <c r="AL56">
        <v>473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6.5000000000000002E-2</v>
      </c>
      <c r="AV56">
        <v>0.77</v>
      </c>
      <c r="AW56">
        <v>2.6932999999999998</v>
      </c>
      <c r="AX56">
        <v>510.49</v>
      </c>
      <c r="AY56">
        <v>6.6150000000000002</v>
      </c>
      <c r="AZ56">
        <v>0.177258</v>
      </c>
      <c r="BA56">
        <v>0.55420000000000003</v>
      </c>
      <c r="BB56">
        <v>9.5000000000000001E-2</v>
      </c>
      <c r="BC56">
        <v>4.0000000000000001E-3</v>
      </c>
      <c r="BD56">
        <v>3.9750000000000001</v>
      </c>
      <c r="BE56">
        <v>686238.88888888888</v>
      </c>
      <c r="BF56">
        <v>75.09</v>
      </c>
      <c r="BG56">
        <v>5.84</v>
      </c>
      <c r="BH56">
        <v>0.58399999999999996</v>
      </c>
      <c r="BI56">
        <v>1.1399999999999999</v>
      </c>
      <c r="BJ56">
        <v>2.0600999999999998</v>
      </c>
      <c r="BK56">
        <v>1.8149999999999999</v>
      </c>
      <c r="BL56">
        <v>2.5000000000000001E-2</v>
      </c>
      <c r="BM56">
        <v>1.39</v>
      </c>
      <c r="BN56">
        <v>0.14199999999999999</v>
      </c>
      <c r="BO56">
        <v>0.73</v>
      </c>
      <c r="BP56">
        <v>0.134745</v>
      </c>
      <c r="BQ56">
        <v>0</v>
      </c>
      <c r="BR56">
        <v>2.3E-2</v>
      </c>
      <c r="BS56">
        <v>0.39400000000000002</v>
      </c>
      <c r="BT56">
        <v>3.5000000000000003E-2</v>
      </c>
      <c r="BU56">
        <v>3.3790000000000001E-3</v>
      </c>
      <c r="BV56">
        <v>2.2839999999999999E-2</v>
      </c>
      <c r="BW56">
        <v>0.13600000000000001</v>
      </c>
      <c r="BX56">
        <v>0.13600000000000001</v>
      </c>
      <c r="BY56">
        <v>0.183</v>
      </c>
      <c r="BZ56">
        <v>0</v>
      </c>
      <c r="CA56">
        <v>3.15E-2</v>
      </c>
      <c r="CB56">
        <v>2.4E-2</v>
      </c>
      <c r="CC56">
        <v>5.9690000000000003E-3</v>
      </c>
      <c r="CD56">
        <v>0</v>
      </c>
      <c r="CE56">
        <v>0.39952199999999999</v>
      </c>
      <c r="CF56">
        <v>0.33079999999999998</v>
      </c>
      <c r="CG56">
        <v>1.4E-2</v>
      </c>
      <c r="CH56">
        <v>0</v>
      </c>
      <c r="CI56">
        <v>0</v>
      </c>
      <c r="CJ56">
        <v>5.7399999999999997E-4</v>
      </c>
      <c r="CK56">
        <v>0</v>
      </c>
      <c r="CL56">
        <v>0</v>
      </c>
      <c r="CM56">
        <v>0</v>
      </c>
      <c r="CN56">
        <v>5.8766666666666663E-3</v>
      </c>
      <c r="CO56">
        <v>0</v>
      </c>
      <c r="CP56">
        <v>0</v>
      </c>
      <c r="CQ56">
        <v>4.2700000000000002E-4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</row>
    <row r="57" spans="1:105" x14ac:dyDescent="0.25">
      <c r="A57" s="1">
        <v>41882</v>
      </c>
      <c r="B57">
        <v>5.5199999999999999E-2</v>
      </c>
      <c r="C57">
        <v>0.129</v>
      </c>
      <c r="D57">
        <v>2.3199999999999998</v>
      </c>
      <c r="E57">
        <v>0.11860900000000001</v>
      </c>
      <c r="F57">
        <v>0.14899999999999999</v>
      </c>
      <c r="G57">
        <v>4.3999999999999997E-2</v>
      </c>
      <c r="H57">
        <v>0.219</v>
      </c>
      <c r="I57">
        <v>0.161</v>
      </c>
      <c r="J57">
        <v>0.1167</v>
      </c>
      <c r="K57">
        <v>0.105</v>
      </c>
      <c r="L57">
        <v>0.47</v>
      </c>
      <c r="M57">
        <v>1.242</v>
      </c>
      <c r="N57">
        <v>1.02</v>
      </c>
      <c r="O57">
        <v>0.67449999999999999</v>
      </c>
      <c r="P57">
        <v>5</v>
      </c>
      <c r="Q57">
        <v>0.14499999999999999</v>
      </c>
      <c r="R57">
        <v>0.124</v>
      </c>
      <c r="S57">
        <v>1.2190000000000001</v>
      </c>
      <c r="T57">
        <v>1.23</v>
      </c>
      <c r="U57">
        <v>7.1000000000000004E-3</v>
      </c>
      <c r="V57">
        <v>3.5999999999999999E-3</v>
      </c>
      <c r="W57">
        <v>6.54E-2</v>
      </c>
      <c r="X57">
        <v>0.96</v>
      </c>
      <c r="Y57">
        <v>3.68</v>
      </c>
      <c r="Z57">
        <v>23.4</v>
      </c>
      <c r="AA57">
        <v>0.85</v>
      </c>
      <c r="AB57">
        <v>0.104</v>
      </c>
      <c r="AC57">
        <v>3.4630000000000001</v>
      </c>
      <c r="AD57">
        <v>0.02</v>
      </c>
      <c r="AE57">
        <v>0.17725454545454544</v>
      </c>
      <c r="AF57">
        <v>0.193</v>
      </c>
      <c r="AG57">
        <v>0.57299999999999995</v>
      </c>
      <c r="AH57">
        <v>1136</v>
      </c>
      <c r="AI57">
        <v>0.95899999999999996</v>
      </c>
      <c r="AJ57">
        <v>1169</v>
      </c>
      <c r="AK57">
        <v>0</v>
      </c>
      <c r="AL57">
        <v>748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9.5000000000000001E-2</v>
      </c>
      <c r="AV57">
        <v>1.0222222222222221</v>
      </c>
      <c r="AW57">
        <v>2.6191</v>
      </c>
      <c r="AX57">
        <v>537.12</v>
      </c>
      <c r="AY57">
        <v>6.6400000000000006</v>
      </c>
      <c r="AZ57">
        <v>0.16558</v>
      </c>
      <c r="BA57">
        <v>0.52280000000000004</v>
      </c>
      <c r="BB57">
        <v>0.105</v>
      </c>
      <c r="BC57">
        <v>6.7000000000000002E-3</v>
      </c>
      <c r="BD57">
        <v>3.14</v>
      </c>
      <c r="BE57">
        <v>754721</v>
      </c>
      <c r="BF57">
        <v>76.930000000000007</v>
      </c>
      <c r="BG57">
        <v>5.88</v>
      </c>
      <c r="BH57">
        <v>0.58599999999999997</v>
      </c>
      <c r="BI57">
        <v>1.01</v>
      </c>
      <c r="BJ57">
        <v>2.0636000000000001</v>
      </c>
      <c r="BK57">
        <v>1.784</v>
      </c>
      <c r="BL57">
        <v>2.4E-2</v>
      </c>
      <c r="BM57">
        <v>1.54</v>
      </c>
      <c r="BN57">
        <v>0.124</v>
      </c>
      <c r="BO57">
        <v>0.69</v>
      </c>
      <c r="BP57">
        <v>0.12812699999999999</v>
      </c>
      <c r="BQ57">
        <v>0</v>
      </c>
      <c r="BR57">
        <v>2.1000000000000001E-2</v>
      </c>
      <c r="BS57">
        <v>0.36899999999999999</v>
      </c>
      <c r="BT57">
        <v>3.5999999999999997E-2</v>
      </c>
      <c r="BU57">
        <v>5.7089999999999997E-3</v>
      </c>
      <c r="BV57">
        <v>2.487E-2</v>
      </c>
      <c r="BW57">
        <v>0.11899999999999999</v>
      </c>
      <c r="BX57">
        <v>0.11899999999999999</v>
      </c>
      <c r="BY57">
        <v>0.26600000000000001</v>
      </c>
      <c r="BZ57">
        <v>0</v>
      </c>
      <c r="CA57">
        <v>3.2000000000000001E-2</v>
      </c>
      <c r="CB57">
        <v>2.8000000000000001E-2</v>
      </c>
      <c r="CC57">
        <v>5.4619999999999998E-3</v>
      </c>
      <c r="CD57">
        <v>0</v>
      </c>
      <c r="CE57">
        <v>0.42808499999999999</v>
      </c>
      <c r="CF57">
        <v>0.33450000000000002</v>
      </c>
      <c r="CG57">
        <v>1.2999999999999999E-2</v>
      </c>
      <c r="CH57">
        <v>0</v>
      </c>
      <c r="CI57">
        <v>0</v>
      </c>
      <c r="CJ57">
        <v>3.1399999999999999E-4</v>
      </c>
      <c r="CK57">
        <v>0</v>
      </c>
      <c r="CL57">
        <v>0</v>
      </c>
      <c r="CM57">
        <v>0</v>
      </c>
      <c r="CN57">
        <v>6.7799999999999996E-3</v>
      </c>
      <c r="CO57">
        <v>0</v>
      </c>
      <c r="CP57">
        <v>0</v>
      </c>
      <c r="CQ57">
        <v>5.5199999999999997E-4</v>
      </c>
      <c r="CR57">
        <v>8.0000000000000004E-4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</row>
    <row r="58" spans="1:105" x14ac:dyDescent="0.25">
      <c r="A58" s="1">
        <v>41912</v>
      </c>
      <c r="B58">
        <v>5.5800000000000002E-2</v>
      </c>
      <c r="C58">
        <v>4.3999999999999997E-2</v>
      </c>
      <c r="D58">
        <v>2.62</v>
      </c>
      <c r="E58">
        <v>0.13576199999999999</v>
      </c>
      <c r="F58">
        <v>0.151</v>
      </c>
      <c r="G58">
        <v>5.3999999999999999E-2</v>
      </c>
      <c r="H58">
        <v>0.222</v>
      </c>
      <c r="I58">
        <v>0.16200000000000001</v>
      </c>
      <c r="J58">
        <v>0.1789</v>
      </c>
      <c r="K58">
        <v>9.2999999999999999E-2</v>
      </c>
      <c r="L58">
        <v>0.38</v>
      </c>
      <c r="M58">
        <v>1.2170000000000001</v>
      </c>
      <c r="N58">
        <v>1.071</v>
      </c>
      <c r="O58">
        <v>0.71140000000000003</v>
      </c>
      <c r="P58">
        <v>5.6</v>
      </c>
      <c r="Q58">
        <v>0.156</v>
      </c>
      <c r="R58">
        <v>9.7000000000000003E-2</v>
      </c>
      <c r="S58">
        <v>1.4870000000000001</v>
      </c>
      <c r="T58">
        <v>1.2</v>
      </c>
      <c r="U58">
        <v>6.7000000000000002E-3</v>
      </c>
      <c r="V58">
        <v>3.5999999999999999E-3</v>
      </c>
      <c r="W58">
        <v>8.8099999999999998E-2</v>
      </c>
      <c r="X58">
        <v>1.49</v>
      </c>
      <c r="Y58">
        <v>4.32</v>
      </c>
      <c r="Z58">
        <v>24.1</v>
      </c>
      <c r="AA58">
        <v>1.9</v>
      </c>
      <c r="AB58">
        <v>0.11600000000000001</v>
      </c>
      <c r="AC58">
        <v>3.6680000000000001</v>
      </c>
      <c r="AD58">
        <v>0.03</v>
      </c>
      <c r="AE58">
        <v>0.17878181818181818</v>
      </c>
      <c r="AF58">
        <v>0.19400000000000001</v>
      </c>
      <c r="AG58">
        <v>0.59599999999999997</v>
      </c>
      <c r="AH58">
        <v>1066</v>
      </c>
      <c r="AI58">
        <v>0.83499999999999996</v>
      </c>
      <c r="AJ58">
        <v>1165</v>
      </c>
      <c r="AK58">
        <v>0</v>
      </c>
      <c r="AL58">
        <v>528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7.6999999999999999E-2</v>
      </c>
      <c r="AV58">
        <v>1.2744444444444445</v>
      </c>
      <c r="AW58">
        <v>2.6617000000000002</v>
      </c>
      <c r="AX58">
        <v>537.12</v>
      </c>
      <c r="AY58">
        <v>6.665</v>
      </c>
      <c r="AZ58">
        <v>0.17219999999999999</v>
      </c>
      <c r="BA58">
        <v>0.61119999999999997</v>
      </c>
      <c r="BB58">
        <v>0.121</v>
      </c>
      <c r="BC58">
        <v>1.2999999999999999E-2</v>
      </c>
      <c r="BD58">
        <v>3.9750000000000001</v>
      </c>
      <c r="BE58">
        <v>823203.11111111112</v>
      </c>
      <c r="BF58">
        <v>79.87</v>
      </c>
      <c r="BG58">
        <v>5</v>
      </c>
      <c r="BH58">
        <v>0.58799999999999997</v>
      </c>
      <c r="BI58">
        <v>0.7</v>
      </c>
      <c r="BJ58">
        <v>1.9472</v>
      </c>
      <c r="BK58">
        <v>1.877</v>
      </c>
      <c r="BL58">
        <v>2.75E-2</v>
      </c>
      <c r="BM58">
        <v>1.54</v>
      </c>
      <c r="BN58">
        <v>0.17399999999999999</v>
      </c>
      <c r="BO58">
        <v>0.82</v>
      </c>
      <c r="BP58">
        <v>8.6648000000000003E-2</v>
      </c>
      <c r="BQ58">
        <v>0</v>
      </c>
      <c r="BR58">
        <v>2.1999999999999999E-2</v>
      </c>
      <c r="BS58">
        <v>0.375</v>
      </c>
      <c r="BT58">
        <v>3.9E-2</v>
      </c>
      <c r="BU58">
        <v>7.4110000000000001E-3</v>
      </c>
      <c r="BV58">
        <v>1.992E-2</v>
      </c>
      <c r="BW58">
        <v>0.13</v>
      </c>
      <c r="BX58">
        <v>0.13</v>
      </c>
      <c r="BY58">
        <v>0.48299999999999998</v>
      </c>
      <c r="BZ58">
        <v>0</v>
      </c>
      <c r="CA58">
        <v>3.1E-2</v>
      </c>
      <c r="CB58">
        <v>2.7E-2</v>
      </c>
      <c r="CC58">
        <v>5.391E-3</v>
      </c>
      <c r="CD58">
        <v>0</v>
      </c>
      <c r="CE58">
        <v>0.388928</v>
      </c>
      <c r="CF58">
        <v>0.3448</v>
      </c>
      <c r="CG58">
        <v>1.2999999999999999E-2</v>
      </c>
      <c r="CH58">
        <v>0</v>
      </c>
      <c r="CI58">
        <v>0</v>
      </c>
      <c r="CJ58">
        <v>6.5399999999999996E-4</v>
      </c>
      <c r="CK58">
        <v>0</v>
      </c>
      <c r="CL58">
        <v>0</v>
      </c>
      <c r="CM58">
        <v>0</v>
      </c>
      <c r="CN58">
        <v>6.3E-3</v>
      </c>
      <c r="CO58">
        <v>0</v>
      </c>
      <c r="CP58">
        <v>0</v>
      </c>
      <c r="CQ58">
        <v>3.6354999999999998E-2</v>
      </c>
      <c r="CR58">
        <v>1E-3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</row>
    <row r="59" spans="1:105" x14ac:dyDescent="0.25">
      <c r="A59" s="1">
        <v>41943</v>
      </c>
      <c r="B59">
        <v>4.4400000000000002E-2</v>
      </c>
      <c r="C59">
        <v>0.1</v>
      </c>
      <c r="D59">
        <v>2.42</v>
      </c>
      <c r="E59">
        <v>0.120742</v>
      </c>
      <c r="F59">
        <v>0.14799999999999999</v>
      </c>
      <c r="G59">
        <v>0.04</v>
      </c>
      <c r="H59">
        <v>0.19</v>
      </c>
      <c r="I59">
        <v>0.158</v>
      </c>
      <c r="J59">
        <v>0.1575</v>
      </c>
      <c r="K59">
        <v>8.4000000000000005E-2</v>
      </c>
      <c r="L59">
        <v>0.3</v>
      </c>
      <c r="M59">
        <v>1.254</v>
      </c>
      <c r="N59">
        <v>1.032</v>
      </c>
      <c r="O59">
        <v>0.7087</v>
      </c>
      <c r="P59">
        <v>5.4</v>
      </c>
      <c r="Q59">
        <v>0.15</v>
      </c>
      <c r="R59">
        <v>0.114</v>
      </c>
      <c r="S59">
        <v>1.37</v>
      </c>
      <c r="T59">
        <v>1.2</v>
      </c>
      <c r="U59">
        <v>4.7999999999999996E-3</v>
      </c>
      <c r="V59">
        <v>2.7899999999999999E-3</v>
      </c>
      <c r="W59">
        <v>7.5999999999999998E-2</v>
      </c>
      <c r="X59">
        <v>1.4</v>
      </c>
      <c r="Y59">
        <v>3.16</v>
      </c>
      <c r="Z59">
        <v>19.38</v>
      </c>
      <c r="AA59">
        <v>4.9000000000000004</v>
      </c>
      <c r="AB59">
        <v>0.108</v>
      </c>
      <c r="AC59">
        <v>3.6030000000000002</v>
      </c>
      <c r="AD59">
        <v>0.03</v>
      </c>
      <c r="AE59">
        <v>0.18030909090909092</v>
      </c>
      <c r="AF59">
        <v>0.13900000000000001</v>
      </c>
      <c r="AG59">
        <v>0.58399999999999996</v>
      </c>
      <c r="AH59">
        <v>1136</v>
      </c>
      <c r="AI59">
        <v>0.47099999999999997</v>
      </c>
      <c r="AJ59">
        <v>949</v>
      </c>
      <c r="AK59">
        <v>0</v>
      </c>
      <c r="AL59">
        <v>437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9.6000000000000002E-2</v>
      </c>
      <c r="AV59">
        <v>1.5266666666666668</v>
      </c>
      <c r="AW59">
        <v>2.9308000000000001</v>
      </c>
      <c r="AX59">
        <v>537.12</v>
      </c>
      <c r="AY59">
        <v>6.69</v>
      </c>
      <c r="AZ59">
        <v>0.16341900000000001</v>
      </c>
      <c r="BA59">
        <v>0.53559999999999997</v>
      </c>
      <c r="BB59">
        <v>0.11</v>
      </c>
      <c r="BC59">
        <v>1.4E-2</v>
      </c>
      <c r="BD59">
        <v>4.069</v>
      </c>
      <c r="BE59">
        <v>891685.22222222225</v>
      </c>
      <c r="BF59">
        <v>79.040000000000006</v>
      </c>
      <c r="BG59">
        <v>3.76</v>
      </c>
      <c r="BH59">
        <v>0.59</v>
      </c>
      <c r="BI59">
        <v>0.75</v>
      </c>
      <c r="BJ59">
        <v>1.5640000000000001</v>
      </c>
      <c r="BK59">
        <v>1.917</v>
      </c>
      <c r="BL59">
        <v>2.8000000000000001E-2</v>
      </c>
      <c r="BM59">
        <v>1.41</v>
      </c>
      <c r="BN59">
        <v>0.14799999999999999</v>
      </c>
      <c r="BO59">
        <v>0.78</v>
      </c>
      <c r="BP59">
        <v>0.105991</v>
      </c>
      <c r="BQ59">
        <v>0</v>
      </c>
      <c r="BR59">
        <v>2.1999999999999999E-2</v>
      </c>
      <c r="BS59">
        <v>0.371</v>
      </c>
      <c r="BT59">
        <v>3.9E-2</v>
      </c>
      <c r="BU59">
        <v>5.999E-3</v>
      </c>
      <c r="BV59">
        <v>1.7299999999999999E-2</v>
      </c>
      <c r="BW59">
        <v>0.122</v>
      </c>
      <c r="BX59">
        <v>0.122</v>
      </c>
      <c r="BY59">
        <v>0.55900000000000005</v>
      </c>
      <c r="BZ59">
        <v>0</v>
      </c>
      <c r="CA59">
        <v>3.15E-2</v>
      </c>
      <c r="CB59">
        <v>2.9700000000000001E-2</v>
      </c>
      <c r="CC59">
        <v>0</v>
      </c>
      <c r="CD59">
        <v>0</v>
      </c>
      <c r="CE59">
        <v>0.41916999999999999</v>
      </c>
      <c r="CF59">
        <v>0.377</v>
      </c>
      <c r="CG59">
        <v>1.2E-2</v>
      </c>
      <c r="CH59">
        <v>0</v>
      </c>
      <c r="CI59">
        <v>0</v>
      </c>
      <c r="CJ59">
        <v>1.9799999999999999E-4</v>
      </c>
      <c r="CK59">
        <v>0</v>
      </c>
      <c r="CL59">
        <v>0</v>
      </c>
      <c r="CM59">
        <v>0</v>
      </c>
      <c r="CN59">
        <v>6.9350000000000002E-3</v>
      </c>
      <c r="CO59">
        <v>0</v>
      </c>
      <c r="CP59">
        <v>0</v>
      </c>
      <c r="CQ59">
        <v>2.0000000000000001E-4</v>
      </c>
      <c r="CR59">
        <v>8.9999999999999998E-4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</row>
    <row r="60" spans="1:105" x14ac:dyDescent="0.25">
      <c r="A60" s="1">
        <v>41973</v>
      </c>
      <c r="B60">
        <v>2.8899999999999999E-2</v>
      </c>
      <c r="C60">
        <v>2.9000000000000001E-2</v>
      </c>
      <c r="D60">
        <v>2.5</v>
      </c>
      <c r="E60">
        <v>0.14103199999999999</v>
      </c>
      <c r="F60">
        <v>0.14199999999999999</v>
      </c>
      <c r="G60">
        <v>8.5999999999999993E-2</v>
      </c>
      <c r="H60">
        <v>0.21099999999999999</v>
      </c>
      <c r="I60">
        <v>0.16500000000000001</v>
      </c>
      <c r="J60">
        <v>0.15240000000000001</v>
      </c>
      <c r="K60">
        <v>9.2999999999999999E-2</v>
      </c>
      <c r="L60">
        <v>0.34</v>
      </c>
      <c r="M60">
        <v>1.534</v>
      </c>
      <c r="N60">
        <v>1.02</v>
      </c>
      <c r="O60">
        <v>0.78700000000000003</v>
      </c>
      <c r="P60">
        <v>5.5</v>
      </c>
      <c r="Q60">
        <v>0.182</v>
      </c>
      <c r="R60">
        <v>9.8000000000000004E-2</v>
      </c>
      <c r="S60">
        <v>1.0669999999999999</v>
      </c>
      <c r="T60">
        <v>1.36</v>
      </c>
      <c r="U60">
        <v>9.9000000000000008E-3</v>
      </c>
      <c r="V60">
        <v>3.5200000000000001E-3</v>
      </c>
      <c r="W60">
        <v>8.7900000000000006E-2</v>
      </c>
      <c r="X60">
        <v>1.66</v>
      </c>
      <c r="Y60">
        <v>3.17</v>
      </c>
      <c r="Z60">
        <v>28.58</v>
      </c>
      <c r="AA60">
        <v>0.45</v>
      </c>
      <c r="AB60">
        <v>0.108</v>
      </c>
      <c r="AC60">
        <v>4.4669999999999996</v>
      </c>
      <c r="AD60">
        <v>0.03</v>
      </c>
      <c r="AE60">
        <v>0.18183636363636363</v>
      </c>
      <c r="AF60">
        <v>0.17899999999999999</v>
      </c>
      <c r="AG60">
        <v>0.57199999999999995</v>
      </c>
      <c r="AH60">
        <v>1003</v>
      </c>
      <c r="AI60">
        <v>0.73899999999999999</v>
      </c>
      <c r="AJ60">
        <v>954</v>
      </c>
      <c r="AK60">
        <v>0</v>
      </c>
      <c r="AL60">
        <v>312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8.3000000000000004E-2</v>
      </c>
      <c r="AV60">
        <v>1.778888888888889</v>
      </c>
      <c r="AW60">
        <v>3.1989000000000001</v>
      </c>
      <c r="AX60">
        <v>318.63</v>
      </c>
      <c r="AY60">
        <v>6.8120000000000003</v>
      </c>
      <c r="AZ60">
        <v>0.18226600000000001</v>
      </c>
      <c r="BA60">
        <v>0.65449999999999997</v>
      </c>
      <c r="BB60">
        <v>0.11700000000000001</v>
      </c>
      <c r="BC60">
        <v>1.125E-2</v>
      </c>
      <c r="BD60">
        <v>5.6909999999999998</v>
      </c>
      <c r="BE60">
        <v>960167.33333333326</v>
      </c>
      <c r="BF60">
        <v>87.86</v>
      </c>
      <c r="BG60">
        <v>3.66</v>
      </c>
      <c r="BH60">
        <v>0.59199999999999997</v>
      </c>
      <c r="BI60">
        <v>0.48</v>
      </c>
      <c r="BJ60">
        <v>1.9448000000000001</v>
      </c>
      <c r="BK60">
        <v>2.3330000000000002</v>
      </c>
      <c r="BL60">
        <v>2.8000000000000001E-2</v>
      </c>
      <c r="BM60">
        <v>1.23</v>
      </c>
      <c r="BN60">
        <v>0.161</v>
      </c>
      <c r="BO60">
        <v>0.81</v>
      </c>
      <c r="BP60">
        <v>0.11312999999999999</v>
      </c>
      <c r="BQ60">
        <v>0</v>
      </c>
      <c r="BR60">
        <v>2.9000000000000001E-2</v>
      </c>
      <c r="BS60">
        <v>0.35399999999999998</v>
      </c>
      <c r="BT60">
        <v>4.7E-2</v>
      </c>
      <c r="BU60">
        <v>5.4349999999999997E-3</v>
      </c>
      <c r="BV60">
        <v>1.992E-2</v>
      </c>
      <c r="BW60">
        <v>0.11700000000000001</v>
      </c>
      <c r="BX60">
        <v>0.11700000000000001</v>
      </c>
      <c r="BY60">
        <v>0.53300000000000003</v>
      </c>
      <c r="BZ60">
        <v>0</v>
      </c>
      <c r="CA60">
        <v>3.15E-2</v>
      </c>
      <c r="CB60">
        <v>2.8000000000000001E-2</v>
      </c>
      <c r="CC60">
        <v>0</v>
      </c>
      <c r="CD60">
        <v>0</v>
      </c>
      <c r="CE60">
        <v>0.40693499999999999</v>
      </c>
      <c r="CF60">
        <v>0.36420000000000002</v>
      </c>
      <c r="CG60">
        <v>1.6E-2</v>
      </c>
      <c r="CH60">
        <v>0</v>
      </c>
      <c r="CI60">
        <v>0</v>
      </c>
      <c r="CJ60">
        <v>2.1900000000000001E-4</v>
      </c>
      <c r="CK60">
        <v>0</v>
      </c>
      <c r="CL60">
        <v>0</v>
      </c>
      <c r="CM60">
        <v>0</v>
      </c>
      <c r="CN60">
        <v>7.5700000000000003E-3</v>
      </c>
      <c r="CO60">
        <v>0</v>
      </c>
      <c r="CP60">
        <v>0</v>
      </c>
      <c r="CQ60">
        <v>8.9999999999999998E-4</v>
      </c>
      <c r="CR60">
        <v>8.5000000000000006E-4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</row>
    <row r="61" spans="1:105" x14ac:dyDescent="0.25">
      <c r="A61" s="1">
        <v>42004</v>
      </c>
      <c r="B61">
        <v>2.87E-2</v>
      </c>
      <c r="C61">
        <v>3.5000000000000003E-2</v>
      </c>
      <c r="D61">
        <v>2.44</v>
      </c>
      <c r="E61">
        <v>0.12560299999999999</v>
      </c>
      <c r="F61">
        <v>0.13400000000000001</v>
      </c>
      <c r="G61">
        <v>4.5999999999999999E-2</v>
      </c>
      <c r="H61">
        <v>0.182</v>
      </c>
      <c r="I61">
        <v>0.14799999999999999</v>
      </c>
      <c r="J61">
        <v>0.15290000000000001</v>
      </c>
      <c r="K61">
        <v>0.08</v>
      </c>
      <c r="L61">
        <v>0.33</v>
      </c>
      <c r="M61">
        <v>1.4350000000000001</v>
      </c>
      <c r="N61">
        <v>0.96699999999999997</v>
      </c>
      <c r="O61">
        <v>0.71540000000000004</v>
      </c>
      <c r="P61">
        <v>5.3</v>
      </c>
      <c r="Q61">
        <v>0.16500000000000001</v>
      </c>
      <c r="R61">
        <v>9.4E-2</v>
      </c>
      <c r="S61">
        <v>1.3069999999999999</v>
      </c>
      <c r="T61">
        <v>1.31</v>
      </c>
      <c r="U61">
        <v>6.4999999999999997E-3</v>
      </c>
      <c r="V61">
        <v>3.8E-3</v>
      </c>
      <c r="W61">
        <v>8.6599999999999996E-2</v>
      </c>
      <c r="X61">
        <v>1.72</v>
      </c>
      <c r="Y61">
        <v>3.2</v>
      </c>
      <c r="Z61">
        <v>23.73</v>
      </c>
      <c r="AA61">
        <v>0.67</v>
      </c>
      <c r="AB61">
        <v>0.104</v>
      </c>
      <c r="AC61">
        <v>3.8639999999999999</v>
      </c>
      <c r="AD61">
        <v>0.04</v>
      </c>
      <c r="AE61">
        <v>0.18336363636363637</v>
      </c>
      <c r="AF61">
        <v>0.16300000000000001</v>
      </c>
      <c r="AG61">
        <v>0.54900000000000004</v>
      </c>
      <c r="AH61">
        <v>815</v>
      </c>
      <c r="AI61">
        <v>0.71</v>
      </c>
      <c r="AJ61">
        <v>577</v>
      </c>
      <c r="AK61">
        <v>0</v>
      </c>
      <c r="AL61">
        <v>158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3.9E-2</v>
      </c>
      <c r="AV61">
        <v>2.0311111111111111</v>
      </c>
      <c r="AW61">
        <v>2.9702000000000002</v>
      </c>
      <c r="AX61">
        <v>277.92</v>
      </c>
      <c r="AY61">
        <v>6.9340000000000002</v>
      </c>
      <c r="AZ61">
        <v>0.16628999999999999</v>
      </c>
      <c r="BA61">
        <v>0.62439999999999996</v>
      </c>
      <c r="BB61">
        <v>0.106</v>
      </c>
      <c r="BC61">
        <v>8.5000000000000006E-3</v>
      </c>
      <c r="BD61">
        <v>5.2960000000000003</v>
      </c>
      <c r="BE61">
        <v>1028649.4444444444</v>
      </c>
      <c r="BF61">
        <v>81.650000000000006</v>
      </c>
      <c r="BG61">
        <v>3.7</v>
      </c>
      <c r="BH61">
        <v>0.59399999999999997</v>
      </c>
      <c r="BI61">
        <v>0.34</v>
      </c>
      <c r="BJ61">
        <v>1.6876</v>
      </c>
      <c r="BK61">
        <v>1.931</v>
      </c>
      <c r="BL61">
        <v>2.6800000000000001E-2</v>
      </c>
      <c r="BM61">
        <v>1.07</v>
      </c>
      <c r="BN61">
        <v>0.151</v>
      </c>
      <c r="BO61">
        <v>0.73</v>
      </c>
      <c r="BP61">
        <v>0.14976300000000001</v>
      </c>
      <c r="BQ61">
        <v>0</v>
      </c>
      <c r="BR61">
        <v>2.8000000000000001E-2</v>
      </c>
      <c r="BS61">
        <v>0.30499999999999999</v>
      </c>
      <c r="BT61">
        <v>4.7E-2</v>
      </c>
      <c r="BU61">
        <v>6.2550000000000001E-3</v>
      </c>
      <c r="BV61">
        <v>1.6930000000000001E-2</v>
      </c>
      <c r="BW61">
        <v>0.108</v>
      </c>
      <c r="BX61">
        <v>0.108</v>
      </c>
      <c r="BY61">
        <v>0.32</v>
      </c>
      <c r="BZ61">
        <v>0</v>
      </c>
      <c r="CA61">
        <v>3.1E-2</v>
      </c>
      <c r="CB61">
        <v>2.4E-2</v>
      </c>
      <c r="CC61">
        <v>0</v>
      </c>
      <c r="CD61">
        <v>0</v>
      </c>
      <c r="CE61">
        <v>0.39941900000000002</v>
      </c>
      <c r="CF61">
        <v>0.38829999999999998</v>
      </c>
      <c r="CG61">
        <v>1.6E-2</v>
      </c>
      <c r="CH61">
        <v>0</v>
      </c>
      <c r="CI61">
        <v>0</v>
      </c>
      <c r="CJ61">
        <v>2.4000000000000001E-4</v>
      </c>
      <c r="CK61">
        <v>0</v>
      </c>
      <c r="CL61">
        <v>0</v>
      </c>
      <c r="CM61">
        <v>0</v>
      </c>
      <c r="CN61">
        <v>6.9999999999999999E-4</v>
      </c>
      <c r="CO61">
        <v>0</v>
      </c>
      <c r="CP61">
        <v>0</v>
      </c>
      <c r="CQ61">
        <v>2.9999999999999997E-4</v>
      </c>
      <c r="CR61">
        <v>8.0000000000000004E-4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</row>
    <row r="62" spans="1:105" x14ac:dyDescent="0.25">
      <c r="A62" s="1">
        <v>42035</v>
      </c>
      <c r="B62">
        <v>4.2799999999999998E-2</v>
      </c>
      <c r="C62">
        <v>6.4000000000000001E-2</v>
      </c>
      <c r="D62">
        <v>2.4900000000000002</v>
      </c>
      <c r="E62">
        <v>0.15046300000000001</v>
      </c>
      <c r="F62">
        <v>0.14399999999999999</v>
      </c>
      <c r="G62">
        <v>6.2E-2</v>
      </c>
      <c r="H62">
        <v>0.21099999999999999</v>
      </c>
      <c r="I62">
        <v>0.152</v>
      </c>
      <c r="J62">
        <v>0.16439999999999999</v>
      </c>
      <c r="K62">
        <v>9.9000000000000005E-2</v>
      </c>
      <c r="L62">
        <v>0.41</v>
      </c>
      <c r="M62">
        <v>1.4450000000000001</v>
      </c>
      <c r="N62">
        <v>0.99299999999999999</v>
      </c>
      <c r="O62">
        <v>0.83509999999999995</v>
      </c>
      <c r="P62">
        <v>5.5</v>
      </c>
      <c r="Q62">
        <v>0.2</v>
      </c>
      <c r="R62">
        <v>8.6999999999999994E-2</v>
      </c>
      <c r="S62">
        <v>1.175</v>
      </c>
      <c r="T62">
        <v>1.29</v>
      </c>
      <c r="U62">
        <v>5.0000000000000001E-3</v>
      </c>
      <c r="V62">
        <v>4.0000000000000001E-3</v>
      </c>
      <c r="W62">
        <v>9.0200000000000002E-2</v>
      </c>
      <c r="X62">
        <v>1.96</v>
      </c>
      <c r="Y62">
        <v>3.45</v>
      </c>
      <c r="Z62">
        <v>26.5</v>
      </c>
      <c r="AA62">
        <v>0.44703333333333339</v>
      </c>
      <c r="AB62">
        <v>0.114</v>
      </c>
      <c r="AC62">
        <v>4.3879999999999999</v>
      </c>
      <c r="AD62">
        <v>0.02</v>
      </c>
      <c r="AE62">
        <v>0.18489090909090911</v>
      </c>
      <c r="AF62">
        <v>0.14399999999999999</v>
      </c>
      <c r="AG62">
        <v>0.57499999999999996</v>
      </c>
      <c r="AH62">
        <v>764</v>
      </c>
      <c r="AI62">
        <v>3.1819999999999999</v>
      </c>
      <c r="AJ62">
        <v>518.4</v>
      </c>
      <c r="AK62">
        <v>0</v>
      </c>
      <c r="AL62">
        <v>314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5.7000000000000002E-2</v>
      </c>
      <c r="AV62">
        <v>2.2833333333333332</v>
      </c>
      <c r="AW62">
        <v>2.6659000000000002</v>
      </c>
      <c r="AX62">
        <v>277.93</v>
      </c>
      <c r="AY62">
        <v>7.056</v>
      </c>
      <c r="AZ62">
        <v>0.170516</v>
      </c>
      <c r="BA62">
        <v>0.63100000000000001</v>
      </c>
      <c r="BB62">
        <v>0.105</v>
      </c>
      <c r="BC62">
        <v>1.7999999999999999E-2</v>
      </c>
      <c r="BD62">
        <v>5.66</v>
      </c>
      <c r="BE62">
        <v>1097131.5555555555</v>
      </c>
      <c r="BF62">
        <v>86.99</v>
      </c>
      <c r="BG62">
        <v>3.51</v>
      </c>
      <c r="BH62">
        <v>0.59599999999999997</v>
      </c>
      <c r="BI62">
        <v>0.33</v>
      </c>
      <c r="BJ62">
        <v>2.5289000000000001</v>
      </c>
      <c r="BK62">
        <v>2.4409999999999998</v>
      </c>
      <c r="BL62">
        <v>3.5000000000000003E-2</v>
      </c>
      <c r="BM62">
        <v>1.2</v>
      </c>
      <c r="BN62">
        <v>0.14799999999999999</v>
      </c>
      <c r="BO62">
        <v>0.87</v>
      </c>
      <c r="BP62">
        <v>0.13794699999999999</v>
      </c>
      <c r="BQ62">
        <v>0</v>
      </c>
      <c r="BR62">
        <v>3.3000000000000002E-2</v>
      </c>
      <c r="BS62">
        <v>0.36499999999999999</v>
      </c>
      <c r="BT62">
        <v>5.6000000000000001E-2</v>
      </c>
      <c r="BU62">
        <v>7.979E-3</v>
      </c>
      <c r="BV62">
        <v>2.3550000000000001E-2</v>
      </c>
      <c r="BW62">
        <v>9.6000000000000002E-2</v>
      </c>
      <c r="BX62">
        <v>9.6000000000000002E-2</v>
      </c>
      <c r="BY62">
        <v>0.28699999999999998</v>
      </c>
      <c r="BZ62">
        <v>0</v>
      </c>
      <c r="CA62">
        <v>3.15E-2</v>
      </c>
      <c r="CB62">
        <v>1.7999999999999999E-2</v>
      </c>
      <c r="CC62">
        <v>0</v>
      </c>
      <c r="CD62">
        <v>0</v>
      </c>
      <c r="CE62">
        <v>0.440946</v>
      </c>
      <c r="CF62">
        <v>0.4788</v>
      </c>
      <c r="CG62">
        <v>1.6E-2</v>
      </c>
      <c r="CH62">
        <v>0</v>
      </c>
      <c r="CI62">
        <v>0</v>
      </c>
      <c r="CJ62">
        <v>1.168E-3</v>
      </c>
      <c r="CK62">
        <v>0</v>
      </c>
      <c r="CL62">
        <v>0</v>
      </c>
      <c r="CM62">
        <v>0</v>
      </c>
      <c r="CN62">
        <v>6.8300000000000001E-3</v>
      </c>
      <c r="CO62">
        <v>0</v>
      </c>
      <c r="CP62">
        <v>0</v>
      </c>
      <c r="CQ62">
        <v>1E-3</v>
      </c>
      <c r="CR62">
        <v>1E-3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3" spans="1:105" x14ac:dyDescent="0.25">
      <c r="A63" s="1">
        <v>42063</v>
      </c>
      <c r="B63">
        <v>4.3900000000000002E-2</v>
      </c>
      <c r="C63">
        <v>6.9000000000000006E-2</v>
      </c>
      <c r="D63">
        <v>2.4900000000000002</v>
      </c>
      <c r="E63">
        <v>0.13531299999999999</v>
      </c>
      <c r="F63">
        <v>0.13200000000000001</v>
      </c>
      <c r="G63">
        <v>4.3999999999999997E-2</v>
      </c>
      <c r="H63">
        <v>0.183</v>
      </c>
      <c r="I63">
        <v>0.13900000000000001</v>
      </c>
      <c r="J63">
        <v>0.1263</v>
      </c>
      <c r="K63">
        <v>8.2000000000000003E-2</v>
      </c>
      <c r="L63">
        <v>0.3</v>
      </c>
      <c r="M63">
        <v>1.3180000000000001</v>
      </c>
      <c r="N63">
        <v>0.93200000000000005</v>
      </c>
      <c r="O63">
        <v>0.78749999999999998</v>
      </c>
      <c r="P63">
        <v>4.7</v>
      </c>
      <c r="Q63">
        <v>0.17100000000000001</v>
      </c>
      <c r="R63">
        <v>8.2000000000000003E-2</v>
      </c>
      <c r="S63">
        <v>1.5089999999999999</v>
      </c>
      <c r="T63">
        <v>1.25</v>
      </c>
      <c r="U63">
        <v>4.4999999999999997E-3</v>
      </c>
      <c r="V63">
        <v>3.3999999999999998E-3</v>
      </c>
      <c r="W63">
        <v>9.0399999999999994E-2</v>
      </c>
      <c r="X63">
        <v>1.79</v>
      </c>
      <c r="Y63">
        <v>4.54</v>
      </c>
      <c r="Z63">
        <v>27.11</v>
      </c>
      <c r="AA63">
        <v>0.22406666666666669</v>
      </c>
      <c r="AB63">
        <v>0.106</v>
      </c>
      <c r="AC63">
        <v>3.9550000000000001</v>
      </c>
      <c r="AD63">
        <v>0.01</v>
      </c>
      <c r="AE63">
        <v>0.18641818181818182</v>
      </c>
      <c r="AF63">
        <v>0.153</v>
      </c>
      <c r="AG63">
        <v>0.49099999999999999</v>
      </c>
      <c r="AH63">
        <v>869</v>
      </c>
      <c r="AI63">
        <v>1.9079999999999999</v>
      </c>
      <c r="AJ63">
        <v>519</v>
      </c>
      <c r="AK63">
        <v>0</v>
      </c>
      <c r="AL63">
        <v>279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0.05</v>
      </c>
      <c r="AV63">
        <v>2.5355555555555558</v>
      </c>
      <c r="AW63">
        <v>2.8462000000000001</v>
      </c>
      <c r="AX63">
        <v>168.89</v>
      </c>
      <c r="AY63">
        <v>7.1779999999999999</v>
      </c>
      <c r="AZ63">
        <v>0.14699999999999999</v>
      </c>
      <c r="BA63">
        <v>0.60589999999999999</v>
      </c>
      <c r="BB63">
        <v>0.108</v>
      </c>
      <c r="BC63">
        <v>1.5723999999999998E-2</v>
      </c>
      <c r="BD63">
        <v>5.3289999999999997</v>
      </c>
      <c r="BE63">
        <v>1165613.6666666665</v>
      </c>
      <c r="BF63">
        <v>79.91</v>
      </c>
      <c r="BG63">
        <v>3.58</v>
      </c>
      <c r="BH63">
        <v>0.59799999999999998</v>
      </c>
      <c r="BI63">
        <v>0.39</v>
      </c>
      <c r="BJ63">
        <v>1.9536</v>
      </c>
      <c r="BK63">
        <v>1.9510000000000001</v>
      </c>
      <c r="BL63">
        <v>2.5999999999999999E-2</v>
      </c>
      <c r="BM63">
        <v>1.2</v>
      </c>
      <c r="BN63">
        <v>0.14099999999999999</v>
      </c>
      <c r="BO63">
        <v>0.7</v>
      </c>
      <c r="BP63">
        <v>0.153891</v>
      </c>
      <c r="BQ63">
        <v>0</v>
      </c>
      <c r="BR63">
        <v>3.3000000000000002E-2</v>
      </c>
      <c r="BS63">
        <v>0.36199999999999999</v>
      </c>
      <c r="BT63">
        <v>4.2000000000000003E-2</v>
      </c>
      <c r="BU63">
        <v>6.4479999999999997E-3</v>
      </c>
      <c r="BV63">
        <v>2.247E-2</v>
      </c>
      <c r="BW63">
        <v>0.1</v>
      </c>
      <c r="BX63">
        <v>0.1</v>
      </c>
      <c r="BY63">
        <v>0.309</v>
      </c>
      <c r="BZ63">
        <v>0</v>
      </c>
      <c r="CA63">
        <v>3.15E-2</v>
      </c>
      <c r="CB63">
        <v>1.9E-2</v>
      </c>
      <c r="CC63">
        <v>0</v>
      </c>
      <c r="CD63">
        <v>0</v>
      </c>
      <c r="CE63">
        <v>0.44782</v>
      </c>
      <c r="CF63">
        <v>0.44569999999999999</v>
      </c>
      <c r="CG63">
        <v>1.4999999999999999E-2</v>
      </c>
      <c r="CH63">
        <v>0</v>
      </c>
      <c r="CI63">
        <v>0</v>
      </c>
      <c r="CJ63">
        <v>1.16E-3</v>
      </c>
      <c r="CK63">
        <v>0</v>
      </c>
      <c r="CL63">
        <v>0</v>
      </c>
      <c r="CM63">
        <v>0</v>
      </c>
      <c r="CN63">
        <v>1.0499999999999999E-3</v>
      </c>
      <c r="CO63">
        <v>0</v>
      </c>
      <c r="CP63">
        <v>0</v>
      </c>
      <c r="CQ63">
        <v>1E-3</v>
      </c>
      <c r="CR63">
        <v>6.9999999999999999E-4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</row>
    <row r="64" spans="1:105" x14ac:dyDescent="0.25">
      <c r="A64" s="1">
        <v>42094</v>
      </c>
      <c r="B64">
        <v>5.0379E-2</v>
      </c>
      <c r="C64">
        <v>9.4E-2</v>
      </c>
      <c r="D64">
        <v>2.59</v>
      </c>
      <c r="E64">
        <v>0.15052299999999999</v>
      </c>
      <c r="F64">
        <v>0.16500000000000001</v>
      </c>
      <c r="G64">
        <v>6.9000000000000006E-2</v>
      </c>
      <c r="H64">
        <v>0.27600000000000002</v>
      </c>
      <c r="I64">
        <v>0.17899999999999999</v>
      </c>
      <c r="J64">
        <v>0.16919999999999999</v>
      </c>
      <c r="K64">
        <v>0.127</v>
      </c>
      <c r="L64">
        <v>0.47</v>
      </c>
      <c r="M64">
        <v>1.5620000000000001</v>
      </c>
      <c r="N64">
        <v>1.206</v>
      </c>
      <c r="O64">
        <v>0.81189999999999996</v>
      </c>
      <c r="P64">
        <v>7.4</v>
      </c>
      <c r="Q64">
        <v>0.21199999999999999</v>
      </c>
      <c r="R64">
        <v>0.109</v>
      </c>
      <c r="S64">
        <v>1.3009999999999999</v>
      </c>
      <c r="T64">
        <v>1.27</v>
      </c>
      <c r="U64">
        <v>8.0999999999999996E-3</v>
      </c>
      <c r="V64">
        <v>6.3E-3</v>
      </c>
      <c r="W64">
        <v>9.2299999999999993E-2</v>
      </c>
      <c r="X64">
        <v>1.96</v>
      </c>
      <c r="Y64">
        <v>5.03</v>
      </c>
      <c r="Z64">
        <v>30.92</v>
      </c>
      <c r="AA64">
        <v>1.1000000000000001E-3</v>
      </c>
      <c r="AB64">
        <v>0.124</v>
      </c>
      <c r="AC64">
        <v>4.8470000000000004</v>
      </c>
      <c r="AD64">
        <v>0.02</v>
      </c>
      <c r="AE64">
        <v>0.18794545454545455</v>
      </c>
      <c r="AF64">
        <v>0.21</v>
      </c>
      <c r="AG64">
        <v>0.61699999999999999</v>
      </c>
      <c r="AH64">
        <v>928</v>
      </c>
      <c r="AI64">
        <v>0.78400000000000003</v>
      </c>
      <c r="AJ64">
        <v>540.5</v>
      </c>
      <c r="AK64">
        <v>0</v>
      </c>
      <c r="AL64">
        <v>487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0.06</v>
      </c>
      <c r="AV64">
        <v>2.7877777777777779</v>
      </c>
      <c r="AW64">
        <v>2.4401999999999999</v>
      </c>
      <c r="AX64">
        <v>131.87</v>
      </c>
      <c r="AY64">
        <v>7.3</v>
      </c>
      <c r="AZ64">
        <v>0.1812</v>
      </c>
      <c r="BA64">
        <v>0.70030000000000003</v>
      </c>
      <c r="BB64">
        <v>0.113</v>
      </c>
      <c r="BC64">
        <v>2.7E-2</v>
      </c>
      <c r="BD64">
        <v>6.36</v>
      </c>
      <c r="BE64">
        <v>1234095.7777777778</v>
      </c>
      <c r="BF64">
        <v>88.98</v>
      </c>
      <c r="BG64">
        <v>3.83</v>
      </c>
      <c r="BH64">
        <v>0.6</v>
      </c>
      <c r="BI64">
        <v>0.5</v>
      </c>
      <c r="BJ64">
        <v>3.0426000000000002</v>
      </c>
      <c r="BK64">
        <v>2.7639999999999998</v>
      </c>
      <c r="BL64">
        <v>0.03</v>
      </c>
      <c r="BM64">
        <v>1.49</v>
      </c>
      <c r="BN64">
        <v>0.161</v>
      </c>
      <c r="BO64">
        <v>0.9</v>
      </c>
      <c r="BP64">
        <v>0.117824</v>
      </c>
      <c r="BQ64">
        <v>0</v>
      </c>
      <c r="BR64">
        <v>4.1000000000000002E-2</v>
      </c>
      <c r="BS64">
        <v>0.29899999999999999</v>
      </c>
      <c r="BT64">
        <v>5.0999999999999997E-2</v>
      </c>
      <c r="BU64">
        <v>1.3599999999999999E-2</v>
      </c>
      <c r="BV64">
        <v>2.4109999999999999E-2</v>
      </c>
      <c r="BW64">
        <v>0.11700000000000001</v>
      </c>
      <c r="BX64">
        <v>0.11700000000000001</v>
      </c>
      <c r="BY64">
        <v>0.27300000000000002</v>
      </c>
      <c r="BZ64">
        <v>0</v>
      </c>
      <c r="CA64">
        <v>3.1E-2</v>
      </c>
      <c r="CB64">
        <v>2.5000000000000001E-2</v>
      </c>
      <c r="CC64">
        <v>0</v>
      </c>
      <c r="CD64">
        <v>0</v>
      </c>
      <c r="CE64">
        <v>0.43118600000000001</v>
      </c>
      <c r="CF64">
        <v>0.4738</v>
      </c>
      <c r="CG64">
        <v>1.9E-2</v>
      </c>
      <c r="CH64">
        <v>0</v>
      </c>
      <c r="CI64">
        <v>0</v>
      </c>
      <c r="CJ64">
        <v>8.5999999999999998E-4</v>
      </c>
      <c r="CK64">
        <v>0</v>
      </c>
      <c r="CL64">
        <v>0</v>
      </c>
      <c r="CM64">
        <v>0</v>
      </c>
      <c r="CN64">
        <v>6.3699999999999998E-3</v>
      </c>
      <c r="CO64">
        <v>0</v>
      </c>
      <c r="CP64">
        <v>0</v>
      </c>
      <c r="CQ64">
        <v>1E-3</v>
      </c>
      <c r="CR64">
        <v>5.0000000000000001E-4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</row>
    <row r="65" spans="1:105 2707:2707" x14ac:dyDescent="0.25">
      <c r="A65" s="1">
        <v>42124</v>
      </c>
      <c r="B65">
        <v>5.5472E-2</v>
      </c>
      <c r="C65">
        <v>7.2999999999999995E-2</v>
      </c>
      <c r="D65">
        <v>2.9</v>
      </c>
      <c r="E65">
        <v>0.15567900000000001</v>
      </c>
      <c r="F65">
        <v>0.17699999999999999</v>
      </c>
      <c r="G65">
        <v>0.1</v>
      </c>
      <c r="H65">
        <v>0.29299999999999998</v>
      </c>
      <c r="I65">
        <v>0.21</v>
      </c>
      <c r="J65">
        <v>0.1903</v>
      </c>
      <c r="K65">
        <v>0.13100000000000001</v>
      </c>
      <c r="L65">
        <v>0.55000000000000004</v>
      </c>
      <c r="M65">
        <v>1.6739999999999999</v>
      </c>
      <c r="N65">
        <v>1.155</v>
      </c>
      <c r="O65">
        <v>0.85670000000000002</v>
      </c>
      <c r="P65">
        <v>7.3</v>
      </c>
      <c r="Q65">
        <v>0.245</v>
      </c>
      <c r="R65">
        <v>9.8000000000000004E-2</v>
      </c>
      <c r="S65">
        <v>1.28</v>
      </c>
      <c r="T65">
        <v>1.1000000000000001</v>
      </c>
      <c r="U65">
        <v>1.0999999999999999E-2</v>
      </c>
      <c r="V65">
        <v>3.8E-3</v>
      </c>
      <c r="W65">
        <v>8.5599999999999996E-2</v>
      </c>
      <c r="X65">
        <v>2.02</v>
      </c>
      <c r="Y65">
        <v>5.28</v>
      </c>
      <c r="Z65">
        <v>37.22</v>
      </c>
      <c r="AA65">
        <v>0.230825</v>
      </c>
      <c r="AB65">
        <v>0.14799999999999999</v>
      </c>
      <c r="AC65">
        <v>5.0670000000000002</v>
      </c>
      <c r="AD65">
        <v>0.01</v>
      </c>
      <c r="AE65">
        <v>0.18947272727272729</v>
      </c>
      <c r="AF65">
        <v>0.20799999999999999</v>
      </c>
      <c r="AG65">
        <v>0.625</v>
      </c>
      <c r="AH65">
        <v>1047</v>
      </c>
      <c r="AI65">
        <v>1.895</v>
      </c>
      <c r="AJ65">
        <v>562</v>
      </c>
      <c r="AK65">
        <v>0</v>
      </c>
      <c r="AL65">
        <v>298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9.4E-2</v>
      </c>
      <c r="AV65">
        <v>3.04</v>
      </c>
      <c r="AW65">
        <v>2.5537000000000001</v>
      </c>
      <c r="AX65">
        <v>17.61</v>
      </c>
      <c r="AY65">
        <v>6.34</v>
      </c>
      <c r="AZ65">
        <v>0.15989999999999999</v>
      </c>
      <c r="BA65">
        <v>0.69910000000000005</v>
      </c>
      <c r="BB65">
        <v>0.13100000000000001</v>
      </c>
      <c r="BC65">
        <v>1.7000000000000001E-2</v>
      </c>
      <c r="BD65">
        <v>6.4530000000000003</v>
      </c>
      <c r="BE65">
        <v>1302577.8888888888</v>
      </c>
      <c r="BF65">
        <v>90.32</v>
      </c>
      <c r="BG65">
        <v>3.61</v>
      </c>
      <c r="BH65">
        <v>0.62</v>
      </c>
      <c r="BI65">
        <v>0.52</v>
      </c>
      <c r="BJ65">
        <v>3.0489000000000002</v>
      </c>
      <c r="BK65">
        <v>2.81</v>
      </c>
      <c r="BL65">
        <v>3.3099999999999997E-2</v>
      </c>
      <c r="BM65">
        <v>1.35</v>
      </c>
      <c r="BN65">
        <v>0.17</v>
      </c>
      <c r="BO65">
        <v>1</v>
      </c>
      <c r="BP65">
        <v>0.107735</v>
      </c>
      <c r="BQ65">
        <v>0</v>
      </c>
      <c r="BR65">
        <v>4.3999999999999997E-2</v>
      </c>
      <c r="BS65">
        <v>0.32300000000000001</v>
      </c>
      <c r="BT65">
        <v>4.4999999999999998E-2</v>
      </c>
      <c r="BU65">
        <v>9.0469999999999995E-3</v>
      </c>
      <c r="BV65">
        <v>2.2040000000000001E-2</v>
      </c>
      <c r="BW65">
        <v>0.13300000000000001</v>
      </c>
      <c r="BX65">
        <v>0.13300000000000001</v>
      </c>
      <c r="BY65">
        <v>0.316</v>
      </c>
      <c r="BZ65">
        <v>0</v>
      </c>
      <c r="CA65">
        <v>3.15E-2</v>
      </c>
      <c r="CB65">
        <v>0.02</v>
      </c>
      <c r="CC65">
        <v>0</v>
      </c>
      <c r="CD65">
        <v>0</v>
      </c>
      <c r="CE65">
        <v>0.45055899999999999</v>
      </c>
      <c r="CF65">
        <v>0.48630000000000001</v>
      </c>
      <c r="CG65">
        <v>1.8000000000000002E-2</v>
      </c>
      <c r="CH65">
        <v>0</v>
      </c>
      <c r="CI65">
        <v>0</v>
      </c>
      <c r="CJ65">
        <v>1.33E-3</v>
      </c>
      <c r="CK65">
        <v>0</v>
      </c>
      <c r="CL65">
        <v>0</v>
      </c>
      <c r="CM65">
        <v>0</v>
      </c>
      <c r="CN65">
        <v>7.1149999999999998E-3</v>
      </c>
      <c r="CO65">
        <v>0</v>
      </c>
      <c r="CP65">
        <v>0</v>
      </c>
      <c r="CQ65">
        <v>1E-3</v>
      </c>
      <c r="CR65">
        <v>1E-3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CZC65">
        <f>MAX(CZC2:CZC63)</f>
        <v>0</v>
      </c>
    </row>
    <row r="66" spans="1:105 2707:2707" x14ac:dyDescent="0.25">
      <c r="A66" s="1">
        <v>42155</v>
      </c>
      <c r="B66">
        <v>5.2699999999999997E-2</v>
      </c>
      <c r="C66">
        <v>6.6000000000000003E-2</v>
      </c>
      <c r="D66">
        <v>3.46</v>
      </c>
      <c r="E66">
        <v>0.26153999999999999</v>
      </c>
      <c r="F66">
        <v>0.20399999999999999</v>
      </c>
      <c r="G66">
        <v>0.17</v>
      </c>
      <c r="H66">
        <v>0.435</v>
      </c>
      <c r="I66">
        <v>0.20499999999999999</v>
      </c>
      <c r="J66">
        <v>0.25679999999999997</v>
      </c>
      <c r="K66">
        <v>0.13500000000000001</v>
      </c>
      <c r="L66">
        <v>0.83</v>
      </c>
      <c r="M66">
        <v>1.774</v>
      </c>
      <c r="N66">
        <v>1.28</v>
      </c>
      <c r="O66">
        <v>1.895</v>
      </c>
      <c r="P66">
        <v>9.1</v>
      </c>
      <c r="Q66">
        <v>0.29599999999999999</v>
      </c>
      <c r="R66">
        <v>0.11799999999999999</v>
      </c>
      <c r="S66">
        <v>1.6160000000000001</v>
      </c>
      <c r="T66">
        <v>1.28</v>
      </c>
      <c r="U66">
        <v>1.1299999999999999E-2</v>
      </c>
      <c r="V66">
        <v>1.2E-2</v>
      </c>
      <c r="W66">
        <v>9.9299999999999999E-2</v>
      </c>
      <c r="X66">
        <v>2.82</v>
      </c>
      <c r="Y66">
        <v>6.88</v>
      </c>
      <c r="Z66">
        <v>41.6</v>
      </c>
      <c r="AA66">
        <v>0.46055000000000001</v>
      </c>
      <c r="AB66">
        <v>0.14199999999999999</v>
      </c>
      <c r="AC66">
        <v>6.1139999999999999</v>
      </c>
      <c r="AD66">
        <v>0.01</v>
      </c>
      <c r="AE66">
        <v>0.191</v>
      </c>
      <c r="AF66">
        <v>0.218</v>
      </c>
      <c r="AG66">
        <v>0.71099999999999997</v>
      </c>
      <c r="AH66">
        <v>1026</v>
      </c>
      <c r="AI66">
        <v>2.1379999999999999</v>
      </c>
      <c r="AJ66">
        <v>1111</v>
      </c>
      <c r="AK66">
        <v>0</v>
      </c>
      <c r="AL66">
        <v>271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5.6000000000000001E-2</v>
      </c>
      <c r="AV66">
        <v>5.2</v>
      </c>
      <c r="AW66">
        <v>3.0358000000000001</v>
      </c>
      <c r="AX66">
        <v>259.41000000000003</v>
      </c>
      <c r="AY66">
        <v>6.0577777777777779</v>
      </c>
      <c r="AZ66">
        <v>0.20630000000000001</v>
      </c>
      <c r="BA66">
        <v>0.74760000000000004</v>
      </c>
      <c r="BB66">
        <v>0.13300000000000001</v>
      </c>
      <c r="BC66">
        <v>1.7999999999999999E-2</v>
      </c>
      <c r="BD66">
        <v>7.3070000000000004</v>
      </c>
      <c r="BE66">
        <v>1371060</v>
      </c>
      <c r="BF66">
        <v>108</v>
      </c>
      <c r="BG66">
        <v>3.4</v>
      </c>
      <c r="BH66">
        <v>0.74</v>
      </c>
      <c r="BI66">
        <v>0.64</v>
      </c>
      <c r="BJ66">
        <v>3.3464</v>
      </c>
      <c r="BK66">
        <v>3.6819999999999999</v>
      </c>
      <c r="BL66">
        <v>5.3999999999999999E-2</v>
      </c>
      <c r="BM66">
        <v>1.62</v>
      </c>
      <c r="BN66">
        <v>0.19</v>
      </c>
      <c r="BO66">
        <v>1.25</v>
      </c>
      <c r="BP66">
        <v>0.105832</v>
      </c>
      <c r="BQ66">
        <v>0</v>
      </c>
      <c r="BR66">
        <v>5.8000000000000003E-2</v>
      </c>
      <c r="BS66">
        <v>0.34300000000000003</v>
      </c>
      <c r="BT66">
        <v>8.3000000000000004E-2</v>
      </c>
      <c r="BU66">
        <v>2.1812999999999999E-2</v>
      </c>
      <c r="BV66">
        <v>2.5950000000000001E-2</v>
      </c>
      <c r="BW66">
        <v>0.15</v>
      </c>
      <c r="BX66">
        <v>0.15</v>
      </c>
      <c r="BY66">
        <v>0.32</v>
      </c>
      <c r="BZ66">
        <v>0</v>
      </c>
      <c r="CA66">
        <v>3.15E-2</v>
      </c>
      <c r="CB66">
        <v>1.4999999999999999E-2</v>
      </c>
      <c r="CC66">
        <v>0</v>
      </c>
      <c r="CD66">
        <v>0</v>
      </c>
      <c r="CE66">
        <v>0.51040399999999997</v>
      </c>
      <c r="CF66">
        <v>0.66679999999999995</v>
      </c>
      <c r="CG66">
        <v>1.7000000000000001E-2</v>
      </c>
      <c r="CH66">
        <v>0</v>
      </c>
      <c r="CI66">
        <v>0</v>
      </c>
      <c r="CJ66">
        <v>1.5499999999999999E-3</v>
      </c>
      <c r="CK66">
        <v>0</v>
      </c>
      <c r="CL66">
        <v>0</v>
      </c>
      <c r="CM66">
        <v>0</v>
      </c>
      <c r="CN66">
        <v>7.8600000000000007E-3</v>
      </c>
      <c r="CO66">
        <v>0</v>
      </c>
      <c r="CP66">
        <v>0</v>
      </c>
      <c r="CQ66">
        <v>1E-3</v>
      </c>
      <c r="CR66">
        <v>1E-3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</row>
    <row r="67" spans="1:105 2707:2707" x14ac:dyDescent="0.25">
      <c r="A67" s="1">
        <v>42185</v>
      </c>
      <c r="B67">
        <v>4.2671000000000001E-2</v>
      </c>
      <c r="C67">
        <v>7.6999999999999999E-2</v>
      </c>
      <c r="D67">
        <v>3.11</v>
      </c>
      <c r="E67">
        <v>0.194631</v>
      </c>
      <c r="F67">
        <v>0.17299999999999999</v>
      </c>
      <c r="G67">
        <v>0.1</v>
      </c>
      <c r="H67">
        <v>0.30299999999999999</v>
      </c>
      <c r="I67">
        <v>4</v>
      </c>
      <c r="J67">
        <v>0.13650000000000001</v>
      </c>
      <c r="K67">
        <v>9.8000000000000004E-2</v>
      </c>
      <c r="L67">
        <v>0.56999999999999995</v>
      </c>
      <c r="M67">
        <v>1.7949999999999999</v>
      </c>
      <c r="N67">
        <v>1.1499999999999999</v>
      </c>
      <c r="O67">
        <v>1.7096</v>
      </c>
      <c r="P67">
        <v>9</v>
      </c>
      <c r="Q67">
        <v>0.27</v>
      </c>
      <c r="R67">
        <v>0.128</v>
      </c>
      <c r="S67">
        <v>1.286</v>
      </c>
      <c r="T67">
        <v>1.27</v>
      </c>
      <c r="U67">
        <v>1.37E-2</v>
      </c>
      <c r="V67">
        <v>0.38779999999999998</v>
      </c>
      <c r="W67">
        <v>8.4000000000000005E-2</v>
      </c>
      <c r="X67">
        <v>2.2599999999999998</v>
      </c>
      <c r="Y67">
        <v>6.03</v>
      </c>
      <c r="Z67">
        <v>37.299999999999997</v>
      </c>
      <c r="AA67">
        <v>0.69027500000000008</v>
      </c>
      <c r="AB67">
        <v>0.11</v>
      </c>
      <c r="AC67">
        <v>5.7850000000000001</v>
      </c>
      <c r="AD67">
        <v>4.0000000000000001E-3</v>
      </c>
      <c r="AE67">
        <v>0.1615</v>
      </c>
      <c r="AF67">
        <v>0.189</v>
      </c>
      <c r="AG67">
        <v>0.625</v>
      </c>
      <c r="AH67">
        <v>1036</v>
      </c>
      <c r="AI67">
        <v>1.097</v>
      </c>
      <c r="AJ67">
        <v>1210</v>
      </c>
      <c r="AK67">
        <v>0</v>
      </c>
      <c r="AL67">
        <v>229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4.8000000000000001E-2</v>
      </c>
      <c r="AV67">
        <v>14.8</v>
      </c>
      <c r="AW67">
        <v>2.7702</v>
      </c>
      <c r="AX67">
        <v>522.84</v>
      </c>
      <c r="AY67">
        <v>5.7755555555555551</v>
      </c>
      <c r="AZ67">
        <v>0.17227000000000001</v>
      </c>
      <c r="BA67">
        <v>0.74980000000000002</v>
      </c>
      <c r="BB67">
        <v>0.11799999999999999</v>
      </c>
      <c r="BC67">
        <v>1.0999999999999999E-2</v>
      </c>
      <c r="BD67">
        <v>7.59</v>
      </c>
      <c r="BE67">
        <v>0.78</v>
      </c>
      <c r="BF67">
        <v>108</v>
      </c>
      <c r="BG67">
        <v>3.5</v>
      </c>
      <c r="BH67">
        <v>0.83</v>
      </c>
      <c r="BI67">
        <v>0.81</v>
      </c>
      <c r="BJ67">
        <v>3.4131999999999998</v>
      </c>
      <c r="BK67">
        <v>3.113</v>
      </c>
      <c r="BL67">
        <v>3.1E-2</v>
      </c>
      <c r="BM67">
        <v>1.78</v>
      </c>
      <c r="BN67">
        <v>0.22</v>
      </c>
      <c r="BO67">
        <v>0.82</v>
      </c>
      <c r="BP67">
        <v>0.103613</v>
      </c>
      <c r="BQ67">
        <v>0</v>
      </c>
      <c r="BR67">
        <v>5.6000000000000001E-2</v>
      </c>
      <c r="BS67">
        <v>0.34300000000000003</v>
      </c>
      <c r="BT67">
        <v>4.9000000000000002E-2</v>
      </c>
      <c r="BU67">
        <v>1.3658E-2</v>
      </c>
      <c r="BV67">
        <v>2.0979999999999999E-2</v>
      </c>
      <c r="BW67">
        <v>0.12</v>
      </c>
      <c r="BX67">
        <v>0.12</v>
      </c>
      <c r="BY67">
        <v>0.373</v>
      </c>
      <c r="BZ67">
        <v>0</v>
      </c>
      <c r="CA67">
        <v>3.1E-2</v>
      </c>
      <c r="CB67">
        <v>1.4999999999999999E-2</v>
      </c>
      <c r="CC67">
        <v>0</v>
      </c>
      <c r="CD67">
        <v>0</v>
      </c>
      <c r="CE67">
        <v>0.46841300000000002</v>
      </c>
      <c r="CF67">
        <v>0.56669999999999998</v>
      </c>
      <c r="CG67">
        <v>1.6E-2</v>
      </c>
      <c r="CH67">
        <v>0</v>
      </c>
      <c r="CI67">
        <v>0</v>
      </c>
      <c r="CJ67">
        <v>1.9239999999999999E-3</v>
      </c>
      <c r="CK67">
        <v>0</v>
      </c>
      <c r="CL67">
        <v>0</v>
      </c>
      <c r="CM67">
        <v>1.2999999999999999E-2</v>
      </c>
      <c r="CN67">
        <v>7.2900000000000005E-3</v>
      </c>
      <c r="CO67">
        <v>0</v>
      </c>
      <c r="CP67">
        <v>0</v>
      </c>
      <c r="CQ67">
        <v>1E-3</v>
      </c>
      <c r="CR67">
        <v>1E-3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</row>
    <row r="68" spans="1:105 2707:2707" x14ac:dyDescent="0.25">
      <c r="A68" s="1">
        <v>42216</v>
      </c>
      <c r="B68">
        <v>4.3314999999999999E-2</v>
      </c>
      <c r="C68">
        <v>9.8000000000000004E-2</v>
      </c>
      <c r="D68">
        <v>2.97</v>
      </c>
      <c r="E68">
        <v>0.14016799999999999</v>
      </c>
      <c r="F68">
        <v>0.153</v>
      </c>
      <c r="G68">
        <v>0.04</v>
      </c>
      <c r="H68">
        <v>0.25600000000000001</v>
      </c>
      <c r="I68">
        <v>0.15</v>
      </c>
      <c r="J68">
        <v>0.11799999999999999</v>
      </c>
      <c r="K68">
        <v>0.11600000000000001</v>
      </c>
      <c r="L68">
        <v>0.5</v>
      </c>
      <c r="M68">
        <v>1.5589999999999999</v>
      </c>
      <c r="N68">
        <v>1.0649999999999999</v>
      </c>
      <c r="O68">
        <v>1.0107999999999999</v>
      </c>
      <c r="P68">
        <v>6</v>
      </c>
      <c r="Q68">
        <v>0.19</v>
      </c>
      <c r="R68">
        <v>0.13800000000000001</v>
      </c>
      <c r="S68">
        <v>1.498</v>
      </c>
      <c r="T68">
        <v>1.3</v>
      </c>
      <c r="U68">
        <v>0.01</v>
      </c>
      <c r="V68">
        <v>2.1399999999999999E-2</v>
      </c>
      <c r="W68">
        <v>7.4399999999999994E-2</v>
      </c>
      <c r="X68">
        <v>1.22</v>
      </c>
      <c r="Y68">
        <v>5.22</v>
      </c>
      <c r="Z68">
        <v>26.6</v>
      </c>
      <c r="AA68">
        <v>0.92</v>
      </c>
      <c r="AB68">
        <v>9.7000000000000003E-2</v>
      </c>
      <c r="AC68">
        <v>4.0439999999999996</v>
      </c>
      <c r="AD68">
        <v>0.01</v>
      </c>
      <c r="AE68">
        <v>0.16026666666666667</v>
      </c>
      <c r="AF68">
        <v>0.17299999999999999</v>
      </c>
      <c r="AG68">
        <v>0.61</v>
      </c>
      <c r="AH68">
        <v>1101</v>
      </c>
      <c r="AI68">
        <v>0.871</v>
      </c>
      <c r="AJ68">
        <v>1210</v>
      </c>
      <c r="AK68">
        <v>0</v>
      </c>
      <c r="AL68">
        <v>402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3.7999999999999999E-2</v>
      </c>
      <c r="AV68">
        <v>1.5</v>
      </c>
      <c r="AW68">
        <v>2.093</v>
      </c>
      <c r="AX68">
        <v>537.12</v>
      </c>
      <c r="AY68">
        <v>5.4933333333333332</v>
      </c>
      <c r="AZ68">
        <v>0.16600000000000001</v>
      </c>
      <c r="BA68">
        <v>0.62960000000000005</v>
      </c>
      <c r="BB68">
        <v>0.108</v>
      </c>
      <c r="BC68">
        <v>1.7000000000000001E-2</v>
      </c>
      <c r="BD68">
        <v>4.8899999999999997</v>
      </c>
      <c r="BE68">
        <v>1.777075</v>
      </c>
      <c r="BF68">
        <v>91.4</v>
      </c>
      <c r="BG68">
        <v>3.5</v>
      </c>
      <c r="BH68">
        <v>1</v>
      </c>
      <c r="BI68">
        <v>1.2</v>
      </c>
      <c r="BJ68">
        <v>3.3159999999999998</v>
      </c>
      <c r="BK68">
        <v>2.0920000000000001</v>
      </c>
      <c r="BL68">
        <v>3.5000000000000003E-2</v>
      </c>
      <c r="BM68">
        <v>1.742</v>
      </c>
      <c r="BN68">
        <v>0.18</v>
      </c>
      <c r="BO68">
        <v>0.9</v>
      </c>
      <c r="BP68">
        <v>0.15187100000000001</v>
      </c>
      <c r="BQ68">
        <v>0</v>
      </c>
      <c r="BR68">
        <v>3.9E-2</v>
      </c>
      <c r="BS68">
        <v>0.29199999999999998</v>
      </c>
      <c r="BT68">
        <v>0.04</v>
      </c>
      <c r="BU68">
        <v>5.1120000000000002E-3</v>
      </c>
      <c r="BV68">
        <v>2.58E-2</v>
      </c>
      <c r="BW68">
        <v>8.7999999999999995E-2</v>
      </c>
      <c r="BX68">
        <v>8.7999999999999995E-2</v>
      </c>
      <c r="BY68">
        <v>0.34699999999999998</v>
      </c>
      <c r="BZ68">
        <v>0</v>
      </c>
      <c r="CA68">
        <v>3.15E-2</v>
      </c>
      <c r="CB68">
        <v>1.2E-2</v>
      </c>
      <c r="CC68">
        <v>0</v>
      </c>
      <c r="CD68">
        <v>0</v>
      </c>
      <c r="CE68">
        <v>0.47154099999999999</v>
      </c>
      <c r="CF68">
        <v>0.49890000000000001</v>
      </c>
      <c r="CG68">
        <v>1.4999999999999999E-2</v>
      </c>
      <c r="CH68">
        <v>0</v>
      </c>
      <c r="CI68">
        <v>0</v>
      </c>
      <c r="CJ68">
        <v>1.498E-3</v>
      </c>
      <c r="CK68">
        <v>0</v>
      </c>
      <c r="CL68">
        <v>0</v>
      </c>
      <c r="CM68">
        <v>8.5000000000000006E-3</v>
      </c>
      <c r="CN68">
        <v>6.7200000000000003E-3</v>
      </c>
      <c r="CO68">
        <v>0</v>
      </c>
      <c r="CP68">
        <v>0</v>
      </c>
      <c r="CQ68">
        <v>1E-3</v>
      </c>
      <c r="CR68">
        <v>5.0000000000000001E-4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</row>
    <row r="69" spans="1:105 2707:2707" x14ac:dyDescent="0.25">
      <c r="A69" s="1">
        <v>42247</v>
      </c>
      <c r="B69">
        <v>5.3600000000000002E-2</v>
      </c>
      <c r="C69">
        <v>0.127</v>
      </c>
      <c r="D69">
        <v>2.86</v>
      </c>
      <c r="E69">
        <v>0.126861</v>
      </c>
      <c r="F69">
        <v>0.16700000000000001</v>
      </c>
      <c r="G69">
        <v>3.9E-2</v>
      </c>
      <c r="H69">
        <v>0.23400000000000001</v>
      </c>
      <c r="I69">
        <v>0.16600000000000001</v>
      </c>
      <c r="J69">
        <v>0.11</v>
      </c>
      <c r="K69">
        <v>0.11</v>
      </c>
      <c r="L69">
        <v>0.48</v>
      </c>
      <c r="M69">
        <v>1.3109999999999999</v>
      </c>
      <c r="N69">
        <v>1.103</v>
      </c>
      <c r="O69">
        <v>0.76590000000000003</v>
      </c>
      <c r="P69">
        <v>5.9</v>
      </c>
      <c r="Q69">
        <v>0.17499999999999999</v>
      </c>
      <c r="R69">
        <v>0.126</v>
      </c>
      <c r="S69">
        <v>1.0589999999999999</v>
      </c>
      <c r="T69">
        <v>1.4</v>
      </c>
      <c r="U69">
        <v>6.0000000000000001E-3</v>
      </c>
      <c r="V69">
        <v>5.8999999999999999E-3</v>
      </c>
      <c r="W69">
        <v>7.0699999999999999E-2</v>
      </c>
      <c r="X69">
        <v>1.04</v>
      </c>
      <c r="Y69">
        <v>3.87</v>
      </c>
      <c r="Z69">
        <v>25.2</v>
      </c>
      <c r="AA69">
        <v>0.7</v>
      </c>
      <c r="AB69">
        <v>9.8000000000000004E-2</v>
      </c>
      <c r="AC69">
        <v>3.66</v>
      </c>
      <c r="AD69">
        <v>3.0000000000000001E-3</v>
      </c>
      <c r="AE69">
        <v>0.15903333333333333</v>
      </c>
      <c r="AF69">
        <v>0.18</v>
      </c>
      <c r="AG69">
        <v>0.64300000000000002</v>
      </c>
      <c r="AH69">
        <v>1152</v>
      </c>
      <c r="AI69">
        <v>1.6</v>
      </c>
      <c r="AJ69">
        <v>1210</v>
      </c>
      <c r="AK69">
        <v>0</v>
      </c>
      <c r="AL69">
        <v>723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3.9E-2</v>
      </c>
      <c r="AV69">
        <v>1.77</v>
      </c>
      <c r="AW69">
        <v>2.9350000000000001</v>
      </c>
      <c r="AX69">
        <v>533.57000000000005</v>
      </c>
      <c r="AY69">
        <v>5.2111111111111112</v>
      </c>
      <c r="AZ69">
        <v>0.17699999999999999</v>
      </c>
      <c r="BA69">
        <v>0.59130000000000005</v>
      </c>
      <c r="BB69">
        <v>0.121</v>
      </c>
      <c r="BC69">
        <v>9.7000000000000003E-3</v>
      </c>
      <c r="BD69">
        <v>4.1719999999999997</v>
      </c>
      <c r="BE69">
        <v>2.7741499999999997</v>
      </c>
      <c r="BF69">
        <v>82.6</v>
      </c>
      <c r="BG69">
        <v>3.5</v>
      </c>
      <c r="BH69">
        <v>0.85</v>
      </c>
      <c r="BI69">
        <v>1.1000000000000001</v>
      </c>
      <c r="BJ69">
        <v>2.1269</v>
      </c>
      <c r="BK69">
        <v>1.9790000000000001</v>
      </c>
      <c r="BL69">
        <v>2.9000000000000001E-2</v>
      </c>
      <c r="BM69">
        <v>1.66</v>
      </c>
      <c r="BN69">
        <v>0.13600000000000001</v>
      </c>
      <c r="BO69">
        <v>0.75</v>
      </c>
      <c r="BP69">
        <v>0.135605</v>
      </c>
      <c r="BQ69">
        <v>0</v>
      </c>
      <c r="BR69">
        <v>3.4000000000000002E-2</v>
      </c>
      <c r="BS69">
        <v>0.19400000000000001</v>
      </c>
      <c r="BT69">
        <v>3.9E-2</v>
      </c>
      <c r="BU69">
        <v>5.4819999999999999E-3</v>
      </c>
      <c r="BV69">
        <v>2.368E-2</v>
      </c>
      <c r="BW69">
        <v>0.09</v>
      </c>
      <c r="BX69">
        <v>0.09</v>
      </c>
      <c r="BY69">
        <v>0.47199999999999998</v>
      </c>
      <c r="BZ69">
        <v>0</v>
      </c>
      <c r="CA69">
        <v>3.15E-2</v>
      </c>
      <c r="CB69">
        <v>1.2E-2</v>
      </c>
      <c r="CC69">
        <v>0</v>
      </c>
      <c r="CD69">
        <v>0</v>
      </c>
      <c r="CE69">
        <v>0.44033</v>
      </c>
      <c r="CF69">
        <v>0.46870000000000001</v>
      </c>
      <c r="CG69">
        <v>1.2E-2</v>
      </c>
      <c r="CH69">
        <v>0</v>
      </c>
      <c r="CI69">
        <v>0</v>
      </c>
      <c r="CJ69">
        <v>1.6459999999999999E-3</v>
      </c>
      <c r="CK69">
        <v>0</v>
      </c>
      <c r="CL69">
        <v>0</v>
      </c>
      <c r="CM69">
        <v>7.7499999999999999E-3</v>
      </c>
      <c r="CN69">
        <v>6.5799999999999999E-3</v>
      </c>
      <c r="CO69">
        <v>0</v>
      </c>
      <c r="CP69">
        <v>0</v>
      </c>
      <c r="CQ69">
        <v>2E-3</v>
      </c>
      <c r="CR69">
        <v>8.0000000000000004E-4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</row>
    <row r="70" spans="1:105 2707:2707" x14ac:dyDescent="0.25">
      <c r="A70" s="1">
        <v>42277</v>
      </c>
      <c r="B70">
        <v>5.0700000000000002E-2</v>
      </c>
      <c r="C70">
        <v>0.10199999999999999</v>
      </c>
      <c r="D70">
        <v>3.09</v>
      </c>
      <c r="E70">
        <v>0.12799099999999999</v>
      </c>
      <c r="F70">
        <v>0.153</v>
      </c>
      <c r="G70">
        <v>0.04</v>
      </c>
      <c r="H70">
        <v>0.21299999999999999</v>
      </c>
      <c r="I70">
        <v>0.16500000000000001</v>
      </c>
      <c r="J70">
        <v>0.14849999999999999</v>
      </c>
      <c r="K70">
        <v>0.128</v>
      </c>
      <c r="L70">
        <v>0.45</v>
      </c>
      <c r="M70">
        <v>1.331</v>
      </c>
      <c r="N70">
        <v>1.1319999999999999</v>
      </c>
      <c r="O70">
        <v>0.69589999999999996</v>
      </c>
      <c r="P70">
        <v>5.9</v>
      </c>
      <c r="Q70">
        <v>0.11600000000000001</v>
      </c>
      <c r="R70">
        <v>9.4E-2</v>
      </c>
      <c r="S70">
        <v>1.37</v>
      </c>
      <c r="T70">
        <v>1.4</v>
      </c>
      <c r="U70">
        <v>2.8999999999999998E-3</v>
      </c>
      <c r="V70">
        <v>6.3E-3</v>
      </c>
      <c r="W70">
        <v>8.2799999999999999E-2</v>
      </c>
      <c r="X70">
        <v>1</v>
      </c>
      <c r="Y70">
        <v>4.42</v>
      </c>
      <c r="Z70">
        <v>26</v>
      </c>
      <c r="AA70">
        <v>1.21</v>
      </c>
      <c r="AB70">
        <v>0.105</v>
      </c>
      <c r="AC70">
        <v>3.6349999999999998</v>
      </c>
      <c r="AD70">
        <v>3.0000000000000001E-3</v>
      </c>
      <c r="AE70">
        <v>0.1578</v>
      </c>
      <c r="AF70">
        <v>0.17799999999999999</v>
      </c>
      <c r="AG70">
        <v>0.57899999999999996</v>
      </c>
      <c r="AH70">
        <v>989</v>
      </c>
      <c r="AI70">
        <v>0.93100000000000005</v>
      </c>
      <c r="AJ70">
        <v>1210</v>
      </c>
      <c r="AK70">
        <v>0</v>
      </c>
      <c r="AL70">
        <v>480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0.04</v>
      </c>
      <c r="AV70">
        <v>2.04</v>
      </c>
      <c r="AW70">
        <v>1.9239999999999999</v>
      </c>
      <c r="AX70">
        <v>455.02</v>
      </c>
      <c r="AY70">
        <v>4.9288888888888884</v>
      </c>
      <c r="AZ70">
        <v>0.19</v>
      </c>
      <c r="BA70">
        <v>0.52539999999999998</v>
      </c>
      <c r="BB70">
        <v>0.126</v>
      </c>
      <c r="BC70">
        <v>2.1000000000000001E-2</v>
      </c>
      <c r="BD70">
        <v>4.5819999999999999</v>
      </c>
      <c r="BE70">
        <v>3.7712250000000003</v>
      </c>
      <c r="BF70">
        <v>82</v>
      </c>
      <c r="BG70">
        <v>4.7</v>
      </c>
      <c r="BH70">
        <v>0.59</v>
      </c>
      <c r="BI70">
        <v>0.68</v>
      </c>
      <c r="BJ70">
        <v>2.9470000000000001</v>
      </c>
      <c r="BK70">
        <v>2.008</v>
      </c>
      <c r="BL70">
        <v>2.9000000000000001E-2</v>
      </c>
      <c r="BM70">
        <v>1.52</v>
      </c>
      <c r="BN70">
        <v>0.14599999999999999</v>
      </c>
      <c r="BO70">
        <v>0.77</v>
      </c>
      <c r="BP70">
        <v>0.146286</v>
      </c>
      <c r="BQ70">
        <v>0</v>
      </c>
      <c r="BR70">
        <v>3.2000000000000001E-2</v>
      </c>
      <c r="BS70">
        <v>0.24099999999999999</v>
      </c>
      <c r="BT70">
        <v>0.04</v>
      </c>
      <c r="BU70">
        <v>5.2509999999999996E-3</v>
      </c>
      <c r="BV70">
        <v>1.558E-2</v>
      </c>
      <c r="BW70">
        <v>8.3000000000000004E-2</v>
      </c>
      <c r="BX70">
        <v>8.3000000000000004E-2</v>
      </c>
      <c r="BY70">
        <v>0.39700000000000002</v>
      </c>
      <c r="BZ70">
        <v>0</v>
      </c>
      <c r="CA70">
        <v>3.15E-2</v>
      </c>
      <c r="CB70">
        <v>1.0999999999999999E-2</v>
      </c>
      <c r="CC70">
        <v>0</v>
      </c>
      <c r="CD70">
        <v>0</v>
      </c>
      <c r="CE70">
        <v>0.440446</v>
      </c>
      <c r="CF70">
        <v>0.46939999999999998</v>
      </c>
      <c r="CG70">
        <v>1.2315789473684211E-2</v>
      </c>
      <c r="CH70">
        <v>0</v>
      </c>
      <c r="CI70">
        <v>0</v>
      </c>
      <c r="CJ70">
        <v>1.438E-3</v>
      </c>
      <c r="CK70">
        <v>0</v>
      </c>
      <c r="CL70">
        <v>0</v>
      </c>
      <c r="CM70">
        <v>7.0000000000000001E-3</v>
      </c>
      <c r="CN70">
        <v>5.9833333333333336E-3</v>
      </c>
      <c r="CO70">
        <v>0</v>
      </c>
      <c r="CP70">
        <v>0</v>
      </c>
      <c r="CQ70">
        <v>2E-3</v>
      </c>
      <c r="CR70">
        <v>1E-3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</row>
    <row r="71" spans="1:105 2707:2707" x14ac:dyDescent="0.25">
      <c r="A71" s="1">
        <v>42308</v>
      </c>
      <c r="B71">
        <v>5.9700000000000003E-2</v>
      </c>
      <c r="C71">
        <v>7.6999999999999999E-2</v>
      </c>
      <c r="D71">
        <v>3.18</v>
      </c>
      <c r="E71">
        <v>0.14533199999999999</v>
      </c>
      <c r="F71">
        <v>0.13600000000000001</v>
      </c>
      <c r="G71">
        <v>0.05</v>
      </c>
      <c r="H71">
        <v>0.249</v>
      </c>
      <c r="I71">
        <v>0.20100000000000001</v>
      </c>
      <c r="J71">
        <v>0.1623</v>
      </c>
      <c r="K71">
        <v>0.10299999999999999</v>
      </c>
      <c r="L71">
        <v>0.54</v>
      </c>
      <c r="M71">
        <v>1.512</v>
      </c>
      <c r="N71">
        <v>1.2290000000000001</v>
      </c>
      <c r="O71">
        <v>0.77290000000000003</v>
      </c>
      <c r="P71">
        <v>6.6</v>
      </c>
      <c r="Q71">
        <v>0.18099999999999999</v>
      </c>
      <c r="R71">
        <v>0.104</v>
      </c>
      <c r="S71">
        <v>1.22</v>
      </c>
      <c r="T71">
        <v>1.32</v>
      </c>
      <c r="U71">
        <v>5.7000000000000002E-3</v>
      </c>
      <c r="V71">
        <v>1.124E-3</v>
      </c>
      <c r="W71">
        <v>7.8700000000000006E-2</v>
      </c>
      <c r="X71">
        <v>1.52</v>
      </c>
      <c r="Y71">
        <v>4.88</v>
      </c>
      <c r="Z71">
        <v>30</v>
      </c>
      <c r="AA71">
        <v>1.3</v>
      </c>
      <c r="AB71">
        <v>0.111</v>
      </c>
      <c r="AC71">
        <v>4.2229999999999999</v>
      </c>
      <c r="AD71">
        <v>4.0000000000000001E-3</v>
      </c>
      <c r="AE71">
        <v>0.15656666666666666</v>
      </c>
      <c r="AF71">
        <v>0.161</v>
      </c>
      <c r="AG71">
        <v>0.58899999999999997</v>
      </c>
      <c r="AH71">
        <v>982</v>
      </c>
      <c r="AI71">
        <v>0.68899999999999995</v>
      </c>
      <c r="AJ71">
        <v>1210</v>
      </c>
      <c r="AK71">
        <v>0</v>
      </c>
      <c r="AL71">
        <v>330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2.9000000000000001E-2</v>
      </c>
      <c r="AV71">
        <v>2.31</v>
      </c>
      <c r="AW71">
        <v>2.1789999999999998</v>
      </c>
      <c r="AX71">
        <v>537.12</v>
      </c>
      <c r="AY71">
        <v>4.6466666666666665</v>
      </c>
      <c r="AZ71">
        <v>0.18396799999999999</v>
      </c>
      <c r="BA71">
        <v>0.72150000000000003</v>
      </c>
      <c r="BB71">
        <v>0.124</v>
      </c>
      <c r="BC71">
        <v>0.02</v>
      </c>
      <c r="BD71">
        <v>5.0540000000000003</v>
      </c>
      <c r="BE71">
        <v>4.7683</v>
      </c>
      <c r="BF71">
        <v>85</v>
      </c>
      <c r="BG71">
        <v>5.8</v>
      </c>
      <c r="BH71">
        <v>0.6</v>
      </c>
      <c r="BI71">
        <v>0.7</v>
      </c>
      <c r="BJ71">
        <v>3.0116000000000001</v>
      </c>
      <c r="BK71">
        <v>2.5169999999999999</v>
      </c>
      <c r="BL71">
        <v>2.5999999999999999E-2</v>
      </c>
      <c r="BM71">
        <v>1.49</v>
      </c>
      <c r="BN71">
        <v>0.14000000000000001</v>
      </c>
      <c r="BO71">
        <v>0.92</v>
      </c>
      <c r="BP71">
        <v>0.117795</v>
      </c>
      <c r="BQ71">
        <v>0</v>
      </c>
      <c r="BR71">
        <v>3.6999999999999998E-2</v>
      </c>
      <c r="BS71">
        <v>0.33100000000000002</v>
      </c>
      <c r="BT71">
        <v>4.8000000000000001E-2</v>
      </c>
      <c r="BU71">
        <v>5.3569999999999998E-3</v>
      </c>
      <c r="BV71">
        <v>1.7739999999999999E-2</v>
      </c>
      <c r="BW71">
        <v>0.106</v>
      </c>
      <c r="BX71">
        <v>0.106</v>
      </c>
      <c r="BY71">
        <v>0.39700000000000002</v>
      </c>
      <c r="BZ71">
        <v>0</v>
      </c>
      <c r="CA71">
        <v>3.15E-2</v>
      </c>
      <c r="CB71">
        <v>1.4E-2</v>
      </c>
      <c r="CC71">
        <v>0</v>
      </c>
      <c r="CD71">
        <v>0</v>
      </c>
      <c r="CE71">
        <v>0.438666</v>
      </c>
      <c r="CF71">
        <v>0.49790000000000001</v>
      </c>
      <c r="CG71">
        <v>1.2631578947368421E-2</v>
      </c>
      <c r="CH71">
        <v>0</v>
      </c>
      <c r="CI71">
        <v>0</v>
      </c>
      <c r="CJ71">
        <v>1.8400000000000001E-3</v>
      </c>
      <c r="CK71">
        <v>0</v>
      </c>
      <c r="CL71">
        <v>0</v>
      </c>
      <c r="CM71">
        <v>8.0000000000000002E-3</v>
      </c>
      <c r="CN71">
        <v>5.3866666666666663E-3</v>
      </c>
      <c r="CO71">
        <v>0</v>
      </c>
      <c r="CP71">
        <v>0</v>
      </c>
      <c r="CQ71">
        <v>2E-3</v>
      </c>
      <c r="CR71">
        <v>5.9999999999999995E-4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</row>
    <row r="72" spans="1:105 2707:2707" x14ac:dyDescent="0.25">
      <c r="A72" s="1">
        <v>42338</v>
      </c>
      <c r="B72">
        <v>4.8300000000000003E-2</v>
      </c>
      <c r="C72">
        <v>0.04</v>
      </c>
      <c r="D72">
        <v>3.2</v>
      </c>
      <c r="E72">
        <v>0.16530600000000001</v>
      </c>
      <c r="F72">
        <v>0.13</v>
      </c>
      <c r="G72">
        <v>4.4999999999999998E-2</v>
      </c>
      <c r="H72">
        <v>0.27300000000000002</v>
      </c>
      <c r="I72">
        <v>0.217</v>
      </c>
      <c r="J72">
        <v>0.2029</v>
      </c>
      <c r="K72">
        <v>0.09</v>
      </c>
      <c r="L72">
        <v>0.41</v>
      </c>
      <c r="M72">
        <v>1.671</v>
      </c>
      <c r="N72">
        <v>1.1299999999999999</v>
      </c>
      <c r="O72">
        <v>0.97340000000000004</v>
      </c>
      <c r="P72">
        <v>6.3</v>
      </c>
      <c r="Q72">
        <v>0.19600000000000001</v>
      </c>
      <c r="R72">
        <v>9.2999999999999999E-2</v>
      </c>
      <c r="S72">
        <v>1.0169999999999999</v>
      </c>
      <c r="T72">
        <v>1.2310000000000001</v>
      </c>
      <c r="U72">
        <v>4.1999999999999997E-3</v>
      </c>
      <c r="V72">
        <v>4.5100000000000001E-3</v>
      </c>
      <c r="W72">
        <v>9.2499999999999999E-2</v>
      </c>
      <c r="X72">
        <v>2.06</v>
      </c>
      <c r="Y72">
        <v>5.58</v>
      </c>
      <c r="Z72">
        <v>37</v>
      </c>
      <c r="AA72">
        <v>1.3333333333333335</v>
      </c>
      <c r="AB72">
        <v>9.7000000000000003E-2</v>
      </c>
      <c r="AC72">
        <v>4.4000000000000004</v>
      </c>
      <c r="AD72">
        <v>2E-3</v>
      </c>
      <c r="AE72">
        <v>0.15533333333333332</v>
      </c>
      <c r="AF72">
        <v>0.20899999999999999</v>
      </c>
      <c r="AG72">
        <v>0.56399999999999995</v>
      </c>
      <c r="AH72">
        <v>993</v>
      </c>
      <c r="AI72">
        <v>1.026</v>
      </c>
      <c r="AJ72">
        <v>1210</v>
      </c>
      <c r="AK72">
        <v>0</v>
      </c>
      <c r="AL72">
        <v>194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2.5000000000000001E-2</v>
      </c>
      <c r="AV72">
        <v>2.58</v>
      </c>
      <c r="AW72">
        <v>2.6179999999999999</v>
      </c>
      <c r="AX72">
        <v>471.57</v>
      </c>
      <c r="AY72">
        <v>4.3644444444444446</v>
      </c>
      <c r="AZ72">
        <v>0.1757</v>
      </c>
      <c r="BA72">
        <v>0.68679999999999997</v>
      </c>
      <c r="BB72">
        <v>0.127</v>
      </c>
      <c r="BC72">
        <v>0.02</v>
      </c>
      <c r="BD72">
        <v>5.9139999999999997</v>
      </c>
      <c r="BE72">
        <v>0.24260000000000001</v>
      </c>
      <c r="BF72">
        <v>85</v>
      </c>
      <c r="BG72">
        <v>5.6</v>
      </c>
      <c r="BH72">
        <v>0.58666666666666667</v>
      </c>
      <c r="BI72">
        <v>0.5</v>
      </c>
      <c r="BJ72">
        <v>2.6431</v>
      </c>
      <c r="BK72">
        <v>2.5209999999999999</v>
      </c>
      <c r="BL72">
        <v>2.8000000000000001E-2</v>
      </c>
      <c r="BM72">
        <v>1.1299999999999999</v>
      </c>
      <c r="BN72">
        <v>0.16</v>
      </c>
      <c r="BO72">
        <v>0.74</v>
      </c>
      <c r="BP72">
        <v>0.15892999999999999</v>
      </c>
      <c r="BQ72">
        <v>0</v>
      </c>
      <c r="BR72">
        <v>4.7E-2</v>
      </c>
      <c r="BS72">
        <v>0.28499999999999998</v>
      </c>
      <c r="BT72">
        <v>5.8000000000000003E-2</v>
      </c>
      <c r="BU72">
        <v>5.1390000000000003E-3</v>
      </c>
      <c r="BV72">
        <v>2.077E-2</v>
      </c>
      <c r="BW72">
        <v>9.7000000000000003E-2</v>
      </c>
      <c r="BX72">
        <v>9.7000000000000003E-2</v>
      </c>
      <c r="BY72">
        <v>0.435</v>
      </c>
      <c r="BZ72">
        <v>0</v>
      </c>
      <c r="CA72">
        <v>3.15E-2</v>
      </c>
      <c r="CB72">
        <v>1.7999999999999999E-2</v>
      </c>
      <c r="CC72">
        <v>0</v>
      </c>
      <c r="CD72">
        <v>0</v>
      </c>
      <c r="CE72">
        <v>0.39900000000000002</v>
      </c>
      <c r="CF72">
        <v>0.49009999999999998</v>
      </c>
      <c r="CG72">
        <v>1.2947368421052631E-2</v>
      </c>
      <c r="CH72">
        <v>0</v>
      </c>
      <c r="CI72">
        <v>0</v>
      </c>
      <c r="CJ72">
        <v>1.9400000000000001E-3</v>
      </c>
      <c r="CK72">
        <v>0</v>
      </c>
      <c r="CL72">
        <v>0</v>
      </c>
      <c r="CM72">
        <v>9.0000000000000011E-3</v>
      </c>
      <c r="CN72">
        <v>4.79E-3</v>
      </c>
      <c r="CO72">
        <v>0</v>
      </c>
      <c r="CP72">
        <v>0</v>
      </c>
      <c r="CQ72">
        <v>2E-3</v>
      </c>
      <c r="CR72">
        <v>1E-3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</row>
    <row r="73" spans="1:105 2707:2707" x14ac:dyDescent="0.25">
      <c r="A73" s="1">
        <v>42369</v>
      </c>
      <c r="B73">
        <v>4.7399999999999998E-2</v>
      </c>
      <c r="C73">
        <v>6.3E-2</v>
      </c>
      <c r="D73">
        <v>2.78</v>
      </c>
      <c r="E73">
        <v>0.15728200000000001</v>
      </c>
      <c r="F73">
        <v>0.13</v>
      </c>
      <c r="G73">
        <v>4.5999999999999999E-2</v>
      </c>
      <c r="H73">
        <v>0.23799999999999999</v>
      </c>
      <c r="I73">
        <v>0.182</v>
      </c>
      <c r="J73">
        <v>0.18140000000000001</v>
      </c>
      <c r="K73">
        <v>8.4000000000000005E-2</v>
      </c>
      <c r="L73">
        <v>0.38</v>
      </c>
      <c r="M73">
        <v>1.7150000000000001</v>
      </c>
      <c r="N73">
        <v>1.1120000000000001</v>
      </c>
      <c r="O73">
        <v>0.99480000000000002</v>
      </c>
      <c r="P73">
        <v>5.8</v>
      </c>
      <c r="Q73">
        <v>0.20399999999999999</v>
      </c>
      <c r="R73">
        <v>8.7999999999999995E-2</v>
      </c>
      <c r="S73">
        <v>1.083</v>
      </c>
      <c r="T73">
        <v>1.087</v>
      </c>
      <c r="U73">
        <v>5.1999999999999998E-3</v>
      </c>
      <c r="V73">
        <v>6.2810000000000001E-3</v>
      </c>
      <c r="W73">
        <v>9.6600000000000005E-2</v>
      </c>
      <c r="X73">
        <v>2</v>
      </c>
      <c r="Y73">
        <v>4.63</v>
      </c>
      <c r="Z73">
        <v>35</v>
      </c>
      <c r="AA73">
        <v>1.3666666666666667</v>
      </c>
      <c r="AB73">
        <v>0.10299999999999999</v>
      </c>
      <c r="AC73">
        <v>4.335</v>
      </c>
      <c r="AD73">
        <v>3.0000000000000001E-3</v>
      </c>
      <c r="AE73">
        <v>0.15409999999999999</v>
      </c>
      <c r="AF73">
        <v>0.14899999999999999</v>
      </c>
      <c r="AG73">
        <v>0.54500000000000004</v>
      </c>
      <c r="AH73">
        <v>825</v>
      </c>
      <c r="AI73">
        <v>0.67600000000000005</v>
      </c>
      <c r="AJ73">
        <v>1210</v>
      </c>
      <c r="AK73">
        <v>0</v>
      </c>
      <c r="AL73">
        <v>132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1.9E-2</v>
      </c>
      <c r="AV73">
        <v>2.85</v>
      </c>
      <c r="AW73">
        <v>2.5013000000000001</v>
      </c>
      <c r="AX73">
        <v>125.18</v>
      </c>
      <c r="AY73">
        <v>4.0822222222222226</v>
      </c>
      <c r="AZ73">
        <v>0.16500000000000001</v>
      </c>
      <c r="BA73">
        <v>0.63449999999999995</v>
      </c>
      <c r="BB73">
        <v>0.11799999999999999</v>
      </c>
      <c r="BC73">
        <v>1.2E-2</v>
      </c>
      <c r="BD73">
        <v>5.79</v>
      </c>
      <c r="BE73">
        <v>0.36449999999999999</v>
      </c>
      <c r="BF73">
        <v>79</v>
      </c>
      <c r="BG73">
        <v>5.8</v>
      </c>
      <c r="BH73">
        <v>0.57333333333333336</v>
      </c>
      <c r="BI73">
        <v>0.3</v>
      </c>
      <c r="BJ73">
        <v>2.6347999999999998</v>
      </c>
      <c r="BK73">
        <v>2.476</v>
      </c>
      <c r="BL73">
        <v>2.5999999999999999E-2</v>
      </c>
      <c r="BM73">
        <v>1.45</v>
      </c>
      <c r="BN73">
        <v>0.15</v>
      </c>
      <c r="BO73">
        <v>0.73</v>
      </c>
      <c r="BP73">
        <v>0.14921200000000001</v>
      </c>
      <c r="BQ73">
        <v>0</v>
      </c>
      <c r="BR73">
        <v>4.7E-2</v>
      </c>
      <c r="BS73">
        <v>0.33</v>
      </c>
      <c r="BT73">
        <v>6.9000000000000006E-2</v>
      </c>
      <c r="BU73">
        <v>5.0889999999999998E-3</v>
      </c>
      <c r="BV73">
        <v>2.0910000000000002E-2</v>
      </c>
      <c r="BW73">
        <v>8.7999999999999995E-2</v>
      </c>
      <c r="BX73">
        <v>8.7999999999999995E-2</v>
      </c>
      <c r="BY73">
        <v>0.377</v>
      </c>
      <c r="BZ73">
        <v>0</v>
      </c>
      <c r="CA73">
        <v>3.15E-2</v>
      </c>
      <c r="CB73">
        <v>8.9999999999999993E-3</v>
      </c>
      <c r="CC73">
        <v>0</v>
      </c>
      <c r="CD73">
        <v>0</v>
      </c>
      <c r="CE73">
        <v>0.41085650000000001</v>
      </c>
      <c r="CF73">
        <v>0.44030000000000002</v>
      </c>
      <c r="CG73">
        <v>1.3263157894736841E-2</v>
      </c>
      <c r="CH73">
        <v>0</v>
      </c>
      <c r="CI73">
        <v>0</v>
      </c>
      <c r="CJ73">
        <v>1.49E-3</v>
      </c>
      <c r="CK73">
        <v>0</v>
      </c>
      <c r="CL73">
        <v>0</v>
      </c>
      <c r="CM73">
        <v>0.01</v>
      </c>
      <c r="CN73">
        <v>4.1933333333333336E-3</v>
      </c>
      <c r="CO73">
        <v>0</v>
      </c>
      <c r="CP73">
        <v>0</v>
      </c>
      <c r="CQ73">
        <v>2E-3</v>
      </c>
      <c r="CR73">
        <v>6.9999999999999999E-4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</row>
    <row r="74" spans="1:105 2707:2707" x14ac:dyDescent="0.25">
      <c r="A74" s="1">
        <v>42400</v>
      </c>
      <c r="B74">
        <v>3.7100000000000001E-2</v>
      </c>
      <c r="C74">
        <v>3.5999999999999997E-2</v>
      </c>
      <c r="D74">
        <v>2.74</v>
      </c>
      <c r="E74">
        <v>0.16134499999999999</v>
      </c>
      <c r="F74">
        <v>0.13300000000000001</v>
      </c>
      <c r="G74">
        <v>4.5999999999999999E-2</v>
      </c>
      <c r="H74">
        <v>0.224</v>
      </c>
      <c r="I74">
        <v>0.161</v>
      </c>
      <c r="J74">
        <v>0.14580000000000001</v>
      </c>
      <c r="K74">
        <v>0.10199999999999999</v>
      </c>
      <c r="L74">
        <v>0.37</v>
      </c>
      <c r="M74">
        <v>2.012</v>
      </c>
      <c r="N74">
        <v>1.163</v>
      </c>
      <c r="O74">
        <v>0.86729999999999996</v>
      </c>
      <c r="P74">
        <v>5.8</v>
      </c>
      <c r="Q74">
        <v>0.2</v>
      </c>
      <c r="R74">
        <v>7.4999999999999997E-2</v>
      </c>
      <c r="S74">
        <v>1.173</v>
      </c>
      <c r="T74">
        <v>1.2</v>
      </c>
      <c r="U74">
        <v>6.4000000000000003E-3</v>
      </c>
      <c r="V74">
        <v>5.3220000000000003E-3</v>
      </c>
      <c r="W74">
        <v>8.3000000000000004E-2</v>
      </c>
      <c r="X74">
        <v>2.0299999999999998</v>
      </c>
      <c r="Y74">
        <v>4.7</v>
      </c>
      <c r="Z74">
        <v>32</v>
      </c>
      <c r="AA74">
        <v>1.4</v>
      </c>
      <c r="AB74">
        <v>0.113</v>
      </c>
      <c r="AC74">
        <v>4.4480000000000004</v>
      </c>
      <c r="AD74">
        <v>2E-3</v>
      </c>
      <c r="AE74">
        <v>0.15286666666666665</v>
      </c>
      <c r="AF74">
        <v>0.13300000000000001</v>
      </c>
      <c r="AG74">
        <v>0.53400000000000003</v>
      </c>
      <c r="AH74">
        <v>945</v>
      </c>
      <c r="AI74">
        <v>1.119</v>
      </c>
      <c r="AJ74">
        <v>518</v>
      </c>
      <c r="AK74">
        <v>0</v>
      </c>
      <c r="AL74">
        <v>150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1.7999999999999999E-2</v>
      </c>
      <c r="AV74">
        <v>3.12</v>
      </c>
      <c r="AW74">
        <v>2.9167999999999998</v>
      </c>
      <c r="AX74">
        <v>121.44</v>
      </c>
      <c r="AY74">
        <v>3.8</v>
      </c>
      <c r="AZ74">
        <v>0.16964499999999999</v>
      </c>
      <c r="BA74">
        <v>0.61250000000000004</v>
      </c>
      <c r="BB74">
        <v>0.122</v>
      </c>
      <c r="BC74">
        <v>1.4999999999999999E-2</v>
      </c>
      <c r="BD74">
        <v>5.8710000000000004</v>
      </c>
      <c r="BE74">
        <v>0.28653333333333331</v>
      </c>
      <c r="BF74">
        <v>82</v>
      </c>
      <c r="BG74">
        <v>6.3</v>
      </c>
      <c r="BH74">
        <v>0.56000000000000005</v>
      </c>
      <c r="BI74">
        <v>0.62</v>
      </c>
      <c r="BJ74">
        <v>2.2004000000000001</v>
      </c>
      <c r="BK74">
        <v>2.427</v>
      </c>
      <c r="BL74">
        <v>2.5999999999999999E-2</v>
      </c>
      <c r="BM74">
        <v>1.35</v>
      </c>
      <c r="BN74">
        <v>0.15</v>
      </c>
      <c r="BO74">
        <v>0.69</v>
      </c>
      <c r="BP74">
        <v>0.12805</v>
      </c>
      <c r="BQ74">
        <v>0</v>
      </c>
      <c r="BR74">
        <v>5.2999999999999999E-2</v>
      </c>
      <c r="BS74">
        <v>0.32100000000000001</v>
      </c>
      <c r="BT74">
        <v>5.7000000000000002E-2</v>
      </c>
      <c r="BU74">
        <v>5.2389999999999997E-3</v>
      </c>
      <c r="BV74">
        <v>1.7510000000000001E-2</v>
      </c>
      <c r="BW74">
        <v>9.0999999999999998E-2</v>
      </c>
      <c r="BX74">
        <v>9.0999999999999998E-2</v>
      </c>
      <c r="BY74">
        <v>0.28399999999999997</v>
      </c>
      <c r="BZ74">
        <v>0</v>
      </c>
      <c r="CA74">
        <v>3.15E-2</v>
      </c>
      <c r="CB74">
        <v>7.4999999999999997E-3</v>
      </c>
      <c r="CC74">
        <v>0</v>
      </c>
      <c r="CD74">
        <v>0</v>
      </c>
      <c r="CE74">
        <v>0.42271300000000001</v>
      </c>
      <c r="CF74">
        <v>0.4657</v>
      </c>
      <c r="CG74">
        <v>1.3578947368421052E-2</v>
      </c>
      <c r="CH74">
        <v>0</v>
      </c>
      <c r="CI74">
        <v>0</v>
      </c>
      <c r="CJ74">
        <v>1.565E-3</v>
      </c>
      <c r="CK74">
        <v>0</v>
      </c>
      <c r="CL74">
        <v>0</v>
      </c>
      <c r="CM74">
        <v>1.4999999999999999E-2</v>
      </c>
      <c r="CN74">
        <v>3.5966666666666664E-3</v>
      </c>
      <c r="CO74">
        <v>1.2999999999999999E-2</v>
      </c>
      <c r="CP74">
        <v>0</v>
      </c>
      <c r="CQ74">
        <v>2E-3</v>
      </c>
      <c r="CR74">
        <v>5.9999999999999995E-4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</row>
    <row r="75" spans="1:105 2707:2707" x14ac:dyDescent="0.25">
      <c r="A75" s="1">
        <v>42429</v>
      </c>
      <c r="B75">
        <v>3.2500000000000001E-2</v>
      </c>
      <c r="C75">
        <v>3.4000000000000002E-2</v>
      </c>
      <c r="D75">
        <v>2.77</v>
      </c>
      <c r="E75">
        <v>0.119792</v>
      </c>
      <c r="F75">
        <v>0.14299999999999999</v>
      </c>
      <c r="G75">
        <v>4.2000000000000003E-2</v>
      </c>
      <c r="H75">
        <v>0.21</v>
      </c>
      <c r="I75">
        <v>0.161</v>
      </c>
      <c r="J75">
        <v>0.1489</v>
      </c>
      <c r="K75">
        <v>8.4000000000000005E-2</v>
      </c>
      <c r="L75">
        <v>0.41</v>
      </c>
      <c r="M75">
        <v>1.641</v>
      </c>
      <c r="N75">
        <v>1.075</v>
      </c>
      <c r="O75">
        <v>0.74880000000000002</v>
      </c>
      <c r="P75">
        <v>5.0999999999999996</v>
      </c>
      <c r="Q75">
        <v>0.18</v>
      </c>
      <c r="R75">
        <v>8.4000000000000005E-2</v>
      </c>
      <c r="S75">
        <v>1.53</v>
      </c>
      <c r="T75">
        <v>1.24</v>
      </c>
      <c r="U75">
        <v>7.1999999999999998E-3</v>
      </c>
      <c r="V75">
        <v>6.411E-3</v>
      </c>
      <c r="W75">
        <v>8.6499999999999994E-2</v>
      </c>
      <c r="X75">
        <v>1.81</v>
      </c>
      <c r="Y75">
        <v>5.0199999999999996</v>
      </c>
      <c r="Z75">
        <v>37</v>
      </c>
      <c r="AA75">
        <v>1.4333333333333333</v>
      </c>
      <c r="AB75">
        <v>0.114</v>
      </c>
      <c r="AC75">
        <v>3.9169999999999998</v>
      </c>
      <c r="AD75">
        <v>2E-3</v>
      </c>
      <c r="AE75">
        <v>0.15163333333333334</v>
      </c>
      <c r="AF75">
        <v>0.13400000000000001</v>
      </c>
      <c r="AG75">
        <v>0.54</v>
      </c>
      <c r="AH75">
        <v>794</v>
      </c>
      <c r="AI75">
        <v>0.47499999999999998</v>
      </c>
      <c r="AJ75">
        <v>469</v>
      </c>
      <c r="AK75">
        <v>0</v>
      </c>
      <c r="AL75">
        <v>198</v>
      </c>
      <c r="AM75">
        <v>5.0000000000000001E-3</v>
      </c>
      <c r="AN75">
        <v>1E-3</v>
      </c>
      <c r="AO75">
        <v>4.0000000000000001E-3</v>
      </c>
      <c r="AP75">
        <v>5.0000000000000001E-3</v>
      </c>
      <c r="AQ75">
        <v>0</v>
      </c>
      <c r="AR75">
        <v>1E-3</v>
      </c>
      <c r="AS75">
        <v>1E-3</v>
      </c>
      <c r="AT75">
        <v>8.0000000000000002E-3</v>
      </c>
      <c r="AU75">
        <v>4.0000000000000001E-3</v>
      </c>
      <c r="AV75">
        <v>3.39</v>
      </c>
      <c r="AW75">
        <v>3.1011000000000002</v>
      </c>
      <c r="AX75">
        <v>18.72</v>
      </c>
      <c r="AY75">
        <v>3.7537499999999997</v>
      </c>
      <c r="AZ75">
        <v>0.16862099999999999</v>
      </c>
      <c r="BA75">
        <v>0.59909999999999997</v>
      </c>
      <c r="BB75">
        <v>0.11899999999999999</v>
      </c>
      <c r="BC75">
        <v>2.1999999999999999E-2</v>
      </c>
      <c r="BD75">
        <v>5.4279999999999999</v>
      </c>
      <c r="BE75">
        <v>0.20856666666666665</v>
      </c>
      <c r="BF75">
        <v>73</v>
      </c>
      <c r="BG75">
        <v>5.8</v>
      </c>
      <c r="BH75">
        <v>0.59</v>
      </c>
      <c r="BI75">
        <v>0.44</v>
      </c>
      <c r="BJ75">
        <v>1.7789999999999999</v>
      </c>
      <c r="BK75">
        <v>2.0649999999999999</v>
      </c>
      <c r="BL75">
        <v>2.4E-2</v>
      </c>
      <c r="BM75">
        <v>1.1200000000000001</v>
      </c>
      <c r="BN75">
        <v>0.16</v>
      </c>
      <c r="BO75">
        <v>0.69</v>
      </c>
      <c r="BP75">
        <v>0.127112</v>
      </c>
      <c r="BQ75">
        <v>0</v>
      </c>
      <c r="BR75">
        <v>0.05</v>
      </c>
      <c r="BS75">
        <v>0.29499999999999998</v>
      </c>
      <c r="BT75">
        <v>4.5999999999999999E-2</v>
      </c>
      <c r="BU75">
        <v>4.4900000000000001E-3</v>
      </c>
      <c r="BV75">
        <v>2.0330000000000001E-2</v>
      </c>
      <c r="BW75">
        <v>9.1999999999999998E-2</v>
      </c>
      <c r="BX75">
        <v>9.1999999999999998E-2</v>
      </c>
      <c r="BY75">
        <v>0.26100000000000001</v>
      </c>
      <c r="BZ75">
        <v>0</v>
      </c>
      <c r="CA75">
        <v>3.15E-2</v>
      </c>
      <c r="CB75">
        <v>6.0000000000000001E-3</v>
      </c>
      <c r="CC75">
        <v>0</v>
      </c>
      <c r="CD75">
        <v>0</v>
      </c>
      <c r="CE75">
        <v>0.38251200000000002</v>
      </c>
      <c r="CF75">
        <v>0.46289999999999998</v>
      </c>
      <c r="CG75">
        <v>1.3894736842105262E-2</v>
      </c>
      <c r="CH75">
        <v>0</v>
      </c>
      <c r="CI75">
        <v>0</v>
      </c>
      <c r="CJ75">
        <v>1.848E-3</v>
      </c>
      <c r="CK75">
        <v>0</v>
      </c>
      <c r="CL75">
        <v>0</v>
      </c>
      <c r="CM75">
        <v>1.9583333333333335E-2</v>
      </c>
      <c r="CN75">
        <v>3.0000000000000001E-3</v>
      </c>
      <c r="CO75">
        <v>1.4E-2</v>
      </c>
      <c r="CP75">
        <v>0</v>
      </c>
      <c r="CQ75">
        <v>2E-3</v>
      </c>
      <c r="CR75">
        <v>5.9999999999999995E-4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</row>
    <row r="76" spans="1:105 2707:2707" x14ac:dyDescent="0.25">
      <c r="A76" s="1">
        <v>42460</v>
      </c>
      <c r="B76">
        <v>3.1099999999999999E-2</v>
      </c>
      <c r="C76">
        <v>8.3000000000000004E-2</v>
      </c>
      <c r="D76">
        <v>3.09</v>
      </c>
      <c r="E76">
        <v>0.12503800000000001</v>
      </c>
      <c r="F76">
        <v>0.17</v>
      </c>
      <c r="G76">
        <v>5.6000000000000001E-2</v>
      </c>
      <c r="H76">
        <v>0.26600000000000001</v>
      </c>
      <c r="I76">
        <v>0.16900000000000001</v>
      </c>
      <c r="J76">
        <v>0.14799999999999999</v>
      </c>
      <c r="K76">
        <v>0.104</v>
      </c>
      <c r="L76">
        <v>0.49</v>
      </c>
      <c r="M76">
        <v>2.0920000000000001</v>
      </c>
      <c r="N76">
        <v>1.216</v>
      </c>
      <c r="O76">
        <v>0.85589999999999999</v>
      </c>
      <c r="P76">
        <v>6.4</v>
      </c>
      <c r="Q76">
        <v>0.216</v>
      </c>
      <c r="R76">
        <v>0.104</v>
      </c>
      <c r="S76">
        <v>1.262</v>
      </c>
      <c r="T76">
        <v>1.294</v>
      </c>
      <c r="U76">
        <v>5.4000000000000003E-3</v>
      </c>
      <c r="V76">
        <v>1.2995E-2</v>
      </c>
      <c r="W76">
        <v>8.3400000000000002E-2</v>
      </c>
      <c r="X76">
        <v>2.13</v>
      </c>
      <c r="Y76">
        <v>4.8899999999999997</v>
      </c>
      <c r="Z76">
        <v>35</v>
      </c>
      <c r="AA76">
        <v>1.4666666666666668</v>
      </c>
      <c r="AB76">
        <v>0.11700000000000001</v>
      </c>
      <c r="AC76">
        <v>4.782</v>
      </c>
      <c r="AD76">
        <v>2E-3</v>
      </c>
      <c r="AE76">
        <v>0.15040000000000001</v>
      </c>
      <c r="AF76">
        <v>0.155</v>
      </c>
      <c r="AG76">
        <v>0.56000000000000005</v>
      </c>
      <c r="AH76">
        <v>683</v>
      </c>
      <c r="AI76">
        <v>0.40600000000000003</v>
      </c>
      <c r="AJ76">
        <v>182</v>
      </c>
      <c r="AK76">
        <v>0</v>
      </c>
      <c r="AL76">
        <v>407</v>
      </c>
      <c r="AM76">
        <v>6.0000000000000001E-3</v>
      </c>
      <c r="AN76">
        <v>1E-3</v>
      </c>
      <c r="AO76">
        <v>0.24399999999999999</v>
      </c>
      <c r="AP76">
        <v>0.13</v>
      </c>
      <c r="AQ76">
        <v>0</v>
      </c>
      <c r="AR76">
        <v>1E-3</v>
      </c>
      <c r="AS76">
        <v>1E-3</v>
      </c>
      <c r="AT76">
        <v>7.7999999999999986E-2</v>
      </c>
      <c r="AU76">
        <v>8.9999999999999993E-3</v>
      </c>
      <c r="AV76">
        <v>3.66</v>
      </c>
      <c r="AW76">
        <v>5.1722999999999999</v>
      </c>
      <c r="AX76">
        <v>18.63</v>
      </c>
      <c r="AY76">
        <v>3.7075</v>
      </c>
      <c r="AZ76">
        <v>0.15487100000000001</v>
      </c>
      <c r="BA76">
        <v>0.64839999999999998</v>
      </c>
      <c r="BB76">
        <v>0.11899999999999999</v>
      </c>
      <c r="BC76">
        <v>1.4E-2</v>
      </c>
      <c r="BD76">
        <v>6.22</v>
      </c>
      <c r="BE76">
        <v>0.13059999999999999</v>
      </c>
      <c r="BF76">
        <v>86</v>
      </c>
      <c r="BG76">
        <v>5.7</v>
      </c>
      <c r="BH76">
        <v>0.52</v>
      </c>
      <c r="BI76">
        <v>0.53</v>
      </c>
      <c r="BJ76">
        <v>0.95209999999999995</v>
      </c>
      <c r="BK76">
        <v>2.7210000000000001</v>
      </c>
      <c r="BL76">
        <v>3.4000000000000002E-2</v>
      </c>
      <c r="BM76">
        <v>1.44</v>
      </c>
      <c r="BN76">
        <v>0.16</v>
      </c>
      <c r="BO76">
        <v>0.81</v>
      </c>
      <c r="BP76">
        <v>0.134131</v>
      </c>
      <c r="BQ76">
        <v>0</v>
      </c>
      <c r="BR76">
        <v>6.2E-2</v>
      </c>
      <c r="BS76">
        <v>0.28299999999999997</v>
      </c>
      <c r="BT76">
        <v>5.5E-2</v>
      </c>
      <c r="BU76">
        <v>5.8950000000000001E-3</v>
      </c>
      <c r="BV76">
        <v>2.121E-2</v>
      </c>
      <c r="BW76">
        <v>9.8000000000000004E-2</v>
      </c>
      <c r="BX76">
        <v>9.8000000000000004E-2</v>
      </c>
      <c r="BY76">
        <v>0.27700000000000002</v>
      </c>
      <c r="BZ76">
        <v>4.4520000000000002E-3</v>
      </c>
      <c r="CA76">
        <v>3.15E-2</v>
      </c>
      <c r="CB76">
        <v>6.0000000000000001E-3</v>
      </c>
      <c r="CC76">
        <v>0</v>
      </c>
      <c r="CD76">
        <v>0</v>
      </c>
      <c r="CE76">
        <v>0.385154</v>
      </c>
      <c r="CF76">
        <v>0.47260000000000002</v>
      </c>
      <c r="CG76">
        <v>1.4210526315789474E-2</v>
      </c>
      <c r="CH76">
        <v>0</v>
      </c>
      <c r="CI76">
        <v>0</v>
      </c>
      <c r="CJ76">
        <v>4.0800000000000003E-3</v>
      </c>
      <c r="CK76">
        <v>0</v>
      </c>
      <c r="CL76">
        <v>0</v>
      </c>
      <c r="CM76">
        <v>2.416666666666667E-2</v>
      </c>
      <c r="CN76">
        <v>3.0391666666666666E-3</v>
      </c>
      <c r="CO76">
        <v>1.6E-2</v>
      </c>
      <c r="CP76">
        <v>1.4E-2</v>
      </c>
      <c r="CQ76">
        <v>2.5000000000000001E-3</v>
      </c>
      <c r="CR76">
        <v>9.0000000000000006E-5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</row>
    <row r="77" spans="1:105 2707:2707" x14ac:dyDescent="0.25">
      <c r="A77" s="1">
        <v>42490</v>
      </c>
      <c r="B77">
        <v>3.39E-2</v>
      </c>
      <c r="C77">
        <v>4.2999999999999997E-2</v>
      </c>
      <c r="D77">
        <v>3.3</v>
      </c>
      <c r="E77">
        <v>0.132136</v>
      </c>
      <c r="F77">
        <v>0.128</v>
      </c>
      <c r="G77">
        <v>8.7999999999999995E-2</v>
      </c>
      <c r="H77">
        <v>0.246</v>
      </c>
      <c r="I77">
        <v>0.17299999999999999</v>
      </c>
      <c r="J77">
        <v>0.21240000000000001</v>
      </c>
      <c r="K77">
        <v>0.114</v>
      </c>
      <c r="L77">
        <v>0.61</v>
      </c>
      <c r="M77">
        <v>2.0449999999999999</v>
      </c>
      <c r="N77">
        <v>1.139</v>
      </c>
      <c r="O77">
        <v>1.1667000000000001</v>
      </c>
      <c r="P77">
        <v>5.7</v>
      </c>
      <c r="Q77">
        <v>0.22500000000000001</v>
      </c>
      <c r="R77">
        <v>0.10299999999999999</v>
      </c>
      <c r="S77">
        <v>1.06</v>
      </c>
      <c r="T77">
        <v>1.1859999999999999</v>
      </c>
      <c r="U77">
        <v>7.1000000000000004E-3</v>
      </c>
      <c r="V77">
        <v>8.1589999999999996E-3</v>
      </c>
      <c r="W77">
        <v>9.2799999999999994E-2</v>
      </c>
      <c r="X77">
        <v>2.34</v>
      </c>
      <c r="Y77">
        <v>5.7</v>
      </c>
      <c r="Z77">
        <v>36</v>
      </c>
      <c r="AA77">
        <v>1.5</v>
      </c>
      <c r="AB77">
        <v>0.112</v>
      </c>
      <c r="AC77">
        <v>4.8419999999999996</v>
      </c>
      <c r="AD77">
        <v>2E-3</v>
      </c>
      <c r="AE77">
        <v>0.14916666666666667</v>
      </c>
      <c r="AF77">
        <v>1.5</v>
      </c>
      <c r="AG77">
        <v>0.54800000000000004</v>
      </c>
      <c r="AH77">
        <v>582</v>
      </c>
      <c r="AI77">
        <v>0.46300000000000002</v>
      </c>
      <c r="AJ77">
        <v>610</v>
      </c>
      <c r="AK77">
        <v>2.3759999999999999</v>
      </c>
      <c r="AL77">
        <v>661</v>
      </c>
      <c r="AM77">
        <v>12.936999999999999</v>
      </c>
      <c r="AN77">
        <v>4.968</v>
      </c>
      <c r="AO77">
        <v>2.3239999999999998</v>
      </c>
      <c r="AP77">
        <v>2.3E-2</v>
      </c>
      <c r="AQ77">
        <v>0</v>
      </c>
      <c r="AR77">
        <v>1E-3</v>
      </c>
      <c r="AS77">
        <v>1.08</v>
      </c>
      <c r="AT77">
        <v>0.14799999999999999</v>
      </c>
      <c r="AU77">
        <v>3.0000000000000001E-3</v>
      </c>
      <c r="AV77">
        <v>3.93</v>
      </c>
      <c r="AW77">
        <v>5.5407000000000002</v>
      </c>
      <c r="AX77">
        <v>239.26</v>
      </c>
      <c r="AY77">
        <v>3.6612499999999999</v>
      </c>
      <c r="AZ77">
        <v>0.13853299999999999</v>
      </c>
      <c r="BA77">
        <v>0.68610000000000004</v>
      </c>
      <c r="BB77">
        <v>0.122</v>
      </c>
      <c r="BC77">
        <v>1.7999999999999999E-2</v>
      </c>
      <c r="BD77">
        <v>6.2439999999999998</v>
      </c>
      <c r="BE77">
        <v>0.19120000000000001</v>
      </c>
      <c r="BF77">
        <v>91</v>
      </c>
      <c r="BG77">
        <v>6</v>
      </c>
      <c r="BH77">
        <v>0.54666666666666663</v>
      </c>
      <c r="BI77">
        <v>0.53</v>
      </c>
      <c r="BJ77">
        <v>2.2102000000000004</v>
      </c>
      <c r="BK77">
        <v>2.855</v>
      </c>
      <c r="BL77">
        <v>0.03</v>
      </c>
      <c r="BM77">
        <v>1.48</v>
      </c>
      <c r="BN77">
        <v>0.16500000000000001</v>
      </c>
      <c r="BO77">
        <v>0.9</v>
      </c>
      <c r="BP77">
        <v>0.13522700000000001</v>
      </c>
      <c r="BQ77">
        <v>0</v>
      </c>
      <c r="BR77">
        <v>0.06</v>
      </c>
      <c r="BS77">
        <v>0.308</v>
      </c>
      <c r="BT77">
        <v>6.0999999999999999E-2</v>
      </c>
      <c r="BU77">
        <v>6.2449999999999997E-3</v>
      </c>
      <c r="BV77">
        <v>2.1049999999999999E-2</v>
      </c>
      <c r="BW77">
        <v>0.10299999999999999</v>
      </c>
      <c r="BX77">
        <v>0.10299999999999999</v>
      </c>
      <c r="BY77">
        <v>0.28199999999999997</v>
      </c>
      <c r="BZ77">
        <v>8.0000000000000002E-3</v>
      </c>
      <c r="CA77">
        <v>3.15E-2</v>
      </c>
      <c r="CB77">
        <v>4.4999999999999997E-3</v>
      </c>
      <c r="CC77">
        <v>0</v>
      </c>
      <c r="CD77">
        <v>0</v>
      </c>
      <c r="CE77">
        <v>0.41199000000000002</v>
      </c>
      <c r="CF77">
        <v>0.52549999999999997</v>
      </c>
      <c r="CG77">
        <v>1.4526315789473684E-2</v>
      </c>
      <c r="CH77">
        <v>0</v>
      </c>
      <c r="CI77">
        <v>0</v>
      </c>
      <c r="CJ77">
        <v>3.519E-3</v>
      </c>
      <c r="CK77">
        <v>0</v>
      </c>
      <c r="CL77">
        <v>0</v>
      </c>
      <c r="CM77">
        <v>2.8750000000000001E-2</v>
      </c>
      <c r="CN77">
        <v>3.0783333333333335E-3</v>
      </c>
      <c r="CO77">
        <v>1.7000000000000001E-2</v>
      </c>
      <c r="CP77">
        <v>1.4E-2</v>
      </c>
      <c r="CQ77">
        <v>2.5000000000000001E-3</v>
      </c>
      <c r="CR77">
        <v>8.0000000000000004E-4</v>
      </c>
      <c r="CS77">
        <v>0</v>
      </c>
      <c r="CT77">
        <v>0</v>
      </c>
      <c r="CU77">
        <v>0</v>
      </c>
      <c r="CV77">
        <v>0</v>
      </c>
      <c r="CW77">
        <v>3.6999999999999998E-2</v>
      </c>
      <c r="CX77">
        <v>0</v>
      </c>
      <c r="CY77">
        <v>0</v>
      </c>
      <c r="CZ77">
        <v>0</v>
      </c>
      <c r="DA77">
        <v>0</v>
      </c>
    </row>
    <row r="78" spans="1:105 2707:2707" x14ac:dyDescent="0.25">
      <c r="A78" s="1">
        <v>42521</v>
      </c>
      <c r="B78">
        <v>3.8100000000000002E-2</v>
      </c>
      <c r="C78">
        <v>4.8000000000000001E-2</v>
      </c>
      <c r="D78">
        <v>3.04</v>
      </c>
      <c r="E78">
        <v>0.18174499999999999</v>
      </c>
      <c r="F78">
        <v>0.16200000000000001</v>
      </c>
      <c r="G78">
        <v>8.3999999999999991E-2</v>
      </c>
      <c r="H78">
        <v>0.23100000000000001</v>
      </c>
      <c r="I78">
        <v>0.189</v>
      </c>
      <c r="J78">
        <v>0.15379999999999999</v>
      </c>
      <c r="K78">
        <v>0.11600000000000001</v>
      </c>
      <c r="L78">
        <v>0.72</v>
      </c>
      <c r="M78">
        <v>2.1509999999999998</v>
      </c>
      <c r="N78">
        <v>1.274</v>
      </c>
      <c r="O78">
        <v>1.7121</v>
      </c>
      <c r="P78">
        <v>6.7</v>
      </c>
      <c r="Q78">
        <v>0.26600000000000001</v>
      </c>
      <c r="R78">
        <v>0.107</v>
      </c>
      <c r="S78">
        <v>1.2789999999999999</v>
      </c>
      <c r="T78">
        <v>1.25</v>
      </c>
      <c r="U78">
        <v>7.4999999999999997E-3</v>
      </c>
      <c r="V78">
        <v>1.0574999999999999E-2</v>
      </c>
      <c r="W78">
        <v>7.3200000000000001E-2</v>
      </c>
      <c r="X78">
        <v>3.04</v>
      </c>
      <c r="Y78">
        <v>5.63</v>
      </c>
      <c r="Z78">
        <v>43</v>
      </c>
      <c r="AA78">
        <v>0.97</v>
      </c>
      <c r="AB78">
        <v>0.13400000000000001</v>
      </c>
      <c r="AC78">
        <v>5.9939999999999998</v>
      </c>
      <c r="AD78">
        <v>2E-3</v>
      </c>
      <c r="AE78">
        <v>0.14793333333333333</v>
      </c>
      <c r="AF78">
        <v>0.17100000000000001</v>
      </c>
      <c r="AG78">
        <v>0.63100000000000001</v>
      </c>
      <c r="AH78">
        <v>995</v>
      </c>
      <c r="AI78">
        <v>0.84499999999999997</v>
      </c>
      <c r="AJ78">
        <v>1175</v>
      </c>
      <c r="AK78">
        <v>3.1680000000000001</v>
      </c>
      <c r="AL78">
        <v>509</v>
      </c>
      <c r="AM78">
        <v>3.6259999999999999</v>
      </c>
      <c r="AN78">
        <v>1E-3</v>
      </c>
      <c r="AO78">
        <v>1.9599999999999999E-2</v>
      </c>
      <c r="AP78">
        <v>2.87E-2</v>
      </c>
      <c r="AQ78">
        <v>0</v>
      </c>
      <c r="AR78">
        <v>1E-3</v>
      </c>
      <c r="AS78">
        <v>1.08</v>
      </c>
      <c r="AT78">
        <v>2.1499999999999998E-2</v>
      </c>
      <c r="AU78">
        <v>0.26200000000000001</v>
      </c>
      <c r="AV78">
        <v>4.2</v>
      </c>
      <c r="AW78">
        <v>4.3411999999999997</v>
      </c>
      <c r="AX78">
        <v>332.36</v>
      </c>
      <c r="AY78">
        <v>3.6149999999999998</v>
      </c>
      <c r="AZ78">
        <v>0.16267699999999999</v>
      </c>
      <c r="BA78">
        <v>0.79769999999999996</v>
      </c>
      <c r="BB78">
        <v>0.14199999999999999</v>
      </c>
      <c r="BC78">
        <v>2.4E-2</v>
      </c>
      <c r="BD78">
        <v>7.4429999999999996</v>
      </c>
      <c r="BE78">
        <v>3.161</v>
      </c>
      <c r="BF78">
        <v>110</v>
      </c>
      <c r="BG78">
        <v>5.7</v>
      </c>
      <c r="BH78">
        <v>0.57333333333333336</v>
      </c>
      <c r="BI78">
        <v>0.73</v>
      </c>
      <c r="BJ78">
        <v>3.4683000000000002</v>
      </c>
      <c r="BK78">
        <v>3.633</v>
      </c>
      <c r="BL78">
        <v>5.0999999999999997E-2</v>
      </c>
      <c r="BM78">
        <v>1.7</v>
      </c>
      <c r="BN78">
        <v>0.18</v>
      </c>
      <c r="BO78">
        <v>0.99</v>
      </c>
      <c r="BP78">
        <v>0.14988899999999999</v>
      </c>
      <c r="BQ78">
        <v>0</v>
      </c>
      <c r="BR78">
        <v>8.4000000000000005E-2</v>
      </c>
      <c r="BS78">
        <v>0.3</v>
      </c>
      <c r="BT78">
        <v>7.3999999999999996E-2</v>
      </c>
      <c r="BU78">
        <v>6.9389999999999999E-3</v>
      </c>
      <c r="BV78">
        <v>1.9720000000000001E-2</v>
      </c>
      <c r="BW78">
        <v>0.125</v>
      </c>
      <c r="BX78">
        <v>0.125</v>
      </c>
      <c r="BY78">
        <v>0.23300000000000001</v>
      </c>
      <c r="BZ78">
        <v>8.9999999999999993E-3</v>
      </c>
      <c r="CA78">
        <v>3.15E-2</v>
      </c>
      <c r="CB78">
        <v>4.0000000000000001E-3</v>
      </c>
      <c r="CC78">
        <v>0</v>
      </c>
      <c r="CD78">
        <v>0</v>
      </c>
      <c r="CE78">
        <v>0.42060399999999998</v>
      </c>
      <c r="CF78">
        <v>0.65290000000000004</v>
      </c>
      <c r="CG78">
        <v>1.4842105263157894E-2</v>
      </c>
      <c r="CH78">
        <v>0</v>
      </c>
      <c r="CI78">
        <v>0</v>
      </c>
      <c r="CJ78">
        <v>4.2700000000000004E-3</v>
      </c>
      <c r="CK78">
        <v>0</v>
      </c>
      <c r="CL78">
        <v>0</v>
      </c>
      <c r="CM78">
        <v>3.333333333333334E-2</v>
      </c>
      <c r="CN78">
        <v>3.1175E-3</v>
      </c>
      <c r="CO78">
        <v>0.02</v>
      </c>
      <c r="CP78">
        <v>1.2999999999999999E-2</v>
      </c>
      <c r="CQ78">
        <v>2.5000000000000001E-3</v>
      </c>
      <c r="CR78">
        <v>6.9999999999999999E-4</v>
      </c>
      <c r="CS78">
        <v>0</v>
      </c>
      <c r="CT78">
        <v>0</v>
      </c>
      <c r="CU78">
        <v>0</v>
      </c>
      <c r="CV78">
        <v>0</v>
      </c>
      <c r="CW78">
        <v>3.9E-2</v>
      </c>
      <c r="CX78">
        <v>0</v>
      </c>
      <c r="CY78">
        <v>0</v>
      </c>
      <c r="CZ78">
        <v>0</v>
      </c>
      <c r="DA78">
        <v>0</v>
      </c>
    </row>
    <row r="79" spans="1:105 2707:2707" x14ac:dyDescent="0.25">
      <c r="A79" s="1">
        <v>42551</v>
      </c>
      <c r="B79">
        <v>3.32E-2</v>
      </c>
      <c r="C79">
        <v>7.4999999999999997E-2</v>
      </c>
      <c r="D79">
        <v>3.33</v>
      </c>
      <c r="E79">
        <v>0.154478</v>
      </c>
      <c r="F79">
        <v>0.14099999999999999</v>
      </c>
      <c r="G79">
        <v>0.08</v>
      </c>
      <c r="H79">
        <v>0.26500000000000001</v>
      </c>
      <c r="I79">
        <v>0.18099999999999999</v>
      </c>
      <c r="J79">
        <v>0.16139999999999999</v>
      </c>
      <c r="K79">
        <v>0.1</v>
      </c>
      <c r="L79">
        <v>0.75</v>
      </c>
      <c r="M79">
        <v>1.9470000000000001</v>
      </c>
      <c r="N79">
        <v>1.236</v>
      </c>
      <c r="O79">
        <v>1.7797000000000001</v>
      </c>
      <c r="P79">
        <v>7.8</v>
      </c>
      <c r="Q79">
        <v>0.23499999999999999</v>
      </c>
      <c r="R79">
        <v>0.125</v>
      </c>
      <c r="S79">
        <v>1.26</v>
      </c>
      <c r="T79">
        <v>1.3</v>
      </c>
      <c r="U79">
        <v>1.04E-2</v>
      </c>
      <c r="V79">
        <v>7.6010000000000001E-3</v>
      </c>
      <c r="W79">
        <v>7.8700000000000006E-2</v>
      </c>
      <c r="X79">
        <v>2.86</v>
      </c>
      <c r="Y79">
        <v>4.87</v>
      </c>
      <c r="Z79">
        <v>43</v>
      </c>
      <c r="AA79">
        <v>0.55654999999999999</v>
      </c>
      <c r="AB79">
        <v>0.114</v>
      </c>
      <c r="AC79">
        <v>5.5270000000000001</v>
      </c>
      <c r="AD79">
        <v>4.0000000000000001E-3</v>
      </c>
      <c r="AE79">
        <v>0.1467</v>
      </c>
      <c r="AF79">
        <v>0.184</v>
      </c>
      <c r="AG79">
        <v>0.60099999999999998</v>
      </c>
      <c r="AH79">
        <v>1041</v>
      </c>
      <c r="AI79">
        <v>1.298</v>
      </c>
      <c r="AJ79">
        <v>636</v>
      </c>
      <c r="AK79">
        <v>1.728</v>
      </c>
      <c r="AL79">
        <v>685</v>
      </c>
      <c r="AM79">
        <v>876</v>
      </c>
      <c r="AN79">
        <v>1E-3</v>
      </c>
      <c r="AO79">
        <v>5.0000000000000001E-3</v>
      </c>
      <c r="AP79">
        <v>0.10880000000000001</v>
      </c>
      <c r="AQ79">
        <v>0</v>
      </c>
      <c r="AR79">
        <v>1E-3</v>
      </c>
      <c r="AS79">
        <v>1.08</v>
      </c>
      <c r="AT79">
        <v>3.1099999999999996E-2</v>
      </c>
      <c r="AU79">
        <v>0.307</v>
      </c>
      <c r="AV79">
        <v>2.2999999999999998</v>
      </c>
      <c r="AW79">
        <v>3.2309999999999999</v>
      </c>
      <c r="AX79">
        <v>426.14</v>
      </c>
      <c r="AY79">
        <v>3.5687500000000001</v>
      </c>
      <c r="AZ79">
        <v>0.201266</v>
      </c>
      <c r="BA79">
        <v>0.73229999999999995</v>
      </c>
      <c r="BB79">
        <v>0.13500000000000001</v>
      </c>
      <c r="BC79">
        <v>1.2999999999999999E-2</v>
      </c>
      <c r="BD79">
        <v>6.0019999999999998</v>
      </c>
      <c r="BE79">
        <v>0.46210000000000001</v>
      </c>
      <c r="BF79">
        <v>111</v>
      </c>
      <c r="BG79">
        <v>4.0999999999999996</v>
      </c>
      <c r="BH79">
        <v>0.6</v>
      </c>
      <c r="BI79">
        <v>0.8</v>
      </c>
      <c r="BJ79">
        <v>2.7841999999999998</v>
      </c>
      <c r="BK79">
        <v>3.0649999999999999</v>
      </c>
      <c r="BL79">
        <v>3.3000000000000002E-2</v>
      </c>
      <c r="BM79">
        <v>1.97</v>
      </c>
      <c r="BN79">
        <v>0.18</v>
      </c>
      <c r="BO79">
        <v>0.92</v>
      </c>
      <c r="BP79">
        <v>0.16375200000000001</v>
      </c>
      <c r="BQ79">
        <v>0</v>
      </c>
      <c r="BR79">
        <v>7.1999999999999995E-2</v>
      </c>
      <c r="BS79">
        <v>0.314</v>
      </c>
      <c r="BT79">
        <v>7.4700000000000003E-2</v>
      </c>
      <c r="BU79">
        <v>5.0699999999999999E-3</v>
      </c>
      <c r="BV79">
        <v>1.9900000000000001E-2</v>
      </c>
      <c r="BW79">
        <v>0.107</v>
      </c>
      <c r="BX79">
        <v>0.17</v>
      </c>
      <c r="BY79">
        <v>0.25700000000000001</v>
      </c>
      <c r="BZ79">
        <v>8.0000000000000002E-3</v>
      </c>
      <c r="CA79">
        <v>3.1E-2</v>
      </c>
      <c r="CB79">
        <v>4.0000000000000001E-3</v>
      </c>
      <c r="CC79">
        <v>0</v>
      </c>
      <c r="CD79">
        <v>0</v>
      </c>
      <c r="CE79">
        <v>0.43267899999999998</v>
      </c>
      <c r="CF79">
        <v>0.56279999999999997</v>
      </c>
      <c r="CG79">
        <v>1.5157894736842105E-2</v>
      </c>
      <c r="CH79">
        <v>0</v>
      </c>
      <c r="CI79">
        <v>0</v>
      </c>
      <c r="CJ79">
        <v>4.5139999999999998E-3</v>
      </c>
      <c r="CK79">
        <v>0</v>
      </c>
      <c r="CL79">
        <v>0</v>
      </c>
      <c r="CM79">
        <v>3.7916666666666668E-2</v>
      </c>
      <c r="CN79">
        <v>3.1566666666666666E-3</v>
      </c>
      <c r="CO79">
        <v>1.9E-2</v>
      </c>
      <c r="CP79">
        <v>1.0999999999999999E-2</v>
      </c>
      <c r="CQ79">
        <v>2.7000000000000001E-3</v>
      </c>
      <c r="CR79">
        <v>8.0000000000000004E-4</v>
      </c>
      <c r="CS79">
        <v>0</v>
      </c>
      <c r="CT79">
        <v>0</v>
      </c>
      <c r="CU79">
        <v>0</v>
      </c>
      <c r="CV79">
        <v>0</v>
      </c>
      <c r="CW79">
        <v>3.7999999999999999E-2</v>
      </c>
      <c r="CX79">
        <v>0</v>
      </c>
      <c r="CY79">
        <v>0</v>
      </c>
      <c r="CZ79">
        <v>0</v>
      </c>
      <c r="DA79">
        <v>0</v>
      </c>
    </row>
    <row r="80" spans="1:105 2707:2707" x14ac:dyDescent="0.25">
      <c r="A80" s="1">
        <v>42582</v>
      </c>
      <c r="B80">
        <v>3.73E-2</v>
      </c>
      <c r="C80">
        <v>7.2999999999999995E-2</v>
      </c>
      <c r="D80">
        <v>3.36</v>
      </c>
      <c r="E80">
        <v>0.10899</v>
      </c>
      <c r="F80">
        <v>0.13300000000000001</v>
      </c>
      <c r="G80">
        <v>6.5000000000000002E-2</v>
      </c>
      <c r="H80">
        <v>0.25800000000000001</v>
      </c>
      <c r="I80">
        <v>0.16</v>
      </c>
      <c r="J80">
        <v>0.109</v>
      </c>
      <c r="K80">
        <v>8.4000000000000005E-2</v>
      </c>
      <c r="L80">
        <v>0.56000000000000005</v>
      </c>
      <c r="M80">
        <v>1.486</v>
      </c>
      <c r="N80">
        <v>1.038</v>
      </c>
      <c r="O80">
        <v>0.85680000000000001</v>
      </c>
      <c r="P80">
        <v>5.3</v>
      </c>
      <c r="Q80">
        <v>0.215</v>
      </c>
      <c r="R80">
        <v>0.14099999999999999</v>
      </c>
      <c r="S80">
        <v>1.1200000000000001</v>
      </c>
      <c r="T80">
        <v>1.24</v>
      </c>
      <c r="U80">
        <v>7.1000000000000004E-3</v>
      </c>
      <c r="V80">
        <v>9.5899999999999996E-3</v>
      </c>
      <c r="W80">
        <v>6.93E-2</v>
      </c>
      <c r="X80">
        <v>1.05</v>
      </c>
      <c r="Y80">
        <v>3.81</v>
      </c>
      <c r="Z80">
        <v>31.92</v>
      </c>
      <c r="AA80">
        <v>0.1431</v>
      </c>
      <c r="AB80">
        <v>0.10299999999999999</v>
      </c>
      <c r="AC80">
        <v>4.1950000000000003</v>
      </c>
      <c r="AD80">
        <v>1.4E-3</v>
      </c>
      <c r="AE80">
        <v>0.14546666666666666</v>
      </c>
      <c r="AF80">
        <v>0.16400000000000001</v>
      </c>
      <c r="AG80">
        <v>0.57199999999999995</v>
      </c>
      <c r="AH80">
        <v>1153</v>
      </c>
      <c r="AI80">
        <v>1.4370000000000001</v>
      </c>
      <c r="AJ80">
        <v>1210</v>
      </c>
      <c r="AK80">
        <v>0.28799999999999998</v>
      </c>
      <c r="AL80">
        <v>807</v>
      </c>
      <c r="AM80">
        <v>438.64800000000002</v>
      </c>
      <c r="AN80">
        <v>1E-3</v>
      </c>
      <c r="AO80">
        <v>3.49E-2</v>
      </c>
      <c r="AP80">
        <v>0.18890000000000001</v>
      </c>
      <c r="AQ80">
        <v>0</v>
      </c>
      <c r="AR80">
        <v>1E-3</v>
      </c>
      <c r="AS80">
        <v>1.08</v>
      </c>
      <c r="AT80">
        <v>4.07E-2</v>
      </c>
      <c r="AU80">
        <v>2E-3</v>
      </c>
      <c r="AV80">
        <v>6.7999999999999996E-3</v>
      </c>
      <c r="AW80">
        <v>3.21</v>
      </c>
      <c r="AX80">
        <v>539.03</v>
      </c>
      <c r="AY80">
        <v>3.5225</v>
      </c>
      <c r="AZ80">
        <v>0.231096</v>
      </c>
      <c r="BA80">
        <v>0.72970000000000002</v>
      </c>
      <c r="BB80">
        <v>0.11600000000000001</v>
      </c>
      <c r="BC80">
        <v>6.0000000000000001E-3</v>
      </c>
      <c r="BD80">
        <v>4.76</v>
      </c>
      <c r="BE80">
        <v>0.59855000000000003</v>
      </c>
      <c r="BF80">
        <v>85.88</v>
      </c>
      <c r="BG80">
        <v>3.58</v>
      </c>
      <c r="BH80">
        <v>0.57999999999999996</v>
      </c>
      <c r="BI80">
        <v>1.1200000000000001</v>
      </c>
      <c r="BJ80">
        <v>2.6739999999999999</v>
      </c>
      <c r="BK80">
        <v>2.1419999999999999</v>
      </c>
      <c r="BL80">
        <v>0.03</v>
      </c>
      <c r="BM80">
        <v>1.92</v>
      </c>
      <c r="BN80">
        <v>0.12</v>
      </c>
      <c r="BO80">
        <v>0.71</v>
      </c>
      <c r="BP80">
        <v>0.116937</v>
      </c>
      <c r="BQ80">
        <v>0</v>
      </c>
      <c r="BR80">
        <v>4.8000000000000001E-2</v>
      </c>
      <c r="BS80">
        <v>0.34899999999999998</v>
      </c>
      <c r="BT80">
        <v>5.8000000000000003E-2</v>
      </c>
      <c r="BU80">
        <v>4.8970000000000003E-3</v>
      </c>
      <c r="BV80">
        <v>1.729E-2</v>
      </c>
      <c r="BW80">
        <v>0.107</v>
      </c>
      <c r="BX80">
        <v>0.107</v>
      </c>
      <c r="BY80">
        <v>0.33900000000000002</v>
      </c>
      <c r="BZ80">
        <v>7.0000000000000001E-3</v>
      </c>
      <c r="CA80">
        <v>3.15E-2</v>
      </c>
      <c r="CB80">
        <v>4.0000000000000001E-3</v>
      </c>
      <c r="CC80">
        <v>0</v>
      </c>
      <c r="CD80">
        <v>0</v>
      </c>
      <c r="CE80">
        <v>0.42974899999999999</v>
      </c>
      <c r="CF80">
        <v>0.3342</v>
      </c>
      <c r="CG80">
        <v>1.5473684210526315E-2</v>
      </c>
      <c r="CH80">
        <v>0</v>
      </c>
      <c r="CI80">
        <v>0</v>
      </c>
      <c r="CJ80">
        <v>3.6949999999999999E-3</v>
      </c>
      <c r="CK80">
        <v>0</v>
      </c>
      <c r="CL80">
        <v>0</v>
      </c>
      <c r="CM80">
        <v>4.2500000000000003E-2</v>
      </c>
      <c r="CN80">
        <v>3.1958333333333335E-3</v>
      </c>
      <c r="CO80">
        <v>0.02</v>
      </c>
      <c r="CP80">
        <v>1.0999999999999999E-2</v>
      </c>
      <c r="CQ80">
        <v>2.3999999999999998E-3</v>
      </c>
      <c r="CR80">
        <v>5.0000000000000001E-4</v>
      </c>
      <c r="CS80">
        <v>0</v>
      </c>
      <c r="CT80">
        <v>0</v>
      </c>
      <c r="CU80">
        <v>0</v>
      </c>
      <c r="CV80">
        <v>0</v>
      </c>
      <c r="CW80">
        <v>3.6999999999999998E-2</v>
      </c>
      <c r="CX80">
        <v>0</v>
      </c>
      <c r="CY80">
        <v>0</v>
      </c>
      <c r="CZ80">
        <v>0</v>
      </c>
      <c r="DA80">
        <v>0</v>
      </c>
    </row>
    <row r="81" spans="1:105" x14ac:dyDescent="0.25">
      <c r="A81" s="1">
        <v>42613</v>
      </c>
      <c r="B81">
        <v>3.7999999999999999E-2</v>
      </c>
      <c r="C81">
        <v>9.1999999999999998E-2</v>
      </c>
      <c r="D81">
        <v>3.64</v>
      </c>
      <c r="E81">
        <v>0.14072799999999999</v>
      </c>
      <c r="F81">
        <v>0.14299999999999999</v>
      </c>
      <c r="G81">
        <v>0.1</v>
      </c>
      <c r="H81">
        <v>0.30299999999999999</v>
      </c>
      <c r="I81">
        <v>0.17699999999999999</v>
      </c>
      <c r="J81">
        <v>0.20230000000000001</v>
      </c>
      <c r="K81">
        <v>0.114</v>
      </c>
      <c r="L81">
        <v>0.57999999999999996</v>
      </c>
      <c r="M81">
        <v>1.66</v>
      </c>
      <c r="N81">
        <v>1.1719999999999999</v>
      </c>
      <c r="O81">
        <v>0.87490000000000001</v>
      </c>
      <c r="P81">
        <v>5.8</v>
      </c>
      <c r="Q81">
        <v>0.25700000000000001</v>
      </c>
      <c r="R81">
        <v>0.124</v>
      </c>
      <c r="S81">
        <v>1.37</v>
      </c>
      <c r="T81">
        <v>1.466</v>
      </c>
      <c r="U81">
        <v>7.7000000000000002E-3</v>
      </c>
      <c r="V81">
        <v>1.4808E-2</v>
      </c>
      <c r="W81">
        <v>7.9299999999999995E-2</v>
      </c>
      <c r="X81">
        <v>1.45</v>
      </c>
      <c r="Y81">
        <v>4.28</v>
      </c>
      <c r="Z81">
        <v>38.57</v>
      </c>
      <c r="AA81">
        <v>0.32</v>
      </c>
      <c r="AB81">
        <v>0.127</v>
      </c>
      <c r="AC81">
        <v>5.6449999999999996</v>
      </c>
      <c r="AD81">
        <v>0.17</v>
      </c>
      <c r="AE81">
        <v>0.14423333333333332</v>
      </c>
      <c r="AF81">
        <v>0.17899999999999999</v>
      </c>
      <c r="AG81">
        <v>0.78400000000000003</v>
      </c>
      <c r="AH81">
        <v>1137</v>
      </c>
      <c r="AI81">
        <v>1.5409999999999999</v>
      </c>
      <c r="AJ81">
        <v>1184</v>
      </c>
      <c r="AK81">
        <v>0.1656</v>
      </c>
      <c r="AL81">
        <v>669</v>
      </c>
      <c r="AM81">
        <v>1.296</v>
      </c>
      <c r="AN81">
        <v>1E-3</v>
      </c>
      <c r="AO81">
        <v>6.4799999999999996E-2</v>
      </c>
      <c r="AP81">
        <v>0.26900000000000002</v>
      </c>
      <c r="AQ81">
        <v>0</v>
      </c>
      <c r="AR81">
        <v>1E-3</v>
      </c>
      <c r="AS81">
        <v>1.08</v>
      </c>
      <c r="AT81">
        <v>5.0299999999999997E-2</v>
      </c>
      <c r="AU81">
        <v>0.318</v>
      </c>
      <c r="AV81">
        <v>8.14</v>
      </c>
      <c r="AW81">
        <v>3.8068</v>
      </c>
      <c r="AX81">
        <v>537.12</v>
      </c>
      <c r="AY81">
        <v>3.4762499999999998</v>
      </c>
      <c r="AZ81">
        <v>0.288354</v>
      </c>
      <c r="BA81">
        <v>0.57550000000000001</v>
      </c>
      <c r="BB81">
        <v>0.14399999999999999</v>
      </c>
      <c r="BC81">
        <v>1.6E-2</v>
      </c>
      <c r="BD81">
        <v>6.6159999999999997</v>
      </c>
      <c r="BE81">
        <v>0.73499999999999999</v>
      </c>
      <c r="BF81">
        <v>95.11</v>
      </c>
      <c r="BG81">
        <v>3.64</v>
      </c>
      <c r="BH81">
        <v>0.52</v>
      </c>
      <c r="BI81">
        <v>0.89</v>
      </c>
      <c r="BJ81">
        <v>2.9477000000000002</v>
      </c>
      <c r="BK81">
        <v>3.21</v>
      </c>
      <c r="BL81">
        <v>3.3399999999999999E-2</v>
      </c>
      <c r="BM81">
        <v>2.02</v>
      </c>
      <c r="BN81">
        <v>0.2</v>
      </c>
      <c r="BO81">
        <v>0.83</v>
      </c>
      <c r="BP81">
        <v>0.172429</v>
      </c>
      <c r="BQ81">
        <v>0</v>
      </c>
      <c r="BR81">
        <v>7.3999999999999996E-2</v>
      </c>
      <c r="BS81">
        <v>0.317</v>
      </c>
      <c r="BT81">
        <v>7.4999999999999997E-2</v>
      </c>
      <c r="BU81">
        <v>7.3140000000000002E-3</v>
      </c>
      <c r="BV81">
        <v>2.2689999999999998E-2</v>
      </c>
      <c r="BW81">
        <v>0.112</v>
      </c>
      <c r="BX81">
        <v>0.112</v>
      </c>
      <c r="BY81">
        <v>0.3</v>
      </c>
      <c r="BZ81">
        <v>0.01</v>
      </c>
      <c r="CA81">
        <v>3.1E-2</v>
      </c>
      <c r="CB81">
        <v>5.0000000000000001E-3</v>
      </c>
      <c r="CC81">
        <v>0</v>
      </c>
      <c r="CD81">
        <v>0</v>
      </c>
      <c r="CE81">
        <v>0.45573200000000003</v>
      </c>
      <c r="CF81">
        <v>0.48559999999999998</v>
      </c>
      <c r="CG81">
        <v>1.5789473684210527E-2</v>
      </c>
      <c r="CH81">
        <v>0</v>
      </c>
      <c r="CI81">
        <v>0</v>
      </c>
      <c r="CJ81">
        <v>3.9699999999999996E-3</v>
      </c>
      <c r="CK81">
        <v>0</v>
      </c>
      <c r="CL81">
        <v>0</v>
      </c>
      <c r="CM81">
        <v>4.7083333333333338E-2</v>
      </c>
      <c r="CN81">
        <v>3.235E-3</v>
      </c>
      <c r="CO81">
        <v>2.1999999999999999E-2</v>
      </c>
      <c r="CP81">
        <v>1.4E-2</v>
      </c>
      <c r="CQ81">
        <v>2.3E-3</v>
      </c>
      <c r="CR81">
        <v>8.0000000000000004E-4</v>
      </c>
      <c r="CS81">
        <v>0</v>
      </c>
      <c r="CT81">
        <v>0</v>
      </c>
      <c r="CU81">
        <v>0</v>
      </c>
      <c r="CV81">
        <v>0</v>
      </c>
      <c r="CW81">
        <v>4.4999999999999998E-2</v>
      </c>
      <c r="CX81">
        <v>0</v>
      </c>
      <c r="CY81">
        <v>0</v>
      </c>
      <c r="CZ81">
        <v>0</v>
      </c>
      <c r="DA81">
        <v>0</v>
      </c>
    </row>
    <row r="82" spans="1:105" x14ac:dyDescent="0.25">
      <c r="A82" s="1">
        <v>42643</v>
      </c>
      <c r="B82">
        <v>3.8100000000000002E-2</v>
      </c>
      <c r="C82">
        <v>6.3E-2</v>
      </c>
      <c r="D82">
        <v>3.39</v>
      </c>
      <c r="E82">
        <v>0.121252</v>
      </c>
      <c r="F82">
        <v>0.14299999999999999</v>
      </c>
      <c r="G82">
        <v>0.03</v>
      </c>
      <c r="H82">
        <v>0.25600000000000001</v>
      </c>
      <c r="I82">
        <v>0.17</v>
      </c>
      <c r="J82">
        <v>0.14940000000000001</v>
      </c>
      <c r="K82">
        <v>8.7999999999999995E-2</v>
      </c>
      <c r="L82">
        <v>0.52</v>
      </c>
      <c r="M82">
        <v>1.661</v>
      </c>
      <c r="N82">
        <v>1.1639999999999999</v>
      </c>
      <c r="O82">
        <v>0.81459999999999999</v>
      </c>
      <c r="P82">
        <v>5.2</v>
      </c>
      <c r="Q82">
        <v>0.23</v>
      </c>
      <c r="R82">
        <v>9.6000000000000002E-2</v>
      </c>
      <c r="S82">
        <v>1.17</v>
      </c>
      <c r="T82">
        <v>1.4</v>
      </c>
      <c r="U82">
        <v>5.8999999999999999E-3</v>
      </c>
      <c r="V82">
        <v>9.7900000000000001E-3</v>
      </c>
      <c r="W82">
        <v>9.4500000000000001E-2</v>
      </c>
      <c r="X82">
        <v>1.67</v>
      </c>
      <c r="Y82">
        <v>4.6100000000000003</v>
      </c>
      <c r="Z82">
        <v>34.049999999999997</v>
      </c>
      <c r="AA82">
        <v>0.245</v>
      </c>
      <c r="AB82">
        <v>0.125</v>
      </c>
      <c r="AC82">
        <v>4.8680000000000003</v>
      </c>
      <c r="AD82">
        <v>0.29499999999999998</v>
      </c>
      <c r="AE82">
        <v>0.14299999999999999</v>
      </c>
      <c r="AF82">
        <v>0.17799999999999999</v>
      </c>
      <c r="AG82">
        <v>0.64300000000000002</v>
      </c>
      <c r="AH82">
        <v>1055</v>
      </c>
      <c r="AI82">
        <v>1.0840000000000001</v>
      </c>
      <c r="AJ82">
        <v>1210</v>
      </c>
      <c r="AK82">
        <v>0.39419999999999999</v>
      </c>
      <c r="AL82">
        <v>555</v>
      </c>
      <c r="AM82">
        <v>0.54700000000000004</v>
      </c>
      <c r="AN82">
        <v>0.28799999999999998</v>
      </c>
      <c r="AO82">
        <v>0.252</v>
      </c>
      <c r="AP82">
        <v>0.08</v>
      </c>
      <c r="AQ82">
        <v>0</v>
      </c>
      <c r="AR82">
        <v>1E-3</v>
      </c>
      <c r="AS82">
        <v>1.08</v>
      </c>
      <c r="AT82">
        <v>7.9000000000000001E-2</v>
      </c>
      <c r="AU82">
        <v>1.7999999999999999E-2</v>
      </c>
      <c r="AV82">
        <v>28.57</v>
      </c>
      <c r="AW82">
        <v>3.3580000000000001</v>
      </c>
      <c r="AX82">
        <v>537.12</v>
      </c>
      <c r="AY82">
        <v>3.4299999999999997</v>
      </c>
      <c r="AZ82">
        <v>0.2281</v>
      </c>
      <c r="BA82">
        <v>0.55420000000000003</v>
      </c>
      <c r="BB82">
        <v>0.13800000000000001</v>
      </c>
      <c r="BC82">
        <v>2.1999999999999999E-2</v>
      </c>
      <c r="BD82">
        <v>6.0049999999999999</v>
      </c>
      <c r="BE82">
        <v>1.2743</v>
      </c>
      <c r="BF82">
        <v>97.03</v>
      </c>
      <c r="BG82">
        <v>3.53</v>
      </c>
      <c r="BH82">
        <v>0.63</v>
      </c>
      <c r="BI82">
        <v>0.67</v>
      </c>
      <c r="BJ82">
        <v>2.4352</v>
      </c>
      <c r="BK82">
        <v>2.4929999999999999</v>
      </c>
      <c r="BL82">
        <v>2.7E-2</v>
      </c>
      <c r="BM82">
        <v>1.95</v>
      </c>
      <c r="BN82">
        <v>0.2</v>
      </c>
      <c r="BO82">
        <v>0.73</v>
      </c>
      <c r="BP82">
        <v>0.20882000000000001</v>
      </c>
      <c r="BQ82">
        <v>0</v>
      </c>
      <c r="BR82">
        <v>5.1999999999999998E-2</v>
      </c>
      <c r="BS82">
        <v>0.313</v>
      </c>
      <c r="BT82">
        <v>7.9000000000000001E-2</v>
      </c>
      <c r="BU82">
        <v>4.764E-3</v>
      </c>
      <c r="BV82">
        <v>1.9740000000000001E-2</v>
      </c>
      <c r="BW82">
        <v>0.108</v>
      </c>
      <c r="BX82">
        <v>0.108</v>
      </c>
      <c r="BY82">
        <v>0.251</v>
      </c>
      <c r="BZ82">
        <v>8.0000000000000002E-3</v>
      </c>
      <c r="CA82">
        <v>3.15E-2</v>
      </c>
      <c r="CB82">
        <v>4.0000000000000001E-3</v>
      </c>
      <c r="CC82">
        <v>0</v>
      </c>
      <c r="CD82">
        <v>0</v>
      </c>
      <c r="CE82">
        <v>0.43535099999999999</v>
      </c>
      <c r="CF82">
        <v>0.44219999999999998</v>
      </c>
      <c r="CG82">
        <v>1.6105263157894734E-2</v>
      </c>
      <c r="CH82">
        <v>0</v>
      </c>
      <c r="CI82">
        <v>0</v>
      </c>
      <c r="CJ82">
        <v>4.0689999999999997E-3</v>
      </c>
      <c r="CK82">
        <v>0</v>
      </c>
      <c r="CL82">
        <v>0</v>
      </c>
      <c r="CM82">
        <v>5.1666666666666673E-2</v>
      </c>
      <c r="CN82">
        <v>3.2741666666666665E-3</v>
      </c>
      <c r="CO82">
        <v>2.1999999999999999E-2</v>
      </c>
      <c r="CP82">
        <v>1.2999999999999999E-2</v>
      </c>
      <c r="CQ82">
        <v>2.3E-3</v>
      </c>
      <c r="CR82">
        <v>5.9999999999999995E-4</v>
      </c>
      <c r="CS82">
        <v>0</v>
      </c>
      <c r="CT82">
        <v>0</v>
      </c>
      <c r="CU82">
        <v>0</v>
      </c>
      <c r="CV82">
        <v>0</v>
      </c>
      <c r="CW82">
        <v>4.1000000000000002E-2</v>
      </c>
      <c r="CX82">
        <v>0</v>
      </c>
      <c r="CY82">
        <v>0</v>
      </c>
      <c r="CZ82">
        <v>0</v>
      </c>
      <c r="DA82">
        <v>0</v>
      </c>
    </row>
    <row r="83" spans="1:105" x14ac:dyDescent="0.25">
      <c r="A83" s="1">
        <v>42674</v>
      </c>
      <c r="B83">
        <v>3.3799999999999997E-2</v>
      </c>
      <c r="C83">
        <v>1.4E-2</v>
      </c>
      <c r="D83">
        <v>3.18</v>
      </c>
      <c r="E83">
        <v>0.108178</v>
      </c>
      <c r="F83">
        <v>0.13400000000000001</v>
      </c>
      <c r="G83">
        <v>3.6999999999999998E-2</v>
      </c>
      <c r="H83">
        <v>0.218</v>
      </c>
      <c r="I83">
        <v>0.157</v>
      </c>
      <c r="J83">
        <v>0.1241</v>
      </c>
      <c r="K83">
        <v>0.08</v>
      </c>
      <c r="L83">
        <v>0.49</v>
      </c>
      <c r="M83">
        <v>1.5</v>
      </c>
      <c r="N83">
        <v>1.0029999999999999</v>
      </c>
      <c r="O83">
        <v>0.74229999999999996</v>
      </c>
      <c r="P83">
        <v>4.5</v>
      </c>
      <c r="Q83">
        <v>0.19800000000000001</v>
      </c>
      <c r="R83">
        <v>8.4000000000000005E-2</v>
      </c>
      <c r="S83">
        <v>1.1499999999999999</v>
      </c>
      <c r="T83">
        <v>1.242</v>
      </c>
      <c r="U83">
        <v>3.7000000000000002E-3</v>
      </c>
      <c r="V83">
        <v>9.1020000000000007E-3</v>
      </c>
      <c r="W83">
        <v>8.0699999999999994E-2</v>
      </c>
      <c r="X83">
        <v>1.4</v>
      </c>
      <c r="Y83">
        <v>6.18</v>
      </c>
      <c r="Z83">
        <v>29.5</v>
      </c>
      <c r="AA83">
        <v>0.17</v>
      </c>
      <c r="AB83">
        <v>0.11600000000000001</v>
      </c>
      <c r="AC83">
        <v>4.3550000000000004</v>
      </c>
      <c r="AD83">
        <v>0.03</v>
      </c>
      <c r="AE83">
        <v>0.13</v>
      </c>
      <c r="AF83">
        <v>0.159</v>
      </c>
      <c r="AG83">
        <v>0.55700000000000005</v>
      </c>
      <c r="AH83">
        <v>534</v>
      </c>
      <c r="AI83">
        <v>1.2490000000000001</v>
      </c>
      <c r="AJ83">
        <v>1210</v>
      </c>
      <c r="AK83">
        <v>0.62280000000000002</v>
      </c>
      <c r="AL83">
        <v>494</v>
      </c>
      <c r="AM83">
        <v>0.87480000000000002</v>
      </c>
      <c r="AN83">
        <v>0.14449999999999999</v>
      </c>
      <c r="AO83">
        <v>0.14550000000000002</v>
      </c>
      <c r="AP83">
        <v>5.45E-2</v>
      </c>
      <c r="AQ83">
        <v>0</v>
      </c>
      <c r="AR83">
        <v>1E-3</v>
      </c>
      <c r="AS83">
        <v>0.64</v>
      </c>
      <c r="AT83">
        <v>5.5400000000000005E-2</v>
      </c>
      <c r="AU83">
        <v>6.0999999999999999E-2</v>
      </c>
      <c r="AV83">
        <v>19.64</v>
      </c>
      <c r="AW83">
        <v>3.0507</v>
      </c>
      <c r="AX83">
        <v>537.12</v>
      </c>
      <c r="AY83">
        <v>3.38375</v>
      </c>
      <c r="AZ83">
        <v>0.131323</v>
      </c>
      <c r="BA83">
        <v>0.61460000000000004</v>
      </c>
      <c r="BB83">
        <v>0.13900000000000001</v>
      </c>
      <c r="BC83">
        <v>1.7999999999999999E-2</v>
      </c>
      <c r="BD83">
        <v>5.3380000000000001</v>
      </c>
      <c r="BE83">
        <v>0.4113</v>
      </c>
      <c r="BF83">
        <v>88.89</v>
      </c>
      <c r="BG83">
        <v>3.46</v>
      </c>
      <c r="BH83">
        <v>0.65</v>
      </c>
      <c r="BI83">
        <v>0.73</v>
      </c>
      <c r="BJ83">
        <v>2.2885</v>
      </c>
      <c r="BK83">
        <v>1.8839999999999999</v>
      </c>
      <c r="BL83">
        <v>2.3E-2</v>
      </c>
      <c r="BM83">
        <v>1.67</v>
      </c>
      <c r="BN83">
        <v>0.13</v>
      </c>
      <c r="BO83">
        <v>0.63</v>
      </c>
      <c r="BP83">
        <v>0.17796799999999999</v>
      </c>
      <c r="BQ83">
        <v>0</v>
      </c>
      <c r="BR83">
        <v>4.7E-2</v>
      </c>
      <c r="BS83">
        <v>0.32800000000000001</v>
      </c>
      <c r="BT83">
        <v>5.0999999999999997E-2</v>
      </c>
      <c r="BU83">
        <v>5.4180000000000001E-3</v>
      </c>
      <c r="BV83">
        <v>2.299E-2</v>
      </c>
      <c r="BW83">
        <v>0.104</v>
      </c>
      <c r="BX83">
        <v>0.104</v>
      </c>
      <c r="BY83">
        <v>0.23799999999999999</v>
      </c>
      <c r="BZ83">
        <v>7.0000000000000001E-3</v>
      </c>
      <c r="CA83">
        <v>3.15E-2</v>
      </c>
      <c r="CB83">
        <v>0.06</v>
      </c>
      <c r="CC83">
        <v>0</v>
      </c>
      <c r="CD83">
        <v>0</v>
      </c>
      <c r="CE83">
        <v>0.43354700000000002</v>
      </c>
      <c r="CF83">
        <v>0.41410000000000002</v>
      </c>
      <c r="CG83">
        <v>1.6421052631578947E-2</v>
      </c>
      <c r="CH83">
        <v>0.9</v>
      </c>
      <c r="CI83">
        <v>0</v>
      </c>
      <c r="CJ83">
        <v>4.1200000000000004E-3</v>
      </c>
      <c r="CK83">
        <v>0</v>
      </c>
      <c r="CL83">
        <v>0</v>
      </c>
      <c r="CM83">
        <v>5.6250000000000008E-2</v>
      </c>
      <c r="CN83">
        <v>3.3133333333333335E-3</v>
      </c>
      <c r="CO83">
        <v>2.1999999999999999E-2</v>
      </c>
      <c r="CP83">
        <v>1.4E-2</v>
      </c>
      <c r="CQ83">
        <v>2.3E-3</v>
      </c>
      <c r="CR83">
        <v>5.9999999999999995E-4</v>
      </c>
      <c r="CS83">
        <v>0</v>
      </c>
      <c r="CT83">
        <v>0</v>
      </c>
      <c r="CU83">
        <v>0</v>
      </c>
      <c r="CV83">
        <v>0</v>
      </c>
      <c r="CW83">
        <v>4.3999999999999997E-2</v>
      </c>
      <c r="CX83">
        <v>0</v>
      </c>
      <c r="CY83">
        <v>0</v>
      </c>
      <c r="CZ83">
        <v>0</v>
      </c>
      <c r="DA83">
        <v>0</v>
      </c>
    </row>
    <row r="84" spans="1:105" x14ac:dyDescent="0.25">
      <c r="A84" s="1">
        <v>42704</v>
      </c>
      <c r="B84">
        <v>2.5700000000000001E-2</v>
      </c>
      <c r="C84">
        <v>8.0000000000000002E-3</v>
      </c>
      <c r="D84">
        <v>3.26</v>
      </c>
      <c r="E84">
        <v>0.111289</v>
      </c>
      <c r="F84">
        <v>0.126</v>
      </c>
      <c r="G84">
        <v>0.08</v>
      </c>
      <c r="H84">
        <v>0.253</v>
      </c>
      <c r="I84">
        <v>0.17100000000000001</v>
      </c>
      <c r="J84">
        <v>0.1225</v>
      </c>
      <c r="K84">
        <v>8.2000000000000003E-2</v>
      </c>
      <c r="L84">
        <v>0.44</v>
      </c>
      <c r="M84">
        <v>1.5409999999999999</v>
      </c>
      <c r="N84">
        <v>1.1180000000000001</v>
      </c>
      <c r="O84">
        <v>0.77949999999999997</v>
      </c>
      <c r="P84">
        <v>4.7</v>
      </c>
      <c r="Q84">
        <v>0.19500000000000001</v>
      </c>
      <c r="R84">
        <v>9.0999999999999998E-2</v>
      </c>
      <c r="S84">
        <v>1.3</v>
      </c>
      <c r="T84">
        <v>1.272</v>
      </c>
      <c r="U84">
        <v>4.5999999999999999E-3</v>
      </c>
      <c r="V84">
        <v>9.3340000000000003E-3</v>
      </c>
      <c r="W84">
        <v>0.1091</v>
      </c>
      <c r="X84">
        <v>1.95</v>
      </c>
      <c r="Y84">
        <v>4.57</v>
      </c>
      <c r="Z84">
        <v>31.61</v>
      </c>
      <c r="AA84">
        <v>0.17</v>
      </c>
      <c r="AB84">
        <v>0.10199999999999999</v>
      </c>
      <c r="AC84">
        <v>4.75</v>
      </c>
      <c r="AD84">
        <v>0.02</v>
      </c>
      <c r="AE84">
        <v>0.13400000000000001</v>
      </c>
      <c r="AF84">
        <v>0.16500000000000001</v>
      </c>
      <c r="AG84">
        <v>0.57599999999999996</v>
      </c>
      <c r="AH84">
        <v>640</v>
      </c>
      <c r="AI84">
        <v>0.91100000000000003</v>
      </c>
      <c r="AJ84">
        <v>1140</v>
      </c>
      <c r="AK84">
        <v>0.85140000000000005</v>
      </c>
      <c r="AL84">
        <v>356</v>
      </c>
      <c r="AM84">
        <v>1.2025999999999999</v>
      </c>
      <c r="AN84">
        <v>1E-3</v>
      </c>
      <c r="AO84">
        <v>3.9E-2</v>
      </c>
      <c r="AP84">
        <v>2.9000000000000001E-2</v>
      </c>
      <c r="AQ84">
        <v>0</v>
      </c>
      <c r="AR84">
        <v>1E-3</v>
      </c>
      <c r="AS84">
        <v>0.28799999999999998</v>
      </c>
      <c r="AT84">
        <v>3.1800000000000002E-2</v>
      </c>
      <c r="AU84">
        <v>1.0999999999999999E-2</v>
      </c>
      <c r="AV84">
        <v>5.91</v>
      </c>
      <c r="AW84">
        <v>3.0169999999999999</v>
      </c>
      <c r="AX84">
        <v>347.52</v>
      </c>
      <c r="AY84">
        <v>3.3374999999999999</v>
      </c>
      <c r="AZ84">
        <v>0.20150000000000001</v>
      </c>
      <c r="BA84">
        <v>0.5716</v>
      </c>
      <c r="BB84">
        <v>0.126</v>
      </c>
      <c r="BC84">
        <v>1.6E-2</v>
      </c>
      <c r="BD84">
        <v>5.9020000000000001</v>
      </c>
      <c r="BE84">
        <v>0.37180000000000002</v>
      </c>
      <c r="BF84">
        <v>89.73</v>
      </c>
      <c r="BG84">
        <v>3.57</v>
      </c>
      <c r="BH84">
        <v>0.61</v>
      </c>
      <c r="BI84">
        <v>0.49</v>
      </c>
      <c r="BJ84">
        <v>2.4725000000000001</v>
      </c>
      <c r="BK84">
        <v>2.181</v>
      </c>
      <c r="BL84">
        <v>0.3</v>
      </c>
      <c r="BM84">
        <v>1.28</v>
      </c>
      <c r="BN84">
        <v>0.2</v>
      </c>
      <c r="BO84">
        <v>0.66</v>
      </c>
      <c r="BP84">
        <v>0.201375</v>
      </c>
      <c r="BQ84">
        <v>0</v>
      </c>
      <c r="BR84">
        <v>5.1999999999999998E-2</v>
      </c>
      <c r="BS84">
        <v>0.317</v>
      </c>
      <c r="BT84">
        <v>4.7E-2</v>
      </c>
      <c r="BU84">
        <v>4.607E-3</v>
      </c>
      <c r="BV84">
        <v>1.311E-2</v>
      </c>
      <c r="BW84">
        <v>0.109</v>
      </c>
      <c r="BX84">
        <v>0.109</v>
      </c>
      <c r="BY84">
        <v>0.26800000000000002</v>
      </c>
      <c r="BZ84">
        <v>8.0000000000000002E-3</v>
      </c>
      <c r="CA84">
        <v>2.6749999999999999E-2</v>
      </c>
      <c r="CB84">
        <v>5.0000000000000001E-3</v>
      </c>
      <c r="CC84">
        <v>0</v>
      </c>
      <c r="CD84">
        <v>0</v>
      </c>
      <c r="CE84">
        <v>0.42882399999999998</v>
      </c>
      <c r="CF84">
        <v>0.47410000000000002</v>
      </c>
      <c r="CG84">
        <v>1.6736842105263158E-2</v>
      </c>
      <c r="CH84">
        <v>1</v>
      </c>
      <c r="CI84">
        <v>0</v>
      </c>
      <c r="CJ84">
        <v>3.47E-3</v>
      </c>
      <c r="CK84">
        <v>0</v>
      </c>
      <c r="CL84">
        <v>0</v>
      </c>
      <c r="CM84">
        <v>6.0833333333333343E-2</v>
      </c>
      <c r="CN84">
        <v>3.3525E-3</v>
      </c>
      <c r="CO84">
        <v>2.1999999999999999E-2</v>
      </c>
      <c r="CP84">
        <v>1.4999999999999999E-2</v>
      </c>
      <c r="CQ84">
        <v>3.5999999999999999E-3</v>
      </c>
      <c r="CR84">
        <v>5.0000000000000001E-4</v>
      </c>
      <c r="CS84">
        <v>0</v>
      </c>
      <c r="CT84">
        <v>0</v>
      </c>
      <c r="CU84">
        <v>1.4300000000000001E-3</v>
      </c>
      <c r="CV84">
        <v>0</v>
      </c>
      <c r="CW84">
        <v>4.9000000000000002E-2</v>
      </c>
      <c r="CX84">
        <v>0</v>
      </c>
      <c r="CY84">
        <v>0</v>
      </c>
      <c r="CZ84">
        <v>0</v>
      </c>
      <c r="DA84">
        <v>0</v>
      </c>
    </row>
    <row r="85" spans="1:105" x14ac:dyDescent="0.25">
      <c r="A85" s="1">
        <v>42735</v>
      </c>
      <c r="B85">
        <v>3.0599999999999999E-2</v>
      </c>
      <c r="C85">
        <v>1.2999999999999999E-2</v>
      </c>
      <c r="D85">
        <v>3.45</v>
      </c>
      <c r="E85">
        <v>0.12734500000000001</v>
      </c>
      <c r="F85">
        <v>0.14399999999999999</v>
      </c>
      <c r="G85">
        <v>0.11</v>
      </c>
      <c r="H85">
        <v>0.33800000000000002</v>
      </c>
      <c r="I85">
        <v>0.185</v>
      </c>
      <c r="J85">
        <v>0.1603</v>
      </c>
      <c r="K85">
        <v>8.8999999999999996E-2</v>
      </c>
      <c r="L85">
        <v>0.502</v>
      </c>
      <c r="M85">
        <v>2.0670000000000002</v>
      </c>
      <c r="N85">
        <v>1.1759999999999999</v>
      </c>
      <c r="O85">
        <v>0.86470000000000002</v>
      </c>
      <c r="P85">
        <v>4.8</v>
      </c>
      <c r="Q85">
        <v>0.317</v>
      </c>
      <c r="R85">
        <v>8.5000000000000006E-2</v>
      </c>
      <c r="S85">
        <v>1.1359999999999999</v>
      </c>
      <c r="T85">
        <v>1.369</v>
      </c>
      <c r="U85">
        <v>8.6E-3</v>
      </c>
      <c r="V85">
        <v>5.4999999999999997E-3</v>
      </c>
      <c r="W85">
        <v>9.8699999999999996E-2</v>
      </c>
      <c r="X85">
        <v>2.08</v>
      </c>
      <c r="Y85">
        <v>5.04</v>
      </c>
      <c r="Z85">
        <v>43.49</v>
      </c>
      <c r="AA85">
        <v>0.17</v>
      </c>
      <c r="AB85">
        <v>0.13500000000000001</v>
      </c>
      <c r="AC85">
        <v>5.6360000000000001</v>
      </c>
      <c r="AD85">
        <v>0.04</v>
      </c>
      <c r="AE85">
        <v>0.127</v>
      </c>
      <c r="AF85">
        <v>0.14199999999999999</v>
      </c>
      <c r="AG85">
        <v>0.70099999999999996</v>
      </c>
      <c r="AH85">
        <v>966</v>
      </c>
      <c r="AI85">
        <v>0.93899999999999995</v>
      </c>
      <c r="AJ85">
        <v>1037</v>
      </c>
      <c r="AK85">
        <v>1.08</v>
      </c>
      <c r="AL85">
        <v>274</v>
      </c>
      <c r="AM85">
        <v>1.5304</v>
      </c>
      <c r="AN85">
        <v>0.34810000000000002</v>
      </c>
      <c r="AO85">
        <v>3.9E-2</v>
      </c>
      <c r="AP85">
        <v>2.5000000000000001E-2</v>
      </c>
      <c r="AQ85">
        <v>0</v>
      </c>
      <c r="AR85">
        <v>1E-3</v>
      </c>
      <c r="AS85">
        <v>1.4144000000000001</v>
      </c>
      <c r="AT85">
        <v>8.2000000000000007E-3</v>
      </c>
      <c r="AU85">
        <v>2.5999999999999999E-2</v>
      </c>
      <c r="AV85">
        <v>32.619999999999997</v>
      </c>
      <c r="AW85">
        <v>3.6038999999999999</v>
      </c>
      <c r="AX85">
        <v>424.94</v>
      </c>
      <c r="AY85">
        <v>3.2912499999999998</v>
      </c>
      <c r="AZ85">
        <v>0.231548</v>
      </c>
      <c r="BA85">
        <v>0.63139999999999996</v>
      </c>
      <c r="BB85">
        <v>0.106</v>
      </c>
      <c r="BC85">
        <v>1.7000000000000001E-2</v>
      </c>
      <c r="BD85">
        <v>6.92</v>
      </c>
      <c r="BE85">
        <v>0.80210000000000004</v>
      </c>
      <c r="BF85">
        <v>102.24</v>
      </c>
      <c r="BG85">
        <v>3.32</v>
      </c>
      <c r="BH85">
        <v>0.49</v>
      </c>
      <c r="BI85">
        <v>0.28000000000000003</v>
      </c>
      <c r="BJ85">
        <v>2.6345000000000001</v>
      </c>
      <c r="BK85">
        <v>2.8860000000000001</v>
      </c>
      <c r="BL85">
        <v>0.03</v>
      </c>
      <c r="BM85">
        <v>1.65</v>
      </c>
      <c r="BN85">
        <v>0.3</v>
      </c>
      <c r="BO85">
        <v>0.82</v>
      </c>
      <c r="BP85">
        <v>0.12174699999999999</v>
      </c>
      <c r="BQ85">
        <v>0</v>
      </c>
      <c r="BR85">
        <v>7.1999999999999995E-2</v>
      </c>
      <c r="BS85">
        <v>0.32800000000000001</v>
      </c>
      <c r="BT85">
        <v>0.05</v>
      </c>
      <c r="BU85">
        <v>4.8900000000000002E-3</v>
      </c>
      <c r="BV85">
        <v>1.652E-2</v>
      </c>
      <c r="BW85">
        <v>0.11600000000000001</v>
      </c>
      <c r="BX85">
        <v>0.11600000000000001</v>
      </c>
      <c r="BY85">
        <v>0.22800000000000001</v>
      </c>
      <c r="BZ85">
        <v>0.01</v>
      </c>
      <c r="CA85">
        <v>2.1999999999999999E-2</v>
      </c>
      <c r="CB85">
        <v>7.0000000000000001E-3</v>
      </c>
      <c r="CC85">
        <v>0</v>
      </c>
      <c r="CD85">
        <v>0</v>
      </c>
      <c r="CE85">
        <v>0.455432</v>
      </c>
      <c r="CF85">
        <v>0.49719999999999998</v>
      </c>
      <c r="CG85">
        <v>1.7052631578947368E-2</v>
      </c>
      <c r="CH85">
        <v>1.1000000000000001</v>
      </c>
      <c r="CI85">
        <v>0</v>
      </c>
      <c r="CJ85">
        <v>4.0499999999999998E-3</v>
      </c>
      <c r="CK85">
        <v>0</v>
      </c>
      <c r="CL85">
        <v>0</v>
      </c>
      <c r="CM85">
        <v>6.5416666666666679E-2</v>
      </c>
      <c r="CN85">
        <v>3.3916666666666665E-3</v>
      </c>
      <c r="CO85">
        <v>2.5000000000000001E-2</v>
      </c>
      <c r="CP85">
        <v>1.4999999999999999E-2</v>
      </c>
      <c r="CQ85">
        <v>4.1999999999999997E-3</v>
      </c>
      <c r="CR85">
        <v>8.0000000000000004E-4</v>
      </c>
      <c r="CS85">
        <v>0</v>
      </c>
      <c r="CT85">
        <v>0</v>
      </c>
      <c r="CU85">
        <v>2.0600000000000002E-3</v>
      </c>
      <c r="CV85">
        <v>0</v>
      </c>
      <c r="CW85">
        <v>5.1999999999999998E-2</v>
      </c>
      <c r="CX85">
        <v>0</v>
      </c>
      <c r="CY85">
        <v>0</v>
      </c>
      <c r="CZ85">
        <v>0</v>
      </c>
      <c r="DA85">
        <v>0</v>
      </c>
    </row>
    <row r="86" spans="1:105" x14ac:dyDescent="0.25">
      <c r="A86" s="1">
        <v>42766</v>
      </c>
      <c r="B86">
        <v>2.4199999999999999E-2</v>
      </c>
      <c r="C86">
        <v>2.7E-2</v>
      </c>
      <c r="D86">
        <v>2.84</v>
      </c>
      <c r="E86">
        <v>0.130524</v>
      </c>
      <c r="F86">
        <v>0.129</v>
      </c>
      <c r="G86">
        <v>0.1</v>
      </c>
      <c r="H86">
        <v>0.27300000000000002</v>
      </c>
      <c r="I86">
        <v>0.16800000000000001</v>
      </c>
      <c r="J86">
        <v>0.17899999999999999</v>
      </c>
      <c r="K86">
        <v>8.8999999999999996E-2</v>
      </c>
      <c r="L86">
        <v>0.495</v>
      </c>
      <c r="M86">
        <v>1.772</v>
      </c>
      <c r="N86">
        <v>1.083</v>
      </c>
      <c r="O86">
        <v>0.8871</v>
      </c>
      <c r="P86">
        <v>4.9000000000000004</v>
      </c>
      <c r="Q86">
        <v>0.26600000000000001</v>
      </c>
      <c r="R86">
        <v>8.1000000000000003E-2</v>
      </c>
      <c r="S86">
        <v>1.05</v>
      </c>
      <c r="T86">
        <v>1.353</v>
      </c>
      <c r="U86">
        <v>6.3E-3</v>
      </c>
      <c r="V86">
        <v>5.1500000000000001E-3</v>
      </c>
      <c r="W86">
        <v>9.4E-2</v>
      </c>
      <c r="X86">
        <v>2</v>
      </c>
      <c r="Y86">
        <v>4.8099999999999996</v>
      </c>
      <c r="Z86">
        <v>34.89</v>
      </c>
      <c r="AA86">
        <v>0.17</v>
      </c>
      <c r="AB86">
        <v>0.104</v>
      </c>
      <c r="AC86">
        <v>4.931</v>
      </c>
      <c r="AD86">
        <v>0.05</v>
      </c>
      <c r="AE86">
        <v>0.14000000000000001</v>
      </c>
      <c r="AF86">
        <v>0.152</v>
      </c>
      <c r="AG86">
        <v>0.55100000000000005</v>
      </c>
      <c r="AH86">
        <v>890</v>
      </c>
      <c r="AI86">
        <v>0.67300000000000004</v>
      </c>
      <c r="AJ86">
        <v>855</v>
      </c>
      <c r="AK86">
        <v>0.62280000000000002</v>
      </c>
      <c r="AL86">
        <v>274</v>
      </c>
      <c r="AM86">
        <v>1.9217499999999998</v>
      </c>
      <c r="AN86">
        <v>8.2000000000000007E-3</v>
      </c>
      <c r="AO86">
        <v>6.7000000000000004E-2</v>
      </c>
      <c r="AP86">
        <v>6.4199999999999993E-2</v>
      </c>
      <c r="AQ86">
        <v>0</v>
      </c>
      <c r="AR86">
        <v>0.50430000000000008</v>
      </c>
      <c r="AS86">
        <v>0.26300000000000001</v>
      </c>
      <c r="AT86">
        <v>3.6150000000000002E-2</v>
      </c>
      <c r="AU86">
        <v>3.2000000000000001E-2</v>
      </c>
      <c r="AV86">
        <v>6.24</v>
      </c>
      <c r="AW86">
        <v>3.1</v>
      </c>
      <c r="AX86">
        <v>366.2</v>
      </c>
      <c r="AY86">
        <v>3.2450000000000001</v>
      </c>
      <c r="AZ86">
        <v>0.20899999999999999</v>
      </c>
      <c r="BA86">
        <v>0.58099999999999996</v>
      </c>
      <c r="BB86">
        <v>9.4E-2</v>
      </c>
      <c r="BC86">
        <v>1.7999999999999999E-2</v>
      </c>
      <c r="BD86">
        <v>6.2380000000000004</v>
      </c>
      <c r="BE86">
        <v>0.3342</v>
      </c>
      <c r="BF86">
        <v>93.96</v>
      </c>
      <c r="BG86">
        <v>3.19</v>
      </c>
      <c r="BH86">
        <v>0.3</v>
      </c>
      <c r="BI86">
        <v>0.39</v>
      </c>
      <c r="BJ86">
        <v>2.3687</v>
      </c>
      <c r="BK86">
        <v>2.145</v>
      </c>
      <c r="BL86">
        <v>3.5000000000000003E-2</v>
      </c>
      <c r="BM86">
        <v>1.39</v>
      </c>
      <c r="BN86">
        <v>0.2</v>
      </c>
      <c r="BO86">
        <v>0.73699999999999999</v>
      </c>
      <c r="BP86">
        <v>0.15349699999999999</v>
      </c>
      <c r="BQ86">
        <v>0</v>
      </c>
      <c r="BR86">
        <v>5.5E-2</v>
      </c>
      <c r="BS86">
        <v>0.33900000000000002</v>
      </c>
      <c r="BT86">
        <v>5.6000000000000001E-2</v>
      </c>
      <c r="BU86">
        <v>5.1710000000000002E-3</v>
      </c>
      <c r="BV86">
        <v>1.4120000000000001E-2</v>
      </c>
      <c r="BW86">
        <v>0.125</v>
      </c>
      <c r="BX86">
        <v>0.125</v>
      </c>
      <c r="BY86">
        <v>0.29399999999999998</v>
      </c>
      <c r="BZ86">
        <v>7.0000000000000001E-3</v>
      </c>
      <c r="CA86">
        <v>2.1999999999999999E-2</v>
      </c>
      <c r="CB86">
        <v>8.9999999999999993E-3</v>
      </c>
      <c r="CC86">
        <v>0</v>
      </c>
      <c r="CD86">
        <v>0</v>
      </c>
      <c r="CE86">
        <v>0.42786999999999997</v>
      </c>
      <c r="CF86">
        <v>0.50329999999999997</v>
      </c>
      <c r="CG86">
        <v>1.7368421052631578E-2</v>
      </c>
      <c r="CH86">
        <v>1.3</v>
      </c>
      <c r="CI86">
        <v>0</v>
      </c>
      <c r="CJ86">
        <v>3.6619999999999999E-3</v>
      </c>
      <c r="CK86">
        <v>0</v>
      </c>
      <c r="CL86">
        <v>0</v>
      </c>
      <c r="CM86">
        <v>7.0000000000000007E-2</v>
      </c>
      <c r="CN86">
        <v>3.4308333333333335E-3</v>
      </c>
      <c r="CO86">
        <v>2.5000000000000001E-2</v>
      </c>
      <c r="CP86">
        <v>1.9E-2</v>
      </c>
      <c r="CQ86">
        <v>3.8E-3</v>
      </c>
      <c r="CR86">
        <v>6.9999999999999999E-4</v>
      </c>
      <c r="CS86">
        <v>0</v>
      </c>
      <c r="CT86">
        <v>0</v>
      </c>
      <c r="CU86">
        <v>2.7499999999999998E-3</v>
      </c>
      <c r="CV86">
        <v>0</v>
      </c>
      <c r="CW86">
        <v>4.2000000000000003E-2</v>
      </c>
      <c r="CX86">
        <v>0</v>
      </c>
      <c r="CY86">
        <v>0</v>
      </c>
      <c r="CZ86">
        <v>0</v>
      </c>
      <c r="DA86">
        <v>0</v>
      </c>
    </row>
    <row r="87" spans="1:105" x14ac:dyDescent="0.25">
      <c r="A87" s="1">
        <v>42794</v>
      </c>
      <c r="B87">
        <v>0.01</v>
      </c>
      <c r="C87">
        <v>4.2999999999999997E-2</v>
      </c>
      <c r="D87">
        <v>3.19</v>
      </c>
      <c r="E87">
        <v>0.150204</v>
      </c>
      <c r="F87">
        <v>0.13400000000000001</v>
      </c>
      <c r="G87">
        <v>0.1</v>
      </c>
      <c r="H87">
        <v>0.26600000000000001</v>
      </c>
      <c r="I87">
        <v>0.17</v>
      </c>
      <c r="J87">
        <v>0.1168</v>
      </c>
      <c r="K87">
        <v>0.1</v>
      </c>
      <c r="L87">
        <v>0.46300000000000002</v>
      </c>
      <c r="M87">
        <v>1.8580000000000001</v>
      </c>
      <c r="N87">
        <v>1.0209999999999999</v>
      </c>
      <c r="O87">
        <v>0.92589999999999995</v>
      </c>
      <c r="P87">
        <v>4.9000000000000004</v>
      </c>
      <c r="Q87">
        <v>0.23300000000000001</v>
      </c>
      <c r="R87">
        <v>8.8999999999999996E-2</v>
      </c>
      <c r="S87">
        <v>1.19</v>
      </c>
      <c r="T87">
        <v>1.2669999999999999</v>
      </c>
      <c r="U87">
        <v>5.5999999999999999E-3</v>
      </c>
      <c r="V87">
        <v>4.8500000000000001E-3</v>
      </c>
      <c r="W87">
        <v>9.0800000000000006E-2</v>
      </c>
      <c r="X87">
        <v>2.27</v>
      </c>
      <c r="Y87">
        <v>5.28</v>
      </c>
      <c r="Z87">
        <v>37.75</v>
      </c>
      <c r="AA87">
        <v>0.17</v>
      </c>
      <c r="AB87">
        <v>0.111</v>
      </c>
      <c r="AC87">
        <v>5.2430000000000003</v>
      </c>
      <c r="AD87">
        <v>0.05</v>
      </c>
      <c r="AE87">
        <v>0.14399999999999999</v>
      </c>
      <c r="AF87">
        <v>0.14399999999999999</v>
      </c>
      <c r="AG87">
        <v>0.54100000000000004</v>
      </c>
      <c r="AH87">
        <v>882</v>
      </c>
      <c r="AI87">
        <v>0.623</v>
      </c>
      <c r="AJ87">
        <v>1039</v>
      </c>
      <c r="AK87">
        <v>0.1656</v>
      </c>
      <c r="AL87">
        <v>175</v>
      </c>
      <c r="AM87">
        <v>2.3130999999999999</v>
      </c>
      <c r="AN87">
        <v>6.8099999999999994E-2</v>
      </c>
      <c r="AO87">
        <v>6.7000000000000004E-2</v>
      </c>
      <c r="AP87">
        <v>6.4199999999999993E-2</v>
      </c>
      <c r="AQ87">
        <v>0</v>
      </c>
      <c r="AR87">
        <v>1.0076000000000001</v>
      </c>
      <c r="AS87">
        <v>0.16844999999999999</v>
      </c>
      <c r="AT87">
        <v>6.4100000000000004E-2</v>
      </c>
      <c r="AU87">
        <v>3.4000000000000002E-2</v>
      </c>
      <c r="AV87">
        <v>12.6</v>
      </c>
      <c r="AW87">
        <v>3.0655000000000001</v>
      </c>
      <c r="AX87">
        <v>149.68</v>
      </c>
      <c r="AY87">
        <v>3.19875</v>
      </c>
      <c r="AZ87">
        <v>0.228107</v>
      </c>
      <c r="BA87">
        <v>0.58220000000000005</v>
      </c>
      <c r="BB87">
        <v>9.5000000000000001E-2</v>
      </c>
      <c r="BC87">
        <v>1.7999999999999999E-2</v>
      </c>
      <c r="BD87">
        <v>6.5060000000000002</v>
      </c>
      <c r="BE87">
        <v>0.38891999999999999</v>
      </c>
      <c r="BF87">
        <v>101.65</v>
      </c>
      <c r="BG87">
        <v>3.26</v>
      </c>
      <c r="BH87">
        <v>0.12</v>
      </c>
      <c r="BI87">
        <v>0.36</v>
      </c>
      <c r="BJ87">
        <v>2.1821999999999999</v>
      </c>
      <c r="BK87">
        <v>2.48</v>
      </c>
      <c r="BL87">
        <v>2.7349999999999999E-2</v>
      </c>
      <c r="BM87">
        <v>1.34</v>
      </c>
      <c r="BN87">
        <v>0.2</v>
      </c>
      <c r="BO87">
        <v>0.73099999999999998</v>
      </c>
      <c r="BP87">
        <v>0.18715300000000001</v>
      </c>
      <c r="BQ87">
        <v>0</v>
      </c>
      <c r="BR87">
        <v>5.8999999999999997E-2</v>
      </c>
      <c r="BS87">
        <v>0.33100000000000002</v>
      </c>
      <c r="BT87">
        <v>5.0999999999999997E-2</v>
      </c>
      <c r="BU87">
        <v>6.2490000000000002E-3</v>
      </c>
      <c r="BV87">
        <v>2.299E-2</v>
      </c>
      <c r="BW87">
        <v>0.123</v>
      </c>
      <c r="BX87">
        <v>0.123</v>
      </c>
      <c r="BY87">
        <v>0.40899999999999997</v>
      </c>
      <c r="BZ87">
        <v>7.0000000000000001E-3</v>
      </c>
      <c r="CA87">
        <v>2.1999999999999999E-2</v>
      </c>
      <c r="CB87">
        <v>8.9999999999999993E-3</v>
      </c>
      <c r="CC87">
        <v>0</v>
      </c>
      <c r="CD87">
        <v>0</v>
      </c>
      <c r="CE87">
        <v>0.38330900000000001</v>
      </c>
      <c r="CF87">
        <v>0.48770000000000002</v>
      </c>
      <c r="CG87">
        <v>1.7684210526315788E-2</v>
      </c>
      <c r="CH87">
        <v>1.6</v>
      </c>
      <c r="CI87">
        <v>0</v>
      </c>
      <c r="CJ87">
        <v>4.5599999999999998E-3</v>
      </c>
      <c r="CK87">
        <v>0</v>
      </c>
      <c r="CL87">
        <v>0</v>
      </c>
      <c r="CM87">
        <v>0.01</v>
      </c>
      <c r="CN87">
        <v>3.47E-3</v>
      </c>
      <c r="CO87">
        <v>2.5999999999999999E-2</v>
      </c>
      <c r="CP87">
        <v>1.7000000000000001E-2</v>
      </c>
      <c r="CQ87">
        <v>4.0000000000000001E-3</v>
      </c>
      <c r="CR87">
        <v>6.9999999999999999E-4</v>
      </c>
      <c r="CS87">
        <v>0</v>
      </c>
      <c r="CT87">
        <v>0</v>
      </c>
      <c r="CU87">
        <v>1.8E-3</v>
      </c>
      <c r="CV87">
        <v>0</v>
      </c>
      <c r="CW87">
        <v>3.4000000000000002E-2</v>
      </c>
      <c r="CX87">
        <v>0</v>
      </c>
      <c r="CY87">
        <v>0</v>
      </c>
      <c r="CZ87">
        <v>0</v>
      </c>
      <c r="DA87">
        <v>0</v>
      </c>
    </row>
    <row r="88" spans="1:105" x14ac:dyDescent="0.25">
      <c r="A88" s="1">
        <v>42825</v>
      </c>
      <c r="B88">
        <v>1.2E-2</v>
      </c>
      <c r="C88">
        <v>0.10199999999999999</v>
      </c>
      <c r="D88">
        <v>3.48</v>
      </c>
      <c r="E88">
        <v>0.15037800000000001</v>
      </c>
      <c r="F88">
        <v>0.13800000000000001</v>
      </c>
      <c r="G88">
        <v>0.1</v>
      </c>
      <c r="H88">
        <v>0.33900000000000002</v>
      </c>
      <c r="I88">
        <v>0.17899999999999999</v>
      </c>
      <c r="J88">
        <v>0.12859999999999999</v>
      </c>
      <c r="K88">
        <v>6.7000000000000004E-2</v>
      </c>
      <c r="L88">
        <v>0.48599999999999999</v>
      </c>
      <c r="M88">
        <v>1.8720000000000001</v>
      </c>
      <c r="N88">
        <v>1.075</v>
      </c>
      <c r="O88">
        <v>0.89270000000000005</v>
      </c>
      <c r="P88">
        <v>5.7</v>
      </c>
      <c r="Q88">
        <v>0.308</v>
      </c>
      <c r="R88">
        <v>9.8000000000000004E-2</v>
      </c>
      <c r="S88">
        <v>1.23</v>
      </c>
      <c r="T88">
        <v>1.319</v>
      </c>
      <c r="U88">
        <v>8.6999999999999994E-3</v>
      </c>
      <c r="V88">
        <v>7.4799999999999997E-3</v>
      </c>
      <c r="W88">
        <v>9.6199999999999994E-2</v>
      </c>
      <c r="X88">
        <v>2.1</v>
      </c>
      <c r="Y88">
        <v>5.65</v>
      </c>
      <c r="Z88">
        <v>36.74</v>
      </c>
      <c r="AA88">
        <v>0.17</v>
      </c>
      <c r="AB88">
        <v>0.114</v>
      </c>
      <c r="AC88">
        <v>5.4329999999999998</v>
      </c>
      <c r="AD88">
        <v>2.5999999999999999E-2</v>
      </c>
      <c r="AE88">
        <v>0.13224999999999998</v>
      </c>
      <c r="AF88">
        <v>0.153</v>
      </c>
      <c r="AG88">
        <v>0.55800000000000005</v>
      </c>
      <c r="AH88">
        <v>865</v>
      </c>
      <c r="AI88">
        <v>0.496</v>
      </c>
      <c r="AJ88">
        <v>603</v>
      </c>
      <c r="AK88">
        <v>0.51480000000000004</v>
      </c>
      <c r="AL88">
        <v>173.9</v>
      </c>
      <c r="AM88">
        <v>2.1600000000000001E-2</v>
      </c>
      <c r="AN88">
        <v>9.8599999999999993E-2</v>
      </c>
      <c r="AO88">
        <v>6.7000000000000004E-2</v>
      </c>
      <c r="AP88">
        <v>0.30959999999999999</v>
      </c>
      <c r="AQ88">
        <v>0</v>
      </c>
      <c r="AR88">
        <v>1.0076000000000001</v>
      </c>
      <c r="AS88">
        <v>7.3899999999999993E-2</v>
      </c>
      <c r="AT88">
        <v>9.2049999999999993E-2</v>
      </c>
      <c r="AU88">
        <v>2.8000000000000001E-2</v>
      </c>
      <c r="AV88">
        <v>24.81</v>
      </c>
      <c r="AW88">
        <v>3.4100999999999999</v>
      </c>
      <c r="AX88">
        <v>32.57</v>
      </c>
      <c r="AY88">
        <v>3.1524999999999999</v>
      </c>
      <c r="AZ88">
        <v>0.29132200000000003</v>
      </c>
      <c r="BA88">
        <v>0.5655</v>
      </c>
      <c r="BB88">
        <v>0.1</v>
      </c>
      <c r="BC88">
        <v>1.9E-2</v>
      </c>
      <c r="BD88">
        <v>6.9960000000000004</v>
      </c>
      <c r="BE88">
        <v>0.61486499999999999</v>
      </c>
      <c r="BF88">
        <v>99.16</v>
      </c>
      <c r="BG88">
        <v>3.63</v>
      </c>
      <c r="BH88">
        <v>7.0000000000000007E-2</v>
      </c>
      <c r="BI88">
        <v>0.49</v>
      </c>
      <c r="BJ88">
        <v>2.4060999999999999</v>
      </c>
      <c r="BK88">
        <v>2.5529999999999999</v>
      </c>
      <c r="BL88">
        <v>3.2000000000000001E-2</v>
      </c>
      <c r="BM88">
        <v>1.55</v>
      </c>
      <c r="BN88">
        <v>0.18</v>
      </c>
      <c r="BO88">
        <v>0.81599999999999995</v>
      </c>
      <c r="BP88">
        <v>0.167957</v>
      </c>
      <c r="BQ88">
        <v>0</v>
      </c>
      <c r="BR88">
        <v>6.5000000000000002E-2</v>
      </c>
      <c r="BS88">
        <v>0.33400000000000002</v>
      </c>
      <c r="BT88">
        <v>5.5E-2</v>
      </c>
      <c r="BU88">
        <v>5.0759999999999998E-3</v>
      </c>
      <c r="BV88">
        <v>2.2800000000000001E-2</v>
      </c>
      <c r="BW88">
        <v>0.113</v>
      </c>
      <c r="BX88">
        <v>0.113</v>
      </c>
      <c r="BY88">
        <v>0.32600000000000001</v>
      </c>
      <c r="BZ88">
        <v>7.0000000000000001E-3</v>
      </c>
      <c r="CA88">
        <v>2.1999999999999999E-2</v>
      </c>
      <c r="CB88">
        <v>1.0999999999999999E-2</v>
      </c>
      <c r="CC88">
        <v>0</v>
      </c>
      <c r="CD88">
        <v>0</v>
      </c>
      <c r="CE88">
        <v>0.43214900000000001</v>
      </c>
      <c r="CF88">
        <v>0.45750000000000002</v>
      </c>
      <c r="CG88">
        <v>1.7999999999999999E-2</v>
      </c>
      <c r="CH88">
        <v>1.8</v>
      </c>
      <c r="CI88">
        <v>0</v>
      </c>
      <c r="CJ88">
        <v>4.2030000000000001E-3</v>
      </c>
      <c r="CK88">
        <v>0</v>
      </c>
      <c r="CL88">
        <v>0</v>
      </c>
      <c r="CM88">
        <v>1.0454545454545454E-2</v>
      </c>
      <c r="CN88">
        <v>3.2358333333333332E-3</v>
      </c>
      <c r="CO88">
        <v>2.5999999999999999E-2</v>
      </c>
      <c r="CP88">
        <v>2.4E-2</v>
      </c>
      <c r="CQ88">
        <v>4.8999999999999998E-3</v>
      </c>
      <c r="CR88">
        <v>6.9999999999999999E-4</v>
      </c>
      <c r="CS88">
        <v>0</v>
      </c>
      <c r="CT88">
        <v>0</v>
      </c>
      <c r="CU88">
        <v>4.3E-3</v>
      </c>
      <c r="CV88">
        <v>0</v>
      </c>
      <c r="CW88">
        <v>3.2000000000000001E-2</v>
      </c>
      <c r="CX88">
        <v>0</v>
      </c>
      <c r="CY88">
        <v>0</v>
      </c>
      <c r="CZ88">
        <v>0</v>
      </c>
      <c r="DA88">
        <v>0</v>
      </c>
    </row>
    <row r="89" spans="1:105" x14ac:dyDescent="0.25">
      <c r="A89" s="1">
        <v>42855</v>
      </c>
      <c r="B89">
        <v>1.3599999999999999E-2</v>
      </c>
      <c r="C89">
        <v>6.5000000000000002E-2</v>
      </c>
      <c r="D89">
        <v>3.33</v>
      </c>
      <c r="E89">
        <v>0.14544699999999999</v>
      </c>
      <c r="F89">
        <v>0.128</v>
      </c>
      <c r="G89">
        <v>0.05</v>
      </c>
      <c r="H89">
        <v>0.27100000000000002</v>
      </c>
      <c r="I89">
        <v>0.16800000000000001</v>
      </c>
      <c r="J89">
        <v>0.15579999999999999</v>
      </c>
      <c r="K89">
        <v>0.97</v>
      </c>
      <c r="L89">
        <v>0.41799999999999998</v>
      </c>
      <c r="M89">
        <v>1.64</v>
      </c>
      <c r="N89">
        <v>0.97899999999999998</v>
      </c>
      <c r="O89">
        <v>0.92789999999999995</v>
      </c>
      <c r="P89">
        <v>4.5999999999999996</v>
      </c>
      <c r="Q89">
        <v>0.27900000000000003</v>
      </c>
      <c r="R89">
        <v>9.1999999999999998E-2</v>
      </c>
      <c r="S89">
        <v>1.0069999999999999</v>
      </c>
      <c r="T89">
        <v>1.238</v>
      </c>
      <c r="U89">
        <v>4.4999999999999997E-3</v>
      </c>
      <c r="V89">
        <v>6.8300000000000001E-3</v>
      </c>
      <c r="W89">
        <v>9.6100000000000005E-2</v>
      </c>
      <c r="X89">
        <v>1.88</v>
      </c>
      <c r="Y89">
        <v>6.18</v>
      </c>
      <c r="Z89">
        <v>34.590000000000003</v>
      </c>
      <c r="AA89">
        <v>0.17</v>
      </c>
      <c r="AB89">
        <v>0.108</v>
      </c>
      <c r="AC89">
        <v>4.859</v>
      </c>
      <c r="AD89">
        <v>2E-3</v>
      </c>
      <c r="AE89">
        <v>0.1205</v>
      </c>
      <c r="AF89">
        <v>0.13300000000000001</v>
      </c>
      <c r="AG89">
        <v>0.54200000000000004</v>
      </c>
      <c r="AH89">
        <v>821.6</v>
      </c>
      <c r="AI89">
        <v>0.39300000000000002</v>
      </c>
      <c r="AJ89">
        <v>837</v>
      </c>
      <c r="AK89">
        <v>0.86399999999999999</v>
      </c>
      <c r="AL89">
        <v>435</v>
      </c>
      <c r="AM89">
        <v>0.58679999999999988</v>
      </c>
      <c r="AN89">
        <v>2.2559999999999998</v>
      </c>
      <c r="AO89">
        <v>6.7000000000000004E-2</v>
      </c>
      <c r="AP89">
        <v>0.104</v>
      </c>
      <c r="AQ89">
        <v>0</v>
      </c>
      <c r="AR89">
        <v>1.008</v>
      </c>
      <c r="AS89">
        <v>7.3999999999999996E-2</v>
      </c>
      <c r="AT89">
        <v>0.12</v>
      </c>
      <c r="AU89">
        <v>2.9000000000000001E-2</v>
      </c>
      <c r="AV89">
        <v>4.3600000000000003</v>
      </c>
      <c r="AW89">
        <v>3.1579999999999999</v>
      </c>
      <c r="AX89">
        <v>537.12</v>
      </c>
      <c r="AY89">
        <v>3.1062500000000002</v>
      </c>
      <c r="AZ89">
        <v>0.2026</v>
      </c>
      <c r="BA89">
        <v>0.6482</v>
      </c>
      <c r="BB89">
        <v>0.10199999999999999</v>
      </c>
      <c r="BC89">
        <v>1.9E-2</v>
      </c>
      <c r="BD89">
        <v>6.28</v>
      </c>
      <c r="BE89">
        <v>0.84080999999999995</v>
      </c>
      <c r="BF89">
        <v>92.36</v>
      </c>
      <c r="BG89">
        <v>3.17</v>
      </c>
      <c r="BH89">
        <v>0.44</v>
      </c>
      <c r="BI89">
        <v>0.55000000000000004</v>
      </c>
      <c r="BJ89">
        <v>2.2269999999999999</v>
      </c>
      <c r="BK89">
        <v>2.1030000000000002</v>
      </c>
      <c r="BL89">
        <v>3.5999999999999997E-2</v>
      </c>
      <c r="BM89">
        <v>1.74</v>
      </c>
      <c r="BN89">
        <v>0.14000000000000001</v>
      </c>
      <c r="BO89">
        <v>0.76600000000000001</v>
      </c>
      <c r="BP89">
        <v>9.8359000000000002E-2</v>
      </c>
      <c r="BQ89">
        <v>0</v>
      </c>
      <c r="BR89">
        <v>5.5E-2</v>
      </c>
      <c r="BS89">
        <v>0.32100000000000001</v>
      </c>
      <c r="BT89">
        <v>4.7E-2</v>
      </c>
      <c r="BU89">
        <v>5.6160000000000003E-3</v>
      </c>
      <c r="BV89">
        <v>1.9130000000000001E-2</v>
      </c>
      <c r="BW89">
        <v>0.126</v>
      </c>
      <c r="BX89">
        <v>0.126</v>
      </c>
      <c r="BY89">
        <v>0.36799999999999999</v>
      </c>
      <c r="BZ89">
        <v>7.0000000000000001E-3</v>
      </c>
      <c r="CA89">
        <v>2.1999999999999999E-2</v>
      </c>
      <c r="CB89">
        <v>1.2999999999999999E-2</v>
      </c>
      <c r="CC89">
        <v>0</v>
      </c>
      <c r="CD89">
        <v>0</v>
      </c>
      <c r="CE89">
        <v>0.33594200000000002</v>
      </c>
      <c r="CF89">
        <v>0.45500000000000002</v>
      </c>
      <c r="CG89">
        <v>1.7999999999999999E-2</v>
      </c>
      <c r="CH89">
        <v>1.2</v>
      </c>
      <c r="CI89">
        <v>0</v>
      </c>
      <c r="CJ89">
        <v>4.254E-3</v>
      </c>
      <c r="CK89">
        <v>0</v>
      </c>
      <c r="CL89">
        <v>0</v>
      </c>
      <c r="CM89">
        <v>1.090909090909091E-2</v>
      </c>
      <c r="CN89">
        <v>3.0016666666666668E-3</v>
      </c>
      <c r="CO89">
        <v>2.8000000000000001E-2</v>
      </c>
      <c r="CP89">
        <v>2.4E-2</v>
      </c>
      <c r="CQ89">
        <v>4.7000000000000002E-3</v>
      </c>
      <c r="CR89">
        <v>8.0000000000000004E-4</v>
      </c>
      <c r="CS89">
        <v>0</v>
      </c>
      <c r="CT89">
        <v>0</v>
      </c>
      <c r="CU89">
        <v>4.0000000000000001E-3</v>
      </c>
      <c r="CV89">
        <v>0</v>
      </c>
      <c r="CW89">
        <v>3.1E-2</v>
      </c>
      <c r="CX89">
        <v>0</v>
      </c>
      <c r="CY89">
        <v>0</v>
      </c>
      <c r="CZ89">
        <v>0</v>
      </c>
      <c r="DA89">
        <v>0</v>
      </c>
    </row>
    <row r="90" spans="1:105" x14ac:dyDescent="0.25">
      <c r="A90" s="1">
        <v>42886</v>
      </c>
      <c r="B90">
        <v>1.46E-2</v>
      </c>
      <c r="C90">
        <v>2.8000000000000001E-2</v>
      </c>
      <c r="D90">
        <v>3.59</v>
      </c>
      <c r="E90">
        <v>0.141211</v>
      </c>
      <c r="F90">
        <v>0.129</v>
      </c>
      <c r="G90">
        <v>2.7E-2</v>
      </c>
      <c r="H90">
        <v>0.253</v>
      </c>
      <c r="I90">
        <v>0.16900000000000001</v>
      </c>
      <c r="J90">
        <v>9.1300000000000006E-2</v>
      </c>
      <c r="K90">
        <v>9.9000000000000005E-2</v>
      </c>
      <c r="L90">
        <v>0.35799999999999998</v>
      </c>
      <c r="M90">
        <v>1.466</v>
      </c>
      <c r="N90">
        <v>1.198</v>
      </c>
      <c r="O90">
        <v>0.78920000000000001</v>
      </c>
      <c r="P90">
        <v>4.4000000000000004</v>
      </c>
      <c r="Q90">
        <v>0.222</v>
      </c>
      <c r="R90">
        <v>8.1000000000000003E-2</v>
      </c>
      <c r="S90">
        <v>1.39</v>
      </c>
      <c r="T90">
        <v>1.266</v>
      </c>
      <c r="U90">
        <v>4.0000000000000001E-3</v>
      </c>
      <c r="V90">
        <v>7.0800000000000004E-3</v>
      </c>
      <c r="W90">
        <v>8.4500000000000006E-2</v>
      </c>
      <c r="X90">
        <v>1.34</v>
      </c>
      <c r="Y90">
        <v>4.34</v>
      </c>
      <c r="Z90">
        <v>32.07</v>
      </c>
      <c r="AA90">
        <v>0.13</v>
      </c>
      <c r="AB90">
        <v>0.104</v>
      </c>
      <c r="AC90">
        <v>3.8969999999999998</v>
      </c>
      <c r="AD90">
        <v>0.01</v>
      </c>
      <c r="AE90">
        <v>0.10874999999999999</v>
      </c>
      <c r="AF90">
        <v>0.14199999999999999</v>
      </c>
      <c r="AG90">
        <v>0.56799999999999995</v>
      </c>
      <c r="AH90">
        <v>1003</v>
      </c>
      <c r="AI90">
        <v>0.38600000000000001</v>
      </c>
      <c r="AJ90">
        <v>1210</v>
      </c>
      <c r="AK90">
        <v>0.91800000000000004</v>
      </c>
      <c r="AL90">
        <v>174</v>
      </c>
      <c r="AM90">
        <v>1.1519999999999999</v>
      </c>
      <c r="AN90">
        <v>1.1619999999999999</v>
      </c>
      <c r="AO90">
        <v>6.7000000000000004E-2</v>
      </c>
      <c r="AP90">
        <v>6.4199999999999993E-2</v>
      </c>
      <c r="AQ90">
        <v>0</v>
      </c>
      <c r="AR90">
        <v>1.0076000000000001</v>
      </c>
      <c r="AS90">
        <v>7.3899999999999993E-2</v>
      </c>
      <c r="AT90">
        <v>0.12</v>
      </c>
      <c r="AU90">
        <v>2.3E-2</v>
      </c>
      <c r="AV90">
        <v>4.3168421052631585</v>
      </c>
      <c r="AW90">
        <v>2.7759999999999998</v>
      </c>
      <c r="AX90">
        <v>537.12</v>
      </c>
      <c r="AY90">
        <v>3.06</v>
      </c>
      <c r="AZ90">
        <v>0.20238700000000001</v>
      </c>
      <c r="BA90">
        <v>0.59</v>
      </c>
      <c r="BB90">
        <v>0.10100000000000001</v>
      </c>
      <c r="BC90">
        <v>2.4E-2</v>
      </c>
      <c r="BD90">
        <v>5.5819999999999999</v>
      </c>
      <c r="BE90">
        <v>0.47345999999999999</v>
      </c>
      <c r="BF90">
        <v>84.2</v>
      </c>
      <c r="BG90">
        <v>3.14</v>
      </c>
      <c r="BH90">
        <v>0.37</v>
      </c>
      <c r="BI90">
        <v>0.73</v>
      </c>
      <c r="BJ90">
        <v>2.1339999999999999</v>
      </c>
      <c r="BK90">
        <v>1.772</v>
      </c>
      <c r="BL90">
        <v>3.9E-2</v>
      </c>
      <c r="BM90">
        <v>1.71</v>
      </c>
      <c r="BN90">
        <v>0.154</v>
      </c>
      <c r="BO90">
        <v>0.74199999999999999</v>
      </c>
      <c r="BP90">
        <v>0.147564</v>
      </c>
      <c r="BQ90">
        <v>0</v>
      </c>
      <c r="BR90">
        <v>5.1999999999999998E-2</v>
      </c>
      <c r="BS90">
        <v>0.314</v>
      </c>
      <c r="BT90">
        <v>4.3999999999999997E-2</v>
      </c>
      <c r="BU90">
        <v>5.5050000000000003E-3</v>
      </c>
      <c r="BV90">
        <v>2.265E-2</v>
      </c>
      <c r="BW90">
        <v>0.115</v>
      </c>
      <c r="BX90">
        <v>0.115</v>
      </c>
      <c r="BY90">
        <v>0.4</v>
      </c>
      <c r="BZ90">
        <v>7.0000000000000001E-3</v>
      </c>
      <c r="CA90">
        <v>2.1999999999999999E-2</v>
      </c>
      <c r="CB90">
        <v>1.2E-2</v>
      </c>
      <c r="CC90">
        <v>0</v>
      </c>
      <c r="CD90">
        <v>0</v>
      </c>
      <c r="CE90">
        <v>0.34415099999999998</v>
      </c>
      <c r="CF90">
        <v>0.3705</v>
      </c>
      <c r="CG90">
        <v>1.55E-2</v>
      </c>
      <c r="CH90">
        <v>1.21</v>
      </c>
      <c r="CI90">
        <v>0</v>
      </c>
      <c r="CJ90">
        <v>3.7299999999999998E-3</v>
      </c>
      <c r="CK90">
        <v>0</v>
      </c>
      <c r="CL90">
        <v>0</v>
      </c>
      <c r="CM90">
        <v>1.1363636363636364E-2</v>
      </c>
      <c r="CN90">
        <v>2.7675E-3</v>
      </c>
      <c r="CO90">
        <v>0.03</v>
      </c>
      <c r="CP90">
        <v>2.1000000000000001E-2</v>
      </c>
      <c r="CQ90">
        <v>5.2499999999999995E-3</v>
      </c>
      <c r="CR90">
        <v>5.9999999999999995E-4</v>
      </c>
      <c r="CS90">
        <v>0</v>
      </c>
      <c r="CT90">
        <v>0</v>
      </c>
      <c r="CU90">
        <v>1.2999999999999999E-3</v>
      </c>
      <c r="CV90">
        <v>0</v>
      </c>
      <c r="CW90">
        <v>3.1E-2</v>
      </c>
      <c r="CX90">
        <v>0</v>
      </c>
      <c r="CY90">
        <v>0</v>
      </c>
      <c r="CZ90">
        <v>0</v>
      </c>
      <c r="DA90">
        <v>0</v>
      </c>
    </row>
    <row r="91" spans="1:105" x14ac:dyDescent="0.25">
      <c r="A91" s="1">
        <v>42916</v>
      </c>
      <c r="B91">
        <v>2.18E-2</v>
      </c>
      <c r="C91">
        <v>4.8000000000000001E-2</v>
      </c>
      <c r="D91">
        <v>3.33</v>
      </c>
      <c r="E91">
        <v>0.14164399999999999</v>
      </c>
      <c r="F91">
        <v>0.13300000000000001</v>
      </c>
      <c r="G91">
        <v>2.5000000000000001E-2</v>
      </c>
      <c r="H91">
        <v>0.24299999999999999</v>
      </c>
      <c r="I91">
        <v>0.17299999999999999</v>
      </c>
      <c r="J91">
        <v>7.3499999999999996E-2</v>
      </c>
      <c r="K91">
        <v>9.4E-2</v>
      </c>
      <c r="L91">
        <v>0.39100000000000001</v>
      </c>
      <c r="M91">
        <v>1.542</v>
      </c>
      <c r="N91">
        <v>1.282</v>
      </c>
      <c r="O91">
        <v>0.74729999999999996</v>
      </c>
      <c r="P91">
        <v>4.7</v>
      </c>
      <c r="Q91">
        <v>0.214</v>
      </c>
      <c r="R91">
        <v>9.7000000000000003E-2</v>
      </c>
      <c r="S91">
        <v>1.71</v>
      </c>
      <c r="T91">
        <v>1.2649999999999999</v>
      </c>
      <c r="U91">
        <v>9.7999999999999997E-3</v>
      </c>
      <c r="V91">
        <v>6.8300000000000001E-3</v>
      </c>
      <c r="W91">
        <v>8.4699999999999998E-2</v>
      </c>
      <c r="X91">
        <v>1.41</v>
      </c>
      <c r="Y91">
        <v>4.09</v>
      </c>
      <c r="Z91">
        <v>31.17</v>
      </c>
      <c r="AA91">
        <v>0.13</v>
      </c>
      <c r="AB91">
        <v>0.108</v>
      </c>
      <c r="AC91">
        <v>4.1630000000000003</v>
      </c>
      <c r="AD91">
        <v>1.2E-2</v>
      </c>
      <c r="AE91">
        <v>9.7000000000000003E-2</v>
      </c>
      <c r="AF91">
        <v>0.14499999999999999</v>
      </c>
      <c r="AG91">
        <v>0.55400000000000005</v>
      </c>
      <c r="AH91">
        <v>1117</v>
      </c>
      <c r="AI91">
        <v>0.97699999999999998</v>
      </c>
      <c r="AJ91">
        <v>613</v>
      </c>
      <c r="AK91">
        <v>0.97199999999999998</v>
      </c>
      <c r="AL91">
        <v>562</v>
      </c>
      <c r="AM91">
        <v>0.66600000000000004</v>
      </c>
      <c r="AN91">
        <v>6.8000000000000005E-2</v>
      </c>
      <c r="AO91">
        <v>6.7000000000000004E-2</v>
      </c>
      <c r="AP91">
        <v>6.4000000000000001E-2</v>
      </c>
      <c r="AQ91">
        <v>0</v>
      </c>
      <c r="AR91">
        <v>1.008</v>
      </c>
      <c r="AS91">
        <v>7.3999999999999996E-2</v>
      </c>
      <c r="AT91">
        <v>0.12</v>
      </c>
      <c r="AU91">
        <v>2.4E-2</v>
      </c>
      <c r="AV91">
        <v>4.2736842105263158</v>
      </c>
      <c r="AW91">
        <v>2.83</v>
      </c>
      <c r="AX91">
        <v>543.14</v>
      </c>
      <c r="AY91">
        <v>2.66</v>
      </c>
      <c r="AZ91">
        <v>0.23300000000000001</v>
      </c>
      <c r="BA91">
        <v>0.56000000000000005</v>
      </c>
      <c r="BB91">
        <v>9.5000000000000001E-2</v>
      </c>
      <c r="BC91">
        <v>1.2E-2</v>
      </c>
      <c r="BD91">
        <v>5.2590000000000003</v>
      </c>
      <c r="BE91">
        <v>0.10611</v>
      </c>
      <c r="BF91">
        <v>85.96</v>
      </c>
      <c r="BG91">
        <v>3.71</v>
      </c>
      <c r="BH91">
        <v>0.95</v>
      </c>
      <c r="BI91">
        <v>0.76</v>
      </c>
      <c r="BJ91">
        <v>2.21</v>
      </c>
      <c r="BK91">
        <v>1.869</v>
      </c>
      <c r="BL91">
        <v>2.7E-2</v>
      </c>
      <c r="BM91">
        <v>1.95</v>
      </c>
      <c r="BN91">
        <v>0.14000000000000001</v>
      </c>
      <c r="BO91">
        <v>0.755</v>
      </c>
      <c r="BP91">
        <v>0.12912000000000001</v>
      </c>
      <c r="BQ91">
        <v>0</v>
      </c>
      <c r="BR91">
        <v>5.6000000000000001E-2</v>
      </c>
      <c r="BS91">
        <v>0.32600000000000001</v>
      </c>
      <c r="BT91">
        <v>4.5999999999999999E-2</v>
      </c>
      <c r="BU91">
        <v>6.6709999999999998E-3</v>
      </c>
      <c r="BV91">
        <v>1.881E-2</v>
      </c>
      <c r="BW91">
        <v>0.15</v>
      </c>
      <c r="BX91">
        <v>0.15</v>
      </c>
      <c r="BY91">
        <v>0.31900000000000001</v>
      </c>
      <c r="BZ91">
        <v>7.0000000000000001E-3</v>
      </c>
      <c r="CA91">
        <v>2.1999999999999999E-2</v>
      </c>
      <c r="CB91">
        <v>1.0999999999999999E-2</v>
      </c>
      <c r="CC91">
        <v>0</v>
      </c>
      <c r="CD91">
        <v>0</v>
      </c>
      <c r="CE91">
        <v>0.368037</v>
      </c>
      <c r="CF91">
        <v>0.33650000000000002</v>
      </c>
      <c r="CG91">
        <v>1.2999999999999999E-2</v>
      </c>
      <c r="CH91">
        <v>1.04</v>
      </c>
      <c r="CI91">
        <v>0</v>
      </c>
      <c r="CJ91">
        <v>3.2539999999999999E-3</v>
      </c>
      <c r="CK91">
        <v>0</v>
      </c>
      <c r="CL91">
        <v>0</v>
      </c>
      <c r="CM91">
        <v>1.1818181818181818E-2</v>
      </c>
      <c r="CN91">
        <v>2.5333333333333332E-3</v>
      </c>
      <c r="CO91">
        <v>3.1E-2</v>
      </c>
      <c r="CP91">
        <v>2.5000000000000001E-2</v>
      </c>
      <c r="CQ91">
        <v>5.7999999999999996E-3</v>
      </c>
      <c r="CR91">
        <v>5.0000000000000001E-4</v>
      </c>
      <c r="CS91">
        <v>0</v>
      </c>
      <c r="CT91">
        <v>0</v>
      </c>
      <c r="CU91">
        <v>3.6800000000000001E-3</v>
      </c>
      <c r="CV91">
        <v>0</v>
      </c>
      <c r="CW91">
        <v>2.7E-2</v>
      </c>
      <c r="CX91">
        <v>0</v>
      </c>
      <c r="CY91">
        <v>0</v>
      </c>
      <c r="CZ91">
        <v>0</v>
      </c>
      <c r="DA91">
        <v>0</v>
      </c>
    </row>
    <row r="92" spans="1:105" x14ac:dyDescent="0.25">
      <c r="A92" s="1">
        <v>42947</v>
      </c>
      <c r="B92">
        <v>2.1700000000000001E-2</v>
      </c>
      <c r="C92">
        <v>5.5E-2</v>
      </c>
      <c r="D92">
        <v>3.6</v>
      </c>
      <c r="E92">
        <v>0.12553900000000001</v>
      </c>
      <c r="F92">
        <v>0.128</v>
      </c>
      <c r="G92">
        <v>1.9E-2</v>
      </c>
      <c r="H92">
        <v>0.26</v>
      </c>
      <c r="I92">
        <v>0.16600000000000001</v>
      </c>
      <c r="J92">
        <v>6.5799999999999997E-2</v>
      </c>
      <c r="K92">
        <v>8.6999999999999994E-2</v>
      </c>
      <c r="L92">
        <v>0.35199999999999998</v>
      </c>
      <c r="M92">
        <v>1.5229999999999999</v>
      </c>
      <c r="N92">
        <v>1.054</v>
      </c>
      <c r="O92">
        <v>0.70179999999999998</v>
      </c>
      <c r="P92">
        <v>4.3</v>
      </c>
      <c r="Q92">
        <v>0.20699999999999999</v>
      </c>
      <c r="R92">
        <v>0.105</v>
      </c>
      <c r="S92">
        <v>1.37</v>
      </c>
      <c r="T92">
        <v>1.292</v>
      </c>
      <c r="U92">
        <v>1.3299999999999999E-2</v>
      </c>
      <c r="V92">
        <v>9.9299999999999996E-3</v>
      </c>
      <c r="W92">
        <v>7.7399999999999997E-2</v>
      </c>
      <c r="X92">
        <v>0.92</v>
      </c>
      <c r="Y92">
        <v>3.2</v>
      </c>
      <c r="Z92">
        <v>28.82</v>
      </c>
      <c r="AA92">
        <v>0.18</v>
      </c>
      <c r="AB92">
        <v>0.123</v>
      </c>
      <c r="AC92">
        <v>3.899</v>
      </c>
      <c r="AD92">
        <v>0.02</v>
      </c>
      <c r="AE92">
        <v>8.5249999999999992E-2</v>
      </c>
      <c r="AF92">
        <v>0.151</v>
      </c>
      <c r="AG92">
        <v>0.55700000000000005</v>
      </c>
      <c r="AH92">
        <v>1132</v>
      </c>
      <c r="AI92">
        <v>1.2170000000000001</v>
      </c>
      <c r="AJ92">
        <v>1210</v>
      </c>
      <c r="AK92">
        <v>1.026</v>
      </c>
      <c r="AL92">
        <v>769</v>
      </c>
      <c r="AM92">
        <v>0.52849999999999997</v>
      </c>
      <c r="AN92">
        <v>2.6190000000000002</v>
      </c>
      <c r="AO92">
        <v>6.7000000000000004E-2</v>
      </c>
      <c r="AP92">
        <v>0.65500000000000003</v>
      </c>
      <c r="AQ92">
        <v>0</v>
      </c>
      <c r="AR92">
        <v>1.008</v>
      </c>
      <c r="AS92">
        <v>7.3999999999999996E-2</v>
      </c>
      <c r="AT92">
        <v>0.12</v>
      </c>
      <c r="AU92">
        <v>0.03</v>
      </c>
      <c r="AV92">
        <v>4.2305263157894739</v>
      </c>
      <c r="AW92">
        <v>2.6920000000000002</v>
      </c>
      <c r="AX92">
        <v>484.6</v>
      </c>
      <c r="AY92">
        <v>2.12</v>
      </c>
      <c r="AZ92">
        <v>0.20241899999999999</v>
      </c>
      <c r="BA92">
        <v>0.56200000000000006</v>
      </c>
      <c r="BB92">
        <v>9.1999999999999998E-2</v>
      </c>
      <c r="BC92">
        <v>1.2999999999999999E-2</v>
      </c>
      <c r="BD92">
        <v>4.6289999999999996</v>
      </c>
      <c r="BE92">
        <v>0.73196500000000009</v>
      </c>
      <c r="BF92">
        <v>82.84</v>
      </c>
      <c r="BG92">
        <v>3.76</v>
      </c>
      <c r="BH92">
        <v>0.56000000000000005</v>
      </c>
      <c r="BI92">
        <v>1.02</v>
      </c>
      <c r="BJ92">
        <v>2.1869999999999998</v>
      </c>
      <c r="BK92">
        <v>1.8620000000000001</v>
      </c>
      <c r="BL92">
        <v>2.8389999999999999E-2</v>
      </c>
      <c r="BM92">
        <v>1.94</v>
      </c>
      <c r="BN92">
        <v>0.12</v>
      </c>
      <c r="BO92">
        <v>0.80300000000000005</v>
      </c>
      <c r="BP92">
        <v>8.7480000000000002E-2</v>
      </c>
      <c r="BQ92">
        <v>0</v>
      </c>
      <c r="BR92">
        <v>5.6000000000000001E-2</v>
      </c>
      <c r="BS92">
        <v>0.35599999999999998</v>
      </c>
      <c r="BT92">
        <v>4.3999999999999997E-2</v>
      </c>
      <c r="BU92">
        <v>9.3039999999999998E-3</v>
      </c>
      <c r="BV92">
        <v>1.9429999999999999E-2</v>
      </c>
      <c r="BW92">
        <v>0.13600000000000001</v>
      </c>
      <c r="BX92">
        <v>0.13600000000000001</v>
      </c>
      <c r="BY92">
        <v>0.372</v>
      </c>
      <c r="BZ92">
        <v>6.0000000000000001E-3</v>
      </c>
      <c r="CA92">
        <v>1.9E-2</v>
      </c>
      <c r="CB92">
        <v>0.01</v>
      </c>
      <c r="CC92">
        <v>0</v>
      </c>
      <c r="CD92">
        <v>0</v>
      </c>
      <c r="CE92">
        <v>0.45573200000000003</v>
      </c>
      <c r="CF92">
        <v>0.30070000000000002</v>
      </c>
      <c r="CG92">
        <v>1.4E-2</v>
      </c>
      <c r="CH92">
        <v>1</v>
      </c>
      <c r="CI92">
        <v>0</v>
      </c>
      <c r="CJ92">
        <v>3.46E-3</v>
      </c>
      <c r="CK92">
        <v>0</v>
      </c>
      <c r="CL92">
        <v>0</v>
      </c>
      <c r="CM92">
        <v>1.2272727272727272E-2</v>
      </c>
      <c r="CN92">
        <v>2.2991666666666664E-3</v>
      </c>
      <c r="CO92">
        <v>3.1E-2</v>
      </c>
      <c r="CP92">
        <v>2.5000000000000001E-2</v>
      </c>
      <c r="CQ92">
        <v>6.0000000000000001E-3</v>
      </c>
      <c r="CR92">
        <v>5.0000000000000001E-4</v>
      </c>
      <c r="CS92">
        <v>1.0696E-3</v>
      </c>
      <c r="CT92">
        <v>0</v>
      </c>
      <c r="CU92">
        <v>6.3E-3</v>
      </c>
      <c r="CV92">
        <v>0</v>
      </c>
      <c r="CW92">
        <v>2.8000000000000001E-2</v>
      </c>
      <c r="CX92">
        <v>0</v>
      </c>
      <c r="CY92">
        <v>0</v>
      </c>
      <c r="CZ92">
        <v>0</v>
      </c>
      <c r="DA92">
        <v>0</v>
      </c>
    </row>
    <row r="93" spans="1:105" x14ac:dyDescent="0.25">
      <c r="A93" s="1">
        <v>42978</v>
      </c>
      <c r="B93">
        <v>2.2100000000000002E-2</v>
      </c>
      <c r="C93">
        <v>5.3999999999999999E-2</v>
      </c>
      <c r="D93">
        <v>3.88</v>
      </c>
      <c r="E93">
        <v>0.13079199999999999</v>
      </c>
      <c r="F93">
        <v>0.192</v>
      </c>
      <c r="G93">
        <v>0.04</v>
      </c>
      <c r="H93">
        <v>0.33700000000000002</v>
      </c>
      <c r="I93">
        <v>0.17899999999999999</v>
      </c>
      <c r="J93">
        <v>0.1129</v>
      </c>
      <c r="K93">
        <v>0.10199999999999999</v>
      </c>
      <c r="L93">
        <v>0.69099999999999995</v>
      </c>
      <c r="M93">
        <v>1.587</v>
      </c>
      <c r="N93">
        <v>1.7509999999999999</v>
      </c>
      <c r="O93">
        <v>0.74160000000000004</v>
      </c>
      <c r="P93">
        <v>7.4</v>
      </c>
      <c r="Q93">
        <v>0.28699999999999998</v>
      </c>
      <c r="R93">
        <v>9.6000000000000002E-2</v>
      </c>
      <c r="S93">
        <v>1.542</v>
      </c>
      <c r="T93">
        <v>1.3109999999999999</v>
      </c>
      <c r="U93">
        <v>6.0000000000000001E-3</v>
      </c>
      <c r="V93">
        <v>8.9149999999999993E-3</v>
      </c>
      <c r="W93">
        <v>0.20219999999999999</v>
      </c>
      <c r="X93">
        <v>1.66</v>
      </c>
      <c r="Y93">
        <v>4.59</v>
      </c>
      <c r="Z93">
        <v>31.48</v>
      </c>
      <c r="AA93">
        <v>0.16</v>
      </c>
      <c r="AB93">
        <v>0.13800000000000001</v>
      </c>
      <c r="AC93">
        <v>4.476</v>
      </c>
      <c r="AD93">
        <v>0.05</v>
      </c>
      <c r="AE93">
        <v>7.3499999999999996E-2</v>
      </c>
      <c r="AF93">
        <v>0.20599999999999999</v>
      </c>
      <c r="AG93">
        <v>0.69899999999999995</v>
      </c>
      <c r="AH93">
        <v>1015</v>
      </c>
      <c r="AI93">
        <v>2.8180000000000001</v>
      </c>
      <c r="AJ93">
        <v>1210</v>
      </c>
      <c r="AK93">
        <v>1.08</v>
      </c>
      <c r="AL93">
        <v>781</v>
      </c>
      <c r="AM93">
        <v>0.39100000000000001</v>
      </c>
      <c r="AN93">
        <v>5.17</v>
      </c>
      <c r="AO93">
        <v>6.7000000000000004E-2</v>
      </c>
      <c r="AP93">
        <v>1.246</v>
      </c>
      <c r="AQ93">
        <v>0</v>
      </c>
      <c r="AR93">
        <v>1.008</v>
      </c>
      <c r="AS93">
        <v>7.3999999999999996E-2</v>
      </c>
      <c r="AT93">
        <v>0.12</v>
      </c>
      <c r="AU93">
        <v>7.4999999999999997E-2</v>
      </c>
      <c r="AV93">
        <v>4.1873684210526321</v>
      </c>
      <c r="AW93">
        <v>3.0670000000000002</v>
      </c>
      <c r="AX93">
        <v>544.82000000000005</v>
      </c>
      <c r="AY93">
        <v>2.12</v>
      </c>
      <c r="AZ93">
        <v>0.21674099999999999</v>
      </c>
      <c r="BA93">
        <v>0.56999999999999995</v>
      </c>
      <c r="BB93">
        <v>0.10199999999999999</v>
      </c>
      <c r="BC93">
        <v>1.9E-2</v>
      </c>
      <c r="BD93">
        <v>5.7329999999999997</v>
      </c>
      <c r="BE93">
        <v>1.35782</v>
      </c>
      <c r="BF93">
        <v>90.98</v>
      </c>
      <c r="BG93">
        <v>3.58</v>
      </c>
      <c r="BH93">
        <v>0.52</v>
      </c>
      <c r="BI93">
        <v>0.95</v>
      </c>
      <c r="BJ93">
        <v>2.2890000000000001</v>
      </c>
      <c r="BK93">
        <v>2.31</v>
      </c>
      <c r="BL93">
        <v>3.7999999999999999E-2</v>
      </c>
      <c r="BM93">
        <v>2.2799999999999998</v>
      </c>
      <c r="BN93">
        <v>0.15</v>
      </c>
      <c r="BO93">
        <v>1.018</v>
      </c>
      <c r="BP93">
        <v>8.8714000000000001E-2</v>
      </c>
      <c r="BQ93">
        <v>0</v>
      </c>
      <c r="BR93">
        <v>6.3E-2</v>
      </c>
      <c r="BS93">
        <v>0.32200000000000001</v>
      </c>
      <c r="BT93">
        <v>5.0999999999999997E-2</v>
      </c>
      <c r="BU93">
        <v>7.6429999999999996E-3</v>
      </c>
      <c r="BV93">
        <v>2.6769999999999999E-2</v>
      </c>
      <c r="BW93">
        <v>0.153</v>
      </c>
      <c r="BX93">
        <v>0.153</v>
      </c>
      <c r="BY93">
        <v>0.40200000000000002</v>
      </c>
      <c r="BZ93">
        <v>8.0000000000000002E-3</v>
      </c>
      <c r="CA93">
        <v>2.4999999999999998E-2</v>
      </c>
      <c r="CB93">
        <v>7.0000000000000001E-3</v>
      </c>
      <c r="CC93">
        <v>0</v>
      </c>
      <c r="CD93">
        <v>0</v>
      </c>
      <c r="CE93">
        <v>0.36820399999999998</v>
      </c>
      <c r="CF93">
        <v>0.34810000000000002</v>
      </c>
      <c r="CG93">
        <v>2.4E-2</v>
      </c>
      <c r="CH93">
        <v>1.79</v>
      </c>
      <c r="CI93">
        <v>0</v>
      </c>
      <c r="CJ93">
        <v>4.5120000000000004E-3</v>
      </c>
      <c r="CK93">
        <v>0</v>
      </c>
      <c r="CL93">
        <v>0</v>
      </c>
      <c r="CM93">
        <v>1.2727272727272728E-2</v>
      </c>
      <c r="CN93">
        <v>2.065E-3</v>
      </c>
      <c r="CO93">
        <v>3.3000000000000002E-2</v>
      </c>
      <c r="CP93">
        <v>2.8000000000000001E-2</v>
      </c>
      <c r="CQ93">
        <v>5.7000000000000002E-3</v>
      </c>
      <c r="CR93">
        <v>5.9999999999999995E-4</v>
      </c>
      <c r="CS93">
        <v>2.5818E-3</v>
      </c>
      <c r="CT93">
        <v>0</v>
      </c>
      <c r="CU93">
        <v>2.8E-3</v>
      </c>
      <c r="CV93">
        <v>0</v>
      </c>
      <c r="CW93">
        <v>3.1E-2</v>
      </c>
      <c r="CX93">
        <v>0</v>
      </c>
      <c r="CY93">
        <v>0</v>
      </c>
      <c r="CZ93">
        <v>0</v>
      </c>
      <c r="DA93">
        <v>0</v>
      </c>
    </row>
    <row r="94" spans="1:105" x14ac:dyDescent="0.25">
      <c r="A94" s="1">
        <v>43008</v>
      </c>
      <c r="B94">
        <v>9.1000000000000004E-3</v>
      </c>
      <c r="C94">
        <v>3.7999999999999999E-2</v>
      </c>
      <c r="D94">
        <v>3.58</v>
      </c>
      <c r="E94">
        <v>0.148733</v>
      </c>
      <c r="F94">
        <v>0.16300000000000001</v>
      </c>
      <c r="G94">
        <v>0.03</v>
      </c>
      <c r="H94">
        <v>0.27400000000000002</v>
      </c>
      <c r="I94">
        <v>0.16400000000000001</v>
      </c>
      <c r="J94">
        <v>0.14249999999999999</v>
      </c>
      <c r="K94">
        <v>9.8000000000000004E-2</v>
      </c>
      <c r="L94">
        <v>0.501</v>
      </c>
      <c r="M94">
        <v>1.4450000000000001</v>
      </c>
      <c r="N94">
        <v>1.173</v>
      </c>
      <c r="O94">
        <v>0.73760000000000003</v>
      </c>
      <c r="P94">
        <v>8.5</v>
      </c>
      <c r="Q94">
        <v>0.24199999999999999</v>
      </c>
      <c r="R94">
        <v>0.06</v>
      </c>
      <c r="S94">
        <v>1.1200000000000001</v>
      </c>
      <c r="T94">
        <v>1.2410000000000001</v>
      </c>
      <c r="U94">
        <v>7.6E-3</v>
      </c>
      <c r="V94">
        <v>1.3091999999999999E-2</v>
      </c>
      <c r="W94">
        <v>0.15340000000000001</v>
      </c>
      <c r="X94">
        <v>1.31</v>
      </c>
      <c r="Y94">
        <v>4.71</v>
      </c>
      <c r="Z94">
        <v>34.01</v>
      </c>
      <c r="AA94">
        <v>0.16</v>
      </c>
      <c r="AB94">
        <v>0.125</v>
      </c>
      <c r="AC94">
        <v>4.0919999999999996</v>
      </c>
      <c r="AD94">
        <v>0.05</v>
      </c>
      <c r="AE94">
        <v>6.1749999999999999E-2</v>
      </c>
      <c r="AF94">
        <v>0.16700000000000001</v>
      </c>
      <c r="AG94">
        <v>0.60399999999999998</v>
      </c>
      <c r="AH94">
        <v>933</v>
      </c>
      <c r="AI94">
        <v>0.47899999999999998</v>
      </c>
      <c r="AJ94">
        <v>1210</v>
      </c>
      <c r="AK94">
        <v>7.9000000000000001E-2</v>
      </c>
      <c r="AL94">
        <v>457</v>
      </c>
      <c r="AM94">
        <v>0.37623076923076926</v>
      </c>
      <c r="AN94">
        <v>6.8000000000000005E-2</v>
      </c>
      <c r="AO94">
        <v>6.7000000000000004E-2</v>
      </c>
      <c r="AP94">
        <v>6.4000000000000001E-2</v>
      </c>
      <c r="AQ94">
        <v>0</v>
      </c>
      <c r="AR94">
        <v>1.008</v>
      </c>
      <c r="AS94">
        <v>7.3999999999999996E-2</v>
      </c>
      <c r="AT94">
        <v>0.12</v>
      </c>
      <c r="AU94">
        <v>4.4999999999999998E-2</v>
      </c>
      <c r="AV94">
        <v>4.1442105263157893</v>
      </c>
      <c r="AW94">
        <v>2.7519999999999998</v>
      </c>
      <c r="AX94">
        <v>555.09</v>
      </c>
      <c r="AY94">
        <v>2.12</v>
      </c>
      <c r="AZ94">
        <v>0.221</v>
      </c>
      <c r="BA94">
        <v>0.58399999999999996</v>
      </c>
      <c r="BB94">
        <v>0.107</v>
      </c>
      <c r="BC94">
        <v>2.3E-2</v>
      </c>
      <c r="BD94">
        <v>5.3310000000000004</v>
      </c>
      <c r="BE94">
        <v>7.3730000000000004E-2</v>
      </c>
      <c r="BF94">
        <v>84.47</v>
      </c>
      <c r="BG94">
        <v>3.61</v>
      </c>
      <c r="BH94">
        <v>0.53</v>
      </c>
      <c r="BI94">
        <v>0.68</v>
      </c>
      <c r="BJ94">
        <v>2.073</v>
      </c>
      <c r="BK94">
        <v>2.044</v>
      </c>
      <c r="BL94">
        <v>2.8000000000000001E-2</v>
      </c>
      <c r="BM94">
        <v>1.82</v>
      </c>
      <c r="BN94">
        <v>0.16</v>
      </c>
      <c r="BO94">
        <v>0.76300000000000001</v>
      </c>
      <c r="BP94">
        <v>7.4893000000000001E-2</v>
      </c>
      <c r="BQ94">
        <v>0</v>
      </c>
      <c r="BR94">
        <v>5.6000000000000001E-2</v>
      </c>
      <c r="BS94">
        <v>0.34499999999999997</v>
      </c>
      <c r="BT94">
        <v>4.4999999999999998E-2</v>
      </c>
      <c r="BU94">
        <v>7.9139999999999992E-3</v>
      </c>
      <c r="BV94">
        <v>2.051E-2</v>
      </c>
      <c r="BW94">
        <v>0.13100000000000001</v>
      </c>
      <c r="BX94">
        <v>0.13100000000000001</v>
      </c>
      <c r="BY94">
        <v>0.41899999999999998</v>
      </c>
      <c r="BZ94">
        <v>7.0000000000000001E-3</v>
      </c>
      <c r="CA94">
        <v>3.1E-2</v>
      </c>
      <c r="CB94">
        <v>7.0000000000000001E-3</v>
      </c>
      <c r="CC94">
        <v>0</v>
      </c>
      <c r="CD94">
        <v>0</v>
      </c>
      <c r="CE94">
        <v>0.437419</v>
      </c>
      <c r="CF94">
        <v>0.34789999999999999</v>
      </c>
      <c r="CG94">
        <v>1.9E-2</v>
      </c>
      <c r="CH94">
        <v>1.9</v>
      </c>
      <c r="CI94">
        <v>0</v>
      </c>
      <c r="CJ94">
        <v>4.0569999999999998E-3</v>
      </c>
      <c r="CK94">
        <v>0</v>
      </c>
      <c r="CL94">
        <v>0</v>
      </c>
      <c r="CM94">
        <v>1.3181818181818182E-2</v>
      </c>
      <c r="CN94">
        <v>1.8308333333333332E-3</v>
      </c>
      <c r="CO94">
        <v>3.4000000000000002E-2</v>
      </c>
      <c r="CP94">
        <v>3.6999999999999998E-2</v>
      </c>
      <c r="CQ94">
        <v>7.4999999999999997E-3</v>
      </c>
      <c r="CR94">
        <v>5.0000000000000001E-4</v>
      </c>
      <c r="CS94">
        <v>4.5545000000000004E-3</v>
      </c>
      <c r="CT94">
        <v>0</v>
      </c>
      <c r="CU94">
        <v>7.0000000000000001E-3</v>
      </c>
      <c r="CV94">
        <v>0</v>
      </c>
      <c r="CW94">
        <v>3.3000000000000002E-2</v>
      </c>
      <c r="CX94">
        <v>0</v>
      </c>
      <c r="CY94">
        <v>0</v>
      </c>
      <c r="CZ94">
        <v>0</v>
      </c>
      <c r="DA94">
        <v>0</v>
      </c>
    </row>
    <row r="95" spans="1:105" x14ac:dyDescent="0.25">
      <c r="A95" s="1">
        <v>43039</v>
      </c>
      <c r="B95">
        <v>6.4000000000000003E-3</v>
      </c>
      <c r="C95">
        <v>6.2E-2</v>
      </c>
      <c r="D95">
        <v>3.16</v>
      </c>
      <c r="E95">
        <v>0.14196300000000001</v>
      </c>
      <c r="F95">
        <v>0.14799999999999999</v>
      </c>
      <c r="G95">
        <v>2.7E-2</v>
      </c>
      <c r="H95">
        <v>0.253</v>
      </c>
      <c r="I95">
        <v>0.17</v>
      </c>
      <c r="J95">
        <v>9.8400000000000001E-2</v>
      </c>
      <c r="K95">
        <v>8.4000000000000005E-2</v>
      </c>
      <c r="L95">
        <v>0.38800000000000001</v>
      </c>
      <c r="M95">
        <v>1.3560000000000001</v>
      </c>
      <c r="N95">
        <v>1.073</v>
      </c>
      <c r="O95">
        <v>0.71989999999999998</v>
      </c>
      <c r="P95">
        <v>5.0999999999999996</v>
      </c>
      <c r="Q95">
        <v>0.22800000000000001</v>
      </c>
      <c r="R95">
        <v>5.2999999999999999E-2</v>
      </c>
      <c r="S95">
        <v>1.24</v>
      </c>
      <c r="T95">
        <v>1.1160000000000001</v>
      </c>
      <c r="U95">
        <v>6.0000000000000001E-3</v>
      </c>
      <c r="V95">
        <v>9.9000000000000008E-3</v>
      </c>
      <c r="W95">
        <v>8.3699999999999997E-2</v>
      </c>
      <c r="X95">
        <v>1.71</v>
      </c>
      <c r="Y95">
        <v>4.1399999999999997</v>
      </c>
      <c r="Z95">
        <v>30.05</v>
      </c>
      <c r="AA95">
        <v>0.11</v>
      </c>
      <c r="AB95">
        <v>0.11700000000000001</v>
      </c>
      <c r="AC95">
        <v>3.895</v>
      </c>
      <c r="AD95">
        <v>0.11</v>
      </c>
      <c r="AE95">
        <v>0.05</v>
      </c>
      <c r="AF95">
        <v>0.14899999999999999</v>
      </c>
      <c r="AG95">
        <v>0.57799999999999996</v>
      </c>
      <c r="AH95">
        <v>995</v>
      </c>
      <c r="AI95">
        <v>0.52900000000000003</v>
      </c>
      <c r="AJ95">
        <v>584</v>
      </c>
      <c r="AK95">
        <v>7.9000000000000001E-2</v>
      </c>
      <c r="AL95">
        <v>449</v>
      </c>
      <c r="AM95">
        <v>0.3614615384615385</v>
      </c>
      <c r="AN95">
        <v>6.8099999999999994E-2</v>
      </c>
      <c r="AO95">
        <v>6.7000000000000004E-2</v>
      </c>
      <c r="AP95">
        <v>6.4199999999999993E-2</v>
      </c>
      <c r="AQ95">
        <v>0</v>
      </c>
      <c r="AR95">
        <v>1.008</v>
      </c>
      <c r="AS95">
        <v>7.3899999999999993E-2</v>
      </c>
      <c r="AT95">
        <v>0.1197</v>
      </c>
      <c r="AU95">
        <v>2.8000000000000001E-2</v>
      </c>
      <c r="AV95">
        <v>4.1010526315789475</v>
      </c>
      <c r="AW95">
        <v>2.5630000000000002</v>
      </c>
      <c r="AX95">
        <v>537.12</v>
      </c>
      <c r="AY95">
        <v>2.12</v>
      </c>
      <c r="AZ95">
        <v>0.206258</v>
      </c>
      <c r="BA95">
        <v>0.57499999999999996</v>
      </c>
      <c r="BB95">
        <v>9.6000000000000002E-2</v>
      </c>
      <c r="BC95">
        <v>1.7999999999999999E-2</v>
      </c>
      <c r="BD95">
        <v>5.6159999999999997</v>
      </c>
      <c r="BE95">
        <v>0.18626999999999999</v>
      </c>
      <c r="BF95">
        <v>83.15</v>
      </c>
      <c r="BG95">
        <v>3.72</v>
      </c>
      <c r="BH95">
        <v>0.61</v>
      </c>
      <c r="BI95">
        <v>0.69</v>
      </c>
      <c r="BJ95">
        <v>1.9650000000000001</v>
      </c>
      <c r="BK95">
        <v>1.861</v>
      </c>
      <c r="BL95">
        <v>2.3E-2</v>
      </c>
      <c r="BM95">
        <v>1.77</v>
      </c>
      <c r="BN95">
        <v>0.157</v>
      </c>
      <c r="BO95">
        <v>0.79</v>
      </c>
      <c r="BP95">
        <v>0.14327799999999999</v>
      </c>
      <c r="BQ95">
        <v>0</v>
      </c>
      <c r="BR95">
        <v>5.3999999999999999E-2</v>
      </c>
      <c r="BS95">
        <v>0.32900000000000001</v>
      </c>
      <c r="BT95">
        <v>4.4999999999999998E-2</v>
      </c>
      <c r="BU95">
        <v>7.4999999999999997E-3</v>
      </c>
      <c r="BV95">
        <v>2.3E-2</v>
      </c>
      <c r="BW95">
        <v>0.129</v>
      </c>
      <c r="BX95">
        <v>0.129</v>
      </c>
      <c r="BY95">
        <v>0.39900000000000002</v>
      </c>
      <c r="BZ95">
        <v>6.0000000000000001E-3</v>
      </c>
      <c r="CA95">
        <v>3.6999999999999998E-2</v>
      </c>
      <c r="CB95">
        <v>7.0000000000000001E-3</v>
      </c>
      <c r="CC95">
        <v>0</v>
      </c>
      <c r="CD95">
        <v>0</v>
      </c>
      <c r="CE95">
        <v>0.412717</v>
      </c>
      <c r="CF95">
        <v>0.35599999999999998</v>
      </c>
      <c r="CG95">
        <v>2.9000000000000001E-2</v>
      </c>
      <c r="CH95">
        <v>1.5</v>
      </c>
      <c r="CI95">
        <v>0</v>
      </c>
      <c r="CJ95">
        <v>3.9199999999999999E-3</v>
      </c>
      <c r="CK95">
        <v>0</v>
      </c>
      <c r="CL95">
        <v>0</v>
      </c>
      <c r="CM95">
        <v>1.3636363636363637E-2</v>
      </c>
      <c r="CN95">
        <v>1.5966666666666666E-3</v>
      </c>
      <c r="CO95">
        <v>3.5000000000000003E-2</v>
      </c>
      <c r="CP95">
        <v>3.5999999999999997E-2</v>
      </c>
      <c r="CQ95">
        <v>8.0999999999999996E-3</v>
      </c>
      <c r="CR95">
        <v>6.9999999999999999E-4</v>
      </c>
      <c r="CS95">
        <v>4.1716000000000001E-3</v>
      </c>
      <c r="CT95">
        <v>0</v>
      </c>
      <c r="CU95">
        <v>2.5000000000000001E-3</v>
      </c>
      <c r="CV95">
        <v>0</v>
      </c>
      <c r="CW95">
        <v>3.5999999999999997E-2</v>
      </c>
      <c r="CX95">
        <v>0</v>
      </c>
      <c r="CY95">
        <v>0</v>
      </c>
      <c r="CZ95">
        <v>0</v>
      </c>
      <c r="DA95">
        <v>0</v>
      </c>
    </row>
    <row r="96" spans="1:105" x14ac:dyDescent="0.25">
      <c r="A96" s="1">
        <v>43069</v>
      </c>
      <c r="B96">
        <v>2.1399999999999999E-2</v>
      </c>
      <c r="C96">
        <v>0.02</v>
      </c>
      <c r="D96">
        <v>3.15</v>
      </c>
      <c r="E96">
        <v>0.133572</v>
      </c>
      <c r="F96">
        <v>0.13900000000000001</v>
      </c>
      <c r="G96">
        <v>2.5000000000000001E-2</v>
      </c>
      <c r="H96">
        <v>0.248</v>
      </c>
      <c r="I96">
        <v>0.161</v>
      </c>
      <c r="J96">
        <v>0.1032</v>
      </c>
      <c r="K96">
        <v>9.5000000000000001E-2</v>
      </c>
      <c r="L96">
        <v>0.32200000000000001</v>
      </c>
      <c r="M96">
        <v>1.4510000000000001</v>
      </c>
      <c r="N96">
        <v>1.0569999999999999</v>
      </c>
      <c r="O96">
        <v>0.70989999999999998</v>
      </c>
      <c r="P96">
        <v>4.5</v>
      </c>
      <c r="Q96">
        <v>0.23</v>
      </c>
      <c r="R96">
        <v>5.6000000000000001E-2</v>
      </c>
      <c r="S96">
        <v>0.89800000000000002</v>
      </c>
      <c r="T96">
        <v>1.081</v>
      </c>
      <c r="U96">
        <v>1.14E-2</v>
      </c>
      <c r="V96">
        <v>8.8140000000000007E-3</v>
      </c>
      <c r="W96">
        <v>9.0399999999999994E-2</v>
      </c>
      <c r="X96">
        <v>1.63</v>
      </c>
      <c r="Y96">
        <v>4.07</v>
      </c>
      <c r="Z96">
        <v>31.87</v>
      </c>
      <c r="AA96">
        <v>0.17</v>
      </c>
      <c r="AB96">
        <v>0.107</v>
      </c>
      <c r="AC96">
        <v>3.9870000000000001</v>
      </c>
      <c r="AD96">
        <v>0.01</v>
      </c>
      <c r="AE96">
        <v>8.7999999999999995E-2</v>
      </c>
      <c r="AF96">
        <v>0.127</v>
      </c>
      <c r="AG96">
        <v>0.55500000000000005</v>
      </c>
      <c r="AH96">
        <v>990</v>
      </c>
      <c r="AI96">
        <v>0.40799999999999997</v>
      </c>
      <c r="AJ96">
        <v>817</v>
      </c>
      <c r="AK96">
        <v>7.9000000000000001E-2</v>
      </c>
      <c r="AL96">
        <v>191</v>
      </c>
      <c r="AM96">
        <v>0.34669230769230769</v>
      </c>
      <c r="AN96">
        <v>0.20754999999999998</v>
      </c>
      <c r="AO96">
        <v>6.7000000000000004E-2</v>
      </c>
      <c r="AP96">
        <v>6.409999999999999E-2</v>
      </c>
      <c r="AQ96">
        <v>0</v>
      </c>
      <c r="AR96">
        <v>1.008</v>
      </c>
      <c r="AS96">
        <v>7.3949999999999988E-2</v>
      </c>
      <c r="AT96">
        <v>0.11985</v>
      </c>
      <c r="AU96">
        <v>2.1000000000000001E-2</v>
      </c>
      <c r="AV96">
        <v>4.0578947368421057</v>
      </c>
      <c r="AW96">
        <v>2.5640000000000001</v>
      </c>
      <c r="AX96">
        <v>342.5</v>
      </c>
      <c r="AY96">
        <v>2.12</v>
      </c>
      <c r="AZ96">
        <v>0.1678</v>
      </c>
      <c r="BA96">
        <v>0.57199999999999995</v>
      </c>
      <c r="BB96">
        <v>9.8000000000000004E-2</v>
      </c>
      <c r="BC96">
        <v>0.02</v>
      </c>
      <c r="BD96">
        <v>5.7320000000000002</v>
      </c>
      <c r="BE96">
        <v>0.20185</v>
      </c>
      <c r="BF96">
        <v>81.31</v>
      </c>
      <c r="BG96">
        <v>3.62</v>
      </c>
      <c r="BH96">
        <v>0.45</v>
      </c>
      <c r="BI96">
        <v>0.47</v>
      </c>
      <c r="BJ96">
        <v>1.95</v>
      </c>
      <c r="BK96">
        <v>1.7749999999999999</v>
      </c>
      <c r="BL96">
        <v>2.3E-2</v>
      </c>
      <c r="BM96">
        <v>1.3</v>
      </c>
      <c r="BN96">
        <v>0.16</v>
      </c>
      <c r="BO96">
        <v>0.75</v>
      </c>
      <c r="BP96">
        <v>0.14133100000000001</v>
      </c>
      <c r="BQ96">
        <v>0</v>
      </c>
      <c r="BR96">
        <v>5.5E-2</v>
      </c>
      <c r="BS96">
        <v>0.34300000000000003</v>
      </c>
      <c r="BT96">
        <v>7.0000000000000007E-2</v>
      </c>
      <c r="BU96">
        <v>8.0000000000000002E-3</v>
      </c>
      <c r="BV96">
        <v>1.8710000000000001E-2</v>
      </c>
      <c r="BW96">
        <v>0.129</v>
      </c>
      <c r="BX96">
        <v>0.129</v>
      </c>
      <c r="BY96">
        <v>0.39900000000000002</v>
      </c>
      <c r="BZ96">
        <v>6.0000000000000001E-3</v>
      </c>
      <c r="CA96">
        <v>4.2999999999999997E-2</v>
      </c>
      <c r="CB96">
        <v>7.0000000000000001E-3</v>
      </c>
      <c r="CC96">
        <v>0</v>
      </c>
      <c r="CD96">
        <v>0</v>
      </c>
      <c r="CE96">
        <v>0.39022899999999999</v>
      </c>
      <c r="CF96">
        <v>0.41060000000000002</v>
      </c>
      <c r="CG96">
        <v>0.28999999999999998</v>
      </c>
      <c r="CH96">
        <v>1.1000000000000001</v>
      </c>
      <c r="CI96">
        <v>0</v>
      </c>
      <c r="CJ96">
        <v>4.0099999999999997E-3</v>
      </c>
      <c r="CK96">
        <v>0.9</v>
      </c>
      <c r="CL96">
        <v>0</v>
      </c>
      <c r="CM96">
        <v>1.4090909090909091E-2</v>
      </c>
      <c r="CN96">
        <v>1.3625E-3</v>
      </c>
      <c r="CO96">
        <v>3.5999999999999997E-2</v>
      </c>
      <c r="CP96">
        <v>3.4000000000000002E-2</v>
      </c>
      <c r="CQ96">
        <v>6.7499999999999999E-3</v>
      </c>
      <c r="CR96">
        <v>6.9999999999999999E-4</v>
      </c>
      <c r="CS96">
        <v>3.4518999999999999E-3</v>
      </c>
      <c r="CT96">
        <v>0</v>
      </c>
      <c r="CU96">
        <v>3.8E-3</v>
      </c>
      <c r="CV96">
        <v>0</v>
      </c>
      <c r="CW96">
        <v>3.7999999999999999E-2</v>
      </c>
      <c r="CX96">
        <v>0</v>
      </c>
      <c r="CY96">
        <v>0</v>
      </c>
      <c r="CZ96">
        <v>0</v>
      </c>
      <c r="DA96">
        <v>0</v>
      </c>
    </row>
    <row r="97" spans="1:105" x14ac:dyDescent="0.25">
      <c r="A97" s="1">
        <v>43100</v>
      </c>
      <c r="B97">
        <v>1.9300000000000001E-2</v>
      </c>
      <c r="C97">
        <v>0.02</v>
      </c>
      <c r="D97">
        <v>3.11</v>
      </c>
      <c r="E97">
        <v>0.149923</v>
      </c>
      <c r="F97">
        <v>0.14299999999999999</v>
      </c>
      <c r="G97">
        <v>0.04</v>
      </c>
      <c r="H97">
        <v>0.28399999999999997</v>
      </c>
      <c r="I97">
        <v>0.17100000000000001</v>
      </c>
      <c r="J97">
        <v>0.1216</v>
      </c>
      <c r="K97">
        <v>7.0999999999999994E-2</v>
      </c>
      <c r="L97">
        <v>0.32500000000000001</v>
      </c>
      <c r="M97">
        <v>1.68</v>
      </c>
      <c r="N97">
        <v>1.1819999999999999</v>
      </c>
      <c r="O97">
        <v>0.74760000000000004</v>
      </c>
      <c r="P97">
        <v>4.3</v>
      </c>
      <c r="Q97">
        <v>0.30099999999999999</v>
      </c>
      <c r="R97">
        <v>5.7000000000000002E-2</v>
      </c>
      <c r="S97">
        <v>0.93</v>
      </c>
      <c r="T97">
        <v>1.06</v>
      </c>
      <c r="U97">
        <v>1.32E-2</v>
      </c>
      <c r="V97">
        <v>4.5900000000000003E-3</v>
      </c>
      <c r="W97">
        <v>9.6299999999999997E-2</v>
      </c>
      <c r="X97">
        <v>1.93</v>
      </c>
      <c r="Y97">
        <v>4.49</v>
      </c>
      <c r="Z97">
        <v>33.93</v>
      </c>
      <c r="AA97">
        <v>0.05</v>
      </c>
      <c r="AB97">
        <v>0.114</v>
      </c>
      <c r="AC97">
        <v>4.5819999999999999</v>
      </c>
      <c r="AD97">
        <v>0.05</v>
      </c>
      <c r="AE97">
        <v>0.159</v>
      </c>
      <c r="AF97">
        <v>0.12</v>
      </c>
      <c r="AG97">
        <v>0.56799999999999995</v>
      </c>
      <c r="AH97">
        <v>776</v>
      </c>
      <c r="AI97">
        <v>0.441</v>
      </c>
      <c r="AJ97">
        <v>1037</v>
      </c>
      <c r="AK97">
        <v>7.9000000000000001E-2</v>
      </c>
      <c r="AL97">
        <v>215</v>
      </c>
      <c r="AM97">
        <v>0.33192307692307693</v>
      </c>
      <c r="AN97">
        <v>0.34699999999999998</v>
      </c>
      <c r="AO97">
        <v>6.7000000000000004E-2</v>
      </c>
      <c r="AP97">
        <v>6.4000000000000001E-2</v>
      </c>
      <c r="AQ97">
        <v>0</v>
      </c>
      <c r="AR97">
        <v>1.008</v>
      </c>
      <c r="AS97">
        <v>7.3999999999999996E-2</v>
      </c>
      <c r="AT97">
        <v>0.12</v>
      </c>
      <c r="AU97">
        <v>3.4000000000000002E-2</v>
      </c>
      <c r="AV97">
        <v>4.0147368421052629</v>
      </c>
      <c r="AW97">
        <v>2.895</v>
      </c>
      <c r="AX97">
        <v>277.92</v>
      </c>
      <c r="AY97">
        <v>1.67</v>
      </c>
      <c r="AZ97">
        <v>0.18170900000000001</v>
      </c>
      <c r="BA97">
        <v>0.55400000000000005</v>
      </c>
      <c r="BB97">
        <v>9.2999999999999999E-2</v>
      </c>
      <c r="BC97">
        <v>0.02</v>
      </c>
      <c r="BD97">
        <v>6.37</v>
      </c>
      <c r="BE97">
        <v>1.07911</v>
      </c>
      <c r="BF97">
        <v>84.12</v>
      </c>
      <c r="BG97">
        <v>3.87</v>
      </c>
      <c r="BH97">
        <v>0.5</v>
      </c>
      <c r="BI97">
        <v>0.3</v>
      </c>
      <c r="BJ97">
        <v>1.9950000000000001</v>
      </c>
      <c r="BK97">
        <v>2.27</v>
      </c>
      <c r="BL97">
        <v>2.1299999999999999E-2</v>
      </c>
      <c r="BM97">
        <v>1.6</v>
      </c>
      <c r="BN97">
        <v>0.17</v>
      </c>
      <c r="BO97">
        <v>0.77400000000000002</v>
      </c>
      <c r="BP97">
        <v>0.121666</v>
      </c>
      <c r="BQ97">
        <v>0</v>
      </c>
      <c r="BR97">
        <v>7.1999999999999995E-2</v>
      </c>
      <c r="BS97">
        <v>0.32900000000000001</v>
      </c>
      <c r="BT97">
        <v>5.2999999999999999E-2</v>
      </c>
      <c r="BU97">
        <v>9.0939999999999997E-3</v>
      </c>
      <c r="BV97">
        <v>1.636E-2</v>
      </c>
      <c r="BW97">
        <v>0.14299999999999999</v>
      </c>
      <c r="BX97">
        <v>0.14299999999999999</v>
      </c>
      <c r="BY97">
        <v>0.42299999999999999</v>
      </c>
      <c r="BZ97">
        <v>6.0000000000000001E-3</v>
      </c>
      <c r="CA97">
        <v>1.7000000000000001E-2</v>
      </c>
      <c r="CB97">
        <v>7.0000000000000001E-3</v>
      </c>
      <c r="CC97">
        <v>0</v>
      </c>
      <c r="CD97">
        <v>0</v>
      </c>
      <c r="CE97">
        <v>0.40767100000000001</v>
      </c>
      <c r="CF97">
        <v>0.48149999999999998</v>
      </c>
      <c r="CG97">
        <v>0.25071428571428572</v>
      </c>
      <c r="CH97">
        <v>1.2</v>
      </c>
      <c r="CI97">
        <v>0</v>
      </c>
      <c r="CJ97">
        <v>3.8899999999999998E-3</v>
      </c>
      <c r="CK97">
        <v>0.94</v>
      </c>
      <c r="CL97">
        <v>0</v>
      </c>
      <c r="CM97">
        <v>1.4545454545454545E-2</v>
      </c>
      <c r="CN97">
        <v>1.1283333333333332E-3</v>
      </c>
      <c r="CO97">
        <v>3.6999999999999998E-2</v>
      </c>
      <c r="CP97">
        <v>3.7999999999999999E-2</v>
      </c>
      <c r="CQ97">
        <v>5.4000000000000003E-3</v>
      </c>
      <c r="CR97">
        <v>6.9999999999999999E-4</v>
      </c>
      <c r="CS97">
        <v>3.8419999999999999E-3</v>
      </c>
      <c r="CT97">
        <v>0</v>
      </c>
      <c r="CU97">
        <v>4.0000000000000001E-3</v>
      </c>
      <c r="CV97">
        <v>0</v>
      </c>
      <c r="CW97">
        <v>0.04</v>
      </c>
      <c r="CX97">
        <v>0</v>
      </c>
      <c r="CY97">
        <v>0</v>
      </c>
      <c r="CZ97">
        <v>0</v>
      </c>
      <c r="DA97">
        <v>0</v>
      </c>
    </row>
    <row r="98" spans="1:105" x14ac:dyDescent="0.25">
      <c r="A98" s="1">
        <v>43131</v>
      </c>
      <c r="B98">
        <v>2.0500000000000001E-2</v>
      </c>
      <c r="C98">
        <v>5.6000000000000001E-2</v>
      </c>
      <c r="D98">
        <v>3.01</v>
      </c>
      <c r="E98">
        <v>0.14270099999999999</v>
      </c>
      <c r="F98">
        <v>0.13300000000000001</v>
      </c>
      <c r="G98">
        <v>0.06</v>
      </c>
      <c r="H98">
        <v>0.253</v>
      </c>
      <c r="I98">
        <v>0.17699999999999999</v>
      </c>
      <c r="J98">
        <v>8.8300000000000003E-2</v>
      </c>
      <c r="K98">
        <v>6.9000000000000006E-2</v>
      </c>
      <c r="L98">
        <v>0.59799999999999998</v>
      </c>
      <c r="M98">
        <v>1.3520000000000001</v>
      </c>
      <c r="N98">
        <v>1.129</v>
      </c>
      <c r="O98">
        <v>0.74070000000000003</v>
      </c>
      <c r="P98">
        <v>4.0999999999999996</v>
      </c>
      <c r="Q98">
        <v>0.245</v>
      </c>
      <c r="R98">
        <v>5.1999999999999998E-2</v>
      </c>
      <c r="S98">
        <v>1.242</v>
      </c>
      <c r="T98">
        <v>1.06</v>
      </c>
      <c r="U98">
        <v>1.95E-2</v>
      </c>
      <c r="V98">
        <v>5.4549999999999998E-3</v>
      </c>
      <c r="W98">
        <v>8.8599999999999998E-2</v>
      </c>
      <c r="X98">
        <v>1.96</v>
      </c>
      <c r="Y98">
        <v>4.17</v>
      </c>
      <c r="Z98">
        <v>31.03</v>
      </c>
      <c r="AA98">
        <v>0.45333333333333331</v>
      </c>
      <c r="AB98">
        <v>0.1</v>
      </c>
      <c r="AC98">
        <v>4.0439999999999996</v>
      </c>
      <c r="AD98">
        <v>0.05</v>
      </c>
      <c r="AE98">
        <v>0.15536363636363637</v>
      </c>
      <c r="AF98">
        <v>0.105</v>
      </c>
      <c r="AG98">
        <v>0.53200000000000003</v>
      </c>
      <c r="AH98">
        <v>696</v>
      </c>
      <c r="AI98">
        <v>1.1379999999999999</v>
      </c>
      <c r="AJ98">
        <v>1037</v>
      </c>
      <c r="AK98">
        <v>5.9833333333333336E-2</v>
      </c>
      <c r="AL98">
        <v>109</v>
      </c>
      <c r="AM98">
        <v>0.31715384615384618</v>
      </c>
      <c r="AN98">
        <v>0.25403333333333333</v>
      </c>
      <c r="AO98">
        <v>6.7000000000000004E-2</v>
      </c>
      <c r="AP98">
        <v>6.4066666666666661E-2</v>
      </c>
      <c r="AQ98">
        <v>0</v>
      </c>
      <c r="AR98">
        <v>1.0078666666666667</v>
      </c>
      <c r="AS98">
        <v>7.3966666666666667E-2</v>
      </c>
      <c r="AT98">
        <v>0.11989999999999999</v>
      </c>
      <c r="AU98">
        <v>4.4999999999999998E-2</v>
      </c>
      <c r="AV98">
        <v>3.9715789473684211</v>
      </c>
      <c r="AW98">
        <v>2.544</v>
      </c>
      <c r="AX98">
        <v>277.92</v>
      </c>
      <c r="AY98">
        <v>2.42</v>
      </c>
      <c r="AZ98">
        <v>0.16941899999999999</v>
      </c>
      <c r="BA98">
        <v>0.56899999999999995</v>
      </c>
      <c r="BB98">
        <v>9.2999999999999999E-2</v>
      </c>
      <c r="BC98">
        <v>1.4999999999999999E-2</v>
      </c>
      <c r="BD98">
        <v>5.9790000000000001</v>
      </c>
      <c r="BE98">
        <v>1.2904066666666667</v>
      </c>
      <c r="BF98">
        <v>79.290000000000006</v>
      </c>
      <c r="BG98">
        <v>3.63</v>
      </c>
      <c r="BH98">
        <v>0.49</v>
      </c>
      <c r="BI98">
        <v>0.36</v>
      </c>
      <c r="BJ98">
        <v>1.879</v>
      </c>
      <c r="BK98">
        <v>1.879</v>
      </c>
      <c r="BL98">
        <v>0.02</v>
      </c>
      <c r="BM98">
        <v>1.45</v>
      </c>
      <c r="BN98">
        <v>0.17</v>
      </c>
      <c r="BO98">
        <v>0.68799999999999994</v>
      </c>
      <c r="BP98">
        <v>0.16211</v>
      </c>
      <c r="BQ98">
        <v>0</v>
      </c>
      <c r="BR98">
        <v>0.06</v>
      </c>
      <c r="BS98">
        <v>0.32600000000000001</v>
      </c>
      <c r="BT98">
        <v>3.1E-2</v>
      </c>
      <c r="BU98">
        <v>1.0069E-2</v>
      </c>
      <c r="BV98">
        <v>2.877E-2</v>
      </c>
      <c r="BW98">
        <v>0.14599999999999999</v>
      </c>
      <c r="BX98">
        <v>0.14599999999999999</v>
      </c>
      <c r="BY98">
        <v>0.39700000000000002</v>
      </c>
      <c r="BZ98">
        <v>7.0000000000000001E-3</v>
      </c>
      <c r="CA98">
        <v>1.95E-2</v>
      </c>
      <c r="CB98">
        <v>7.0000000000000001E-3</v>
      </c>
      <c r="CC98">
        <v>0</v>
      </c>
      <c r="CD98">
        <v>0</v>
      </c>
      <c r="CE98">
        <v>0.38124599999999997</v>
      </c>
      <c r="CF98">
        <v>0.51219999999999999</v>
      </c>
      <c r="CG98">
        <v>0.21142857142857141</v>
      </c>
      <c r="CH98">
        <v>1.4</v>
      </c>
      <c r="CI98">
        <v>0</v>
      </c>
      <c r="CJ98">
        <v>3.372E-3</v>
      </c>
      <c r="CK98">
        <v>0.98</v>
      </c>
      <c r="CL98">
        <v>0</v>
      </c>
      <c r="CM98">
        <v>1.4999999999999999E-2</v>
      </c>
      <c r="CN98">
        <v>8.9416666666666637E-4</v>
      </c>
      <c r="CO98">
        <v>3.5000000000000003E-2</v>
      </c>
      <c r="CP98">
        <v>3.5000000000000003E-2</v>
      </c>
      <c r="CQ98">
        <v>6.4000000000000003E-3</v>
      </c>
      <c r="CR98">
        <v>5.9999999999999995E-4</v>
      </c>
      <c r="CS98">
        <v>3.091E-3</v>
      </c>
      <c r="CT98">
        <v>0</v>
      </c>
      <c r="CU98">
        <v>4.5999999999999999E-3</v>
      </c>
      <c r="CV98">
        <v>0</v>
      </c>
      <c r="CW98">
        <v>4.1000000000000002E-2</v>
      </c>
      <c r="CX98">
        <v>0</v>
      </c>
      <c r="CY98">
        <v>0</v>
      </c>
      <c r="CZ98">
        <v>0</v>
      </c>
      <c r="DA98">
        <v>0</v>
      </c>
    </row>
    <row r="99" spans="1:105" x14ac:dyDescent="0.25">
      <c r="A99" s="1">
        <v>43159</v>
      </c>
      <c r="B99">
        <v>1.78E-2</v>
      </c>
      <c r="C99">
        <v>3.1E-2</v>
      </c>
      <c r="D99">
        <v>3.14</v>
      </c>
      <c r="E99">
        <v>0.150864</v>
      </c>
      <c r="F99">
        <v>0.14499999999999999</v>
      </c>
      <c r="G99">
        <v>7.5999999999999998E-2</v>
      </c>
      <c r="H99">
        <v>0.23599999999999999</v>
      </c>
      <c r="I99">
        <v>0.16800000000000001</v>
      </c>
      <c r="J99">
        <v>0.11799999999999999</v>
      </c>
      <c r="K99">
        <v>0.09</v>
      </c>
      <c r="L99">
        <v>0.29499999999999998</v>
      </c>
      <c r="M99">
        <v>1.3979999999999999</v>
      </c>
      <c r="N99">
        <v>1.105</v>
      </c>
      <c r="O99">
        <v>0.76370000000000005</v>
      </c>
      <c r="P99">
        <v>4.0999999999999996</v>
      </c>
      <c r="Q99">
        <v>0.252</v>
      </c>
      <c r="R99">
        <v>5.8000000000000003E-2</v>
      </c>
      <c r="S99">
        <v>0.99299999999999999</v>
      </c>
      <c r="T99">
        <v>1.137</v>
      </c>
      <c r="U99">
        <v>1.14E-2</v>
      </c>
      <c r="V99">
        <v>7.6270000000000001E-3</v>
      </c>
      <c r="W99">
        <v>8.7599999999999997E-2</v>
      </c>
      <c r="X99">
        <v>1.95</v>
      </c>
      <c r="Y99">
        <v>4.84</v>
      </c>
      <c r="Z99">
        <v>32.24</v>
      </c>
      <c r="AA99">
        <v>0.85666666666666669</v>
      </c>
      <c r="AB99">
        <v>0.10100000000000001</v>
      </c>
      <c r="AC99">
        <v>4.3159999999999998</v>
      </c>
      <c r="AD99">
        <v>0.24</v>
      </c>
      <c r="AE99">
        <v>0.15172727272727274</v>
      </c>
      <c r="AF99">
        <v>0.115</v>
      </c>
      <c r="AG99">
        <v>0.53800000000000003</v>
      </c>
      <c r="AH99">
        <v>830</v>
      </c>
      <c r="AI99">
        <v>0.73499999999999999</v>
      </c>
      <c r="AJ99">
        <v>956</v>
      </c>
      <c r="AK99">
        <v>4.0666666666666663E-2</v>
      </c>
      <c r="AL99">
        <v>163</v>
      </c>
      <c r="AM99">
        <v>0.30238461538461542</v>
      </c>
      <c r="AN99">
        <v>0.16106666666666666</v>
      </c>
      <c r="AO99">
        <v>6.7000000000000004E-2</v>
      </c>
      <c r="AP99">
        <v>6.4133333333333334E-2</v>
      </c>
      <c r="AQ99">
        <v>0</v>
      </c>
      <c r="AR99">
        <v>1.0077333333333334</v>
      </c>
      <c r="AS99">
        <v>7.3933333333333323E-2</v>
      </c>
      <c r="AT99">
        <v>0.1198</v>
      </c>
      <c r="AU99">
        <v>2.3E-2</v>
      </c>
      <c r="AV99">
        <v>3.9284210526315793</v>
      </c>
      <c r="AW99">
        <v>2.6120000000000001</v>
      </c>
      <c r="AX99">
        <v>297.27</v>
      </c>
      <c r="AY99">
        <v>2.4</v>
      </c>
      <c r="AZ99">
        <v>0.18099999999999999</v>
      </c>
      <c r="BA99">
        <v>0.54600000000000004</v>
      </c>
      <c r="BB99">
        <v>9.4E-2</v>
      </c>
      <c r="BC99">
        <v>1.4E-2</v>
      </c>
      <c r="BD99">
        <v>6.1639999999999997</v>
      </c>
      <c r="BE99">
        <v>1.5017033333333334</v>
      </c>
      <c r="BF99">
        <v>83.88</v>
      </c>
      <c r="BG99">
        <v>4.0599999999999996</v>
      </c>
      <c r="BH99">
        <v>0.47</v>
      </c>
      <c r="BI99">
        <v>0.44</v>
      </c>
      <c r="BJ99">
        <v>1.9419999999999999</v>
      </c>
      <c r="BK99">
        <v>2.3159999999999998</v>
      </c>
      <c r="BL99">
        <v>2.9000000000000001E-2</v>
      </c>
      <c r="BM99">
        <v>1.44</v>
      </c>
      <c r="BN99">
        <v>0.18</v>
      </c>
      <c r="BO99">
        <v>0.72899999999999998</v>
      </c>
      <c r="BP99">
        <v>0.17783399999999999</v>
      </c>
      <c r="BQ99">
        <v>0</v>
      </c>
      <c r="BR99">
        <v>6.2E-2</v>
      </c>
      <c r="BS99">
        <v>0.32200000000000001</v>
      </c>
      <c r="BT99">
        <v>4.8000000000000001E-2</v>
      </c>
      <c r="BU99">
        <v>8.5220000000000001E-3</v>
      </c>
      <c r="BV99">
        <v>2.538E-2</v>
      </c>
      <c r="BW99">
        <v>0.14199999999999999</v>
      </c>
      <c r="BX99">
        <v>0.14199999999999999</v>
      </c>
      <c r="BY99">
        <v>0.30399999999999999</v>
      </c>
      <c r="BZ99">
        <v>5.0000000000000001E-3</v>
      </c>
      <c r="CA99">
        <v>2.1999999999999999E-2</v>
      </c>
      <c r="CB99">
        <v>1E-3</v>
      </c>
      <c r="CC99">
        <v>0</v>
      </c>
      <c r="CD99">
        <v>0</v>
      </c>
      <c r="CE99">
        <v>0.47604600000000002</v>
      </c>
      <c r="CF99">
        <v>0.52949999999999997</v>
      </c>
      <c r="CG99">
        <v>0.17214285714285715</v>
      </c>
      <c r="CH99">
        <v>1.4</v>
      </c>
      <c r="CI99">
        <v>0</v>
      </c>
      <c r="CJ99">
        <v>3.3909999999999999E-3</v>
      </c>
      <c r="CK99">
        <v>0.95</v>
      </c>
      <c r="CL99">
        <v>0</v>
      </c>
      <c r="CM99">
        <v>1.5454545454545455E-2</v>
      </c>
      <c r="CN99">
        <v>6.6E-4</v>
      </c>
      <c r="CO99">
        <v>3.7999999999999999E-2</v>
      </c>
      <c r="CP99">
        <v>3.5999999999999997E-2</v>
      </c>
      <c r="CQ99">
        <v>5.7000000000000002E-3</v>
      </c>
      <c r="CR99">
        <v>6.9999999999999999E-4</v>
      </c>
      <c r="CS99">
        <v>3.7262999999999998E-2</v>
      </c>
      <c r="CT99">
        <v>0</v>
      </c>
      <c r="CU99">
        <v>4.4000000000000003E-3</v>
      </c>
      <c r="CV99">
        <v>0</v>
      </c>
      <c r="CW99">
        <v>4.2999999999999997E-2</v>
      </c>
      <c r="CX99">
        <v>0</v>
      </c>
      <c r="CY99">
        <v>0</v>
      </c>
      <c r="CZ99">
        <v>0</v>
      </c>
      <c r="DA99">
        <v>0</v>
      </c>
    </row>
    <row r="100" spans="1:105" x14ac:dyDescent="0.25">
      <c r="A100" s="1">
        <v>43190</v>
      </c>
      <c r="B100">
        <v>1.1900000000000001E-2</v>
      </c>
      <c r="C100">
        <v>4.1000000000000002E-2</v>
      </c>
      <c r="D100">
        <v>3.09</v>
      </c>
      <c r="E100">
        <v>0.14146500000000001</v>
      </c>
      <c r="F100">
        <v>0.13400000000000001</v>
      </c>
      <c r="G100">
        <v>0.08</v>
      </c>
      <c r="H100">
        <v>0.26100000000000001</v>
      </c>
      <c r="I100">
        <v>0.17399999999999999</v>
      </c>
      <c r="J100">
        <v>9.5000000000000001E-2</v>
      </c>
      <c r="K100">
        <v>8.5000000000000006E-2</v>
      </c>
      <c r="L100">
        <v>0.38100000000000001</v>
      </c>
      <c r="M100">
        <v>1.5429999999999999</v>
      </c>
      <c r="N100">
        <v>1.111</v>
      </c>
      <c r="O100">
        <v>0.75929999999999997</v>
      </c>
      <c r="P100">
        <v>4.2</v>
      </c>
      <c r="Q100">
        <v>0.28100000000000003</v>
      </c>
      <c r="R100">
        <v>7.9000000000000001E-2</v>
      </c>
      <c r="S100">
        <v>1.264</v>
      </c>
      <c r="T100">
        <v>1.1930000000000001</v>
      </c>
      <c r="U100">
        <v>3.0200000000000001E-2</v>
      </c>
      <c r="V100">
        <v>8.2529999999999999E-3</v>
      </c>
      <c r="W100">
        <v>7.9500000000000001E-2</v>
      </c>
      <c r="X100">
        <v>1.86</v>
      </c>
      <c r="Y100">
        <v>5.14</v>
      </c>
      <c r="Z100">
        <v>34.93</v>
      </c>
      <c r="AA100">
        <v>1.26</v>
      </c>
      <c r="AB100">
        <v>0.11600000000000001</v>
      </c>
      <c r="AC100">
        <v>4.5990000000000002</v>
      </c>
      <c r="AD100">
        <v>0.16</v>
      </c>
      <c r="AE100">
        <v>0.14809090909090908</v>
      </c>
      <c r="AF100">
        <v>0.11</v>
      </c>
      <c r="AG100">
        <v>0.55900000000000005</v>
      </c>
      <c r="AH100">
        <v>867</v>
      </c>
      <c r="AI100">
        <v>0.53200000000000003</v>
      </c>
      <c r="AJ100">
        <v>1036</v>
      </c>
      <c r="AK100">
        <v>2.1499999999999998E-2</v>
      </c>
      <c r="AL100">
        <v>164</v>
      </c>
      <c r="AM100">
        <v>0.28761538461538461</v>
      </c>
      <c r="AN100">
        <v>6.8099999999999994E-2</v>
      </c>
      <c r="AO100">
        <v>6.7000000000000004E-2</v>
      </c>
      <c r="AP100">
        <v>6.4199999999999993E-2</v>
      </c>
      <c r="AQ100">
        <v>0</v>
      </c>
      <c r="AR100">
        <v>1.0076000000000001</v>
      </c>
      <c r="AS100">
        <v>7.3899999999999993E-2</v>
      </c>
      <c r="AT100">
        <v>0.1197</v>
      </c>
      <c r="AU100">
        <v>2.5999999999999999E-2</v>
      </c>
      <c r="AV100">
        <v>3.885263157894737</v>
      </c>
      <c r="AW100">
        <v>2.8170000000000002</v>
      </c>
      <c r="AX100">
        <v>214.86</v>
      </c>
      <c r="AY100">
        <v>2.06</v>
      </c>
      <c r="AZ100">
        <v>0.16900000000000001</v>
      </c>
      <c r="BA100">
        <v>0.57599999999999996</v>
      </c>
      <c r="BB100">
        <v>9.4E-2</v>
      </c>
      <c r="BC100">
        <v>1.4999999999999999E-2</v>
      </c>
      <c r="BD100">
        <v>5.9240000000000004</v>
      </c>
      <c r="BE100">
        <v>1.7130000000000001</v>
      </c>
      <c r="BF100">
        <v>83.68</v>
      </c>
      <c r="BG100">
        <v>3.57</v>
      </c>
      <c r="BH100">
        <v>0.48</v>
      </c>
      <c r="BI100">
        <v>0.44</v>
      </c>
      <c r="BJ100">
        <v>2.0670000000000002</v>
      </c>
      <c r="BK100">
        <v>2.4359999999999999</v>
      </c>
      <c r="BL100">
        <v>2.0500000000000001E-2</v>
      </c>
      <c r="BM100">
        <v>1.55</v>
      </c>
      <c r="BN100">
        <v>0.17</v>
      </c>
      <c r="BO100">
        <v>0.80800000000000005</v>
      </c>
      <c r="BP100">
        <v>0.152341</v>
      </c>
      <c r="BQ100">
        <v>0</v>
      </c>
      <c r="BR100">
        <v>7.0999999999999994E-2</v>
      </c>
      <c r="BS100">
        <v>0.313</v>
      </c>
      <c r="BT100">
        <v>6.2E-2</v>
      </c>
      <c r="BU100">
        <v>4.5469999999999998E-3</v>
      </c>
      <c r="BV100">
        <v>2.3470000000000001E-2</v>
      </c>
      <c r="BW100">
        <v>0.159</v>
      </c>
      <c r="BX100">
        <v>0.159</v>
      </c>
      <c r="BY100">
        <v>0.222</v>
      </c>
      <c r="BZ100">
        <v>5.0000000000000001E-3</v>
      </c>
      <c r="CA100">
        <v>2.4E-2</v>
      </c>
      <c r="CB100">
        <v>8.9999999999999993E-3</v>
      </c>
      <c r="CC100">
        <v>0</v>
      </c>
      <c r="CD100">
        <v>0</v>
      </c>
      <c r="CE100">
        <v>0.47604600000000002</v>
      </c>
      <c r="CF100">
        <v>0.47560000000000002</v>
      </c>
      <c r="CG100">
        <v>0.13285714285714287</v>
      </c>
      <c r="CH100">
        <v>1.5</v>
      </c>
      <c r="CI100">
        <v>0</v>
      </c>
      <c r="CJ100">
        <v>3.5430000000000001E-3</v>
      </c>
      <c r="CK100">
        <v>0.87</v>
      </c>
      <c r="CL100">
        <v>0</v>
      </c>
      <c r="CM100">
        <v>1.5909090909090907E-2</v>
      </c>
      <c r="CN100">
        <v>1.4214285714285713E-3</v>
      </c>
      <c r="CO100">
        <v>3.9E-2</v>
      </c>
      <c r="CP100">
        <v>3.7999999999999999E-2</v>
      </c>
      <c r="CQ100">
        <v>5.0000000000000001E-3</v>
      </c>
      <c r="CR100">
        <v>5.9999999999999995E-4</v>
      </c>
      <c r="CS100">
        <v>3.7262999999999998E-2</v>
      </c>
      <c r="CT100">
        <v>0</v>
      </c>
      <c r="CU100">
        <v>4.7000000000000002E-3</v>
      </c>
      <c r="CV100">
        <v>0</v>
      </c>
      <c r="CW100">
        <v>0.04</v>
      </c>
      <c r="CX100">
        <v>0</v>
      </c>
      <c r="CY100">
        <v>0</v>
      </c>
      <c r="CZ100">
        <v>0</v>
      </c>
      <c r="DA100">
        <v>0</v>
      </c>
    </row>
    <row r="101" spans="1:105" x14ac:dyDescent="0.25">
      <c r="A101" s="1">
        <v>43220</v>
      </c>
      <c r="B101">
        <v>1.2800000000000001E-2</v>
      </c>
      <c r="C101">
        <v>4.2000000000000003E-2</v>
      </c>
      <c r="D101">
        <v>2.76</v>
      </c>
      <c r="E101">
        <v>0.134352</v>
      </c>
      <c r="F101">
        <v>0.128</v>
      </c>
      <c r="G101">
        <v>7.0000000000000007E-2</v>
      </c>
      <c r="H101">
        <v>0.26100000000000001</v>
      </c>
      <c r="I101">
        <v>0.17399999999999999</v>
      </c>
      <c r="J101">
        <v>0.08</v>
      </c>
      <c r="K101">
        <v>0.08</v>
      </c>
      <c r="L101">
        <v>0.314</v>
      </c>
      <c r="M101">
        <v>1.4390000000000001</v>
      </c>
      <c r="N101">
        <v>1.0620000000000001</v>
      </c>
      <c r="O101">
        <v>0.73829999999999996</v>
      </c>
      <c r="P101">
        <v>4.3</v>
      </c>
      <c r="Q101">
        <v>0.28000000000000003</v>
      </c>
      <c r="R101">
        <v>5.0999999999999997E-2</v>
      </c>
      <c r="S101">
        <v>1.2410000000000001</v>
      </c>
      <c r="T101">
        <v>1.135</v>
      </c>
      <c r="U101">
        <v>3.0200000000000001E-2</v>
      </c>
      <c r="V101">
        <v>4.3350000000000003E-3</v>
      </c>
      <c r="W101">
        <v>8.7800000000000003E-2</v>
      </c>
      <c r="X101">
        <v>1.1599999999999999</v>
      </c>
      <c r="Y101">
        <v>4.76</v>
      </c>
      <c r="Z101">
        <v>31.97</v>
      </c>
      <c r="AA101">
        <v>0.27</v>
      </c>
      <c r="AB101">
        <v>0.113</v>
      </c>
      <c r="AC101">
        <v>4.5339999999999998</v>
      </c>
      <c r="AD101">
        <v>0.14000000000000001</v>
      </c>
      <c r="AE101">
        <v>0.14445454545454545</v>
      </c>
      <c r="AF101">
        <v>0.124</v>
      </c>
      <c r="AG101">
        <v>0.55900000000000005</v>
      </c>
      <c r="AH101">
        <v>810</v>
      </c>
      <c r="AI101">
        <v>0.127</v>
      </c>
      <c r="AJ101">
        <v>856</v>
      </c>
      <c r="AK101">
        <v>8.8124999999999981E-2</v>
      </c>
      <c r="AL101">
        <v>189</v>
      </c>
      <c r="AM101">
        <v>0.27284615384615385</v>
      </c>
      <c r="AN101">
        <v>0.251</v>
      </c>
      <c r="AO101">
        <v>0</v>
      </c>
      <c r="AP101">
        <v>0.16917499999999999</v>
      </c>
      <c r="AQ101">
        <v>0</v>
      </c>
      <c r="AR101">
        <v>1.0077</v>
      </c>
      <c r="AS101">
        <v>7.4149999999999994E-2</v>
      </c>
      <c r="AT101">
        <v>0.11975</v>
      </c>
      <c r="AU101">
        <v>3.4000000000000002E-2</v>
      </c>
      <c r="AV101">
        <v>3.8421052631578947</v>
      </c>
      <c r="AW101">
        <v>2.657</v>
      </c>
      <c r="AX101">
        <v>122.43</v>
      </c>
      <c r="AY101">
        <v>2.1642857142857141</v>
      </c>
      <c r="AZ101">
        <v>0.16750000000000001</v>
      </c>
      <c r="BA101">
        <v>0.71599999999999997</v>
      </c>
      <c r="BB101">
        <v>9.2999999999999999E-2</v>
      </c>
      <c r="BC101">
        <v>0.02</v>
      </c>
      <c r="BD101">
        <v>5.165</v>
      </c>
      <c r="BE101">
        <v>1.4343573333333335</v>
      </c>
      <c r="BF101">
        <v>81.84</v>
      </c>
      <c r="BG101">
        <v>3.72</v>
      </c>
      <c r="BH101">
        <v>0.59</v>
      </c>
      <c r="BI101">
        <v>0.54</v>
      </c>
      <c r="BJ101">
        <v>1.968</v>
      </c>
      <c r="BK101">
        <v>2.2690000000000001</v>
      </c>
      <c r="BL101">
        <v>2.1000000000000001E-2</v>
      </c>
      <c r="BM101">
        <v>1.82</v>
      </c>
      <c r="BN101">
        <v>0.15</v>
      </c>
      <c r="BO101">
        <v>0.748</v>
      </c>
      <c r="BP101">
        <v>0.165157</v>
      </c>
      <c r="BQ101">
        <v>0</v>
      </c>
      <c r="BR101">
        <v>7.1999999999999995E-2</v>
      </c>
      <c r="BS101">
        <v>0.30199999999999999</v>
      </c>
      <c r="BT101">
        <v>4.8000000000000001E-2</v>
      </c>
      <c r="BU101">
        <v>4.0920000000000002E-3</v>
      </c>
      <c r="BV101">
        <v>2.562E-2</v>
      </c>
      <c r="BW101">
        <v>0.17100000000000001</v>
      </c>
      <c r="BX101">
        <v>0.17100000000000001</v>
      </c>
      <c r="BY101">
        <v>0.33600000000000002</v>
      </c>
      <c r="BZ101">
        <v>5.0000000000000001E-3</v>
      </c>
      <c r="CA101">
        <v>2.5000000000000001E-2</v>
      </c>
      <c r="CB101">
        <v>7.0000000000000001E-3</v>
      </c>
      <c r="CC101">
        <v>0</v>
      </c>
      <c r="CD101">
        <v>0</v>
      </c>
      <c r="CE101">
        <v>0.40677600000000003</v>
      </c>
      <c r="CF101">
        <v>0.37590000000000001</v>
      </c>
      <c r="CG101">
        <v>9.3571428571428583E-2</v>
      </c>
      <c r="CH101">
        <v>1.5</v>
      </c>
      <c r="CI101">
        <v>0</v>
      </c>
      <c r="CJ101">
        <v>3.8059999999999999E-3</v>
      </c>
      <c r="CK101">
        <v>0.85</v>
      </c>
      <c r="CL101">
        <v>0</v>
      </c>
      <c r="CM101">
        <v>1.6363636363636365E-2</v>
      </c>
      <c r="CN101">
        <v>2.1828571428571426E-3</v>
      </c>
      <c r="CO101">
        <v>3.7999999999999999E-2</v>
      </c>
      <c r="CP101">
        <v>3.3000000000000002E-2</v>
      </c>
      <c r="CQ101">
        <v>5.4999999999999997E-3</v>
      </c>
      <c r="CR101">
        <v>5.9999999999999995E-4</v>
      </c>
      <c r="CS101">
        <v>4.1022999999999997E-2</v>
      </c>
      <c r="CT101">
        <v>0</v>
      </c>
      <c r="CU101">
        <v>5.0000000000000001E-3</v>
      </c>
      <c r="CV101">
        <v>0</v>
      </c>
      <c r="CW101">
        <v>5.8999999999999997E-2</v>
      </c>
      <c r="CX101">
        <v>0</v>
      </c>
      <c r="CY101">
        <v>0</v>
      </c>
      <c r="CZ101">
        <v>0</v>
      </c>
      <c r="DA101">
        <v>0</v>
      </c>
    </row>
    <row r="102" spans="1:105" x14ac:dyDescent="0.25">
      <c r="A102" s="1">
        <v>43251</v>
      </c>
      <c r="B102">
        <v>1.4200000000000001E-2</v>
      </c>
      <c r="C102">
        <v>4.7E-2</v>
      </c>
      <c r="D102">
        <v>2.83</v>
      </c>
      <c r="E102">
        <v>0.14460700000000001</v>
      </c>
      <c r="F102">
        <v>0.124</v>
      </c>
      <c r="G102">
        <v>6.7000000000000004E-2</v>
      </c>
      <c r="H102">
        <v>0.223</v>
      </c>
      <c r="I102">
        <v>0.16200000000000001</v>
      </c>
      <c r="J102">
        <v>0.13</v>
      </c>
      <c r="K102">
        <v>8.3000000000000004E-2</v>
      </c>
      <c r="L102">
        <v>0.34200000000000003</v>
      </c>
      <c r="M102">
        <v>1.38</v>
      </c>
      <c r="N102">
        <v>1.0649999999999999</v>
      </c>
      <c r="O102">
        <v>0.89959999999999996</v>
      </c>
      <c r="P102">
        <v>4.0999999999999996</v>
      </c>
      <c r="Q102">
        <v>0.26500000000000001</v>
      </c>
      <c r="R102">
        <v>6.0999999999999999E-2</v>
      </c>
      <c r="S102">
        <v>1.63</v>
      </c>
      <c r="T102">
        <v>1.161</v>
      </c>
      <c r="U102">
        <v>2.69E-2</v>
      </c>
      <c r="V102">
        <v>4.5339999999999998E-3</v>
      </c>
      <c r="W102">
        <v>7.6899999999999996E-2</v>
      </c>
      <c r="X102">
        <v>0.46</v>
      </c>
      <c r="Y102">
        <v>3.99</v>
      </c>
      <c r="Z102">
        <v>31.35</v>
      </c>
      <c r="AA102">
        <v>0.28999999999999998</v>
      </c>
      <c r="AB102">
        <v>0.125</v>
      </c>
      <c r="AC102">
        <v>4.1619999999999999</v>
      </c>
      <c r="AD102">
        <v>0.2</v>
      </c>
      <c r="AE102">
        <v>0.14081818181818181</v>
      </c>
      <c r="AF102">
        <v>0.129</v>
      </c>
      <c r="AG102">
        <v>0.56200000000000006</v>
      </c>
      <c r="AH102">
        <v>1067</v>
      </c>
      <c r="AI102">
        <v>0.69</v>
      </c>
      <c r="AJ102">
        <v>1098</v>
      </c>
      <c r="AK102">
        <v>0.15474999999999997</v>
      </c>
      <c r="AL102">
        <v>516</v>
      </c>
      <c r="AM102">
        <v>0.25807692307692309</v>
      </c>
      <c r="AN102">
        <v>0.43390000000000001</v>
      </c>
      <c r="AO102">
        <v>0</v>
      </c>
      <c r="AP102">
        <v>0.27415</v>
      </c>
      <c r="AQ102">
        <v>0</v>
      </c>
      <c r="AR102">
        <v>1.0078</v>
      </c>
      <c r="AS102">
        <v>7.4399999999999994E-2</v>
      </c>
      <c r="AT102">
        <v>0.1198</v>
      </c>
      <c r="AU102">
        <v>4.5999999999999999E-2</v>
      </c>
      <c r="AV102">
        <v>3.7989473684210529</v>
      </c>
      <c r="AW102">
        <v>2.6160000000000001</v>
      </c>
      <c r="AX102">
        <v>505.67</v>
      </c>
      <c r="AY102">
        <v>2.2685714285714287</v>
      </c>
      <c r="AZ102">
        <v>0.166709</v>
      </c>
      <c r="BA102">
        <v>0.755</v>
      </c>
      <c r="BB102">
        <v>8.8999999999999996E-2</v>
      </c>
      <c r="BC102">
        <v>0.06</v>
      </c>
      <c r="BD102">
        <v>5.19</v>
      </c>
      <c r="BE102">
        <v>1.1557146666666669</v>
      </c>
      <c r="BF102">
        <v>83.81</v>
      </c>
      <c r="BG102">
        <v>3.84</v>
      </c>
      <c r="BH102">
        <v>0.67</v>
      </c>
      <c r="BI102">
        <v>0.65</v>
      </c>
      <c r="BJ102">
        <v>2.1230000000000002</v>
      </c>
      <c r="BK102">
        <v>2.0270000000000001</v>
      </c>
      <c r="BL102">
        <v>2.0899999999999998E-2</v>
      </c>
      <c r="BM102">
        <v>1.84</v>
      </c>
      <c r="BN102">
        <v>0.17</v>
      </c>
      <c r="BO102">
        <v>0.754</v>
      </c>
      <c r="BP102">
        <v>0.144784</v>
      </c>
      <c r="BQ102">
        <v>0</v>
      </c>
      <c r="BR102">
        <v>6.7000000000000004E-2</v>
      </c>
      <c r="BS102">
        <v>0.32300000000000001</v>
      </c>
      <c r="BT102">
        <v>5.8000000000000003E-2</v>
      </c>
      <c r="BU102">
        <v>5.0000000000000001E-3</v>
      </c>
      <c r="BV102">
        <v>2.2780000000000002E-2</v>
      </c>
      <c r="BW102">
        <v>0.157</v>
      </c>
      <c r="BX102">
        <v>0.157</v>
      </c>
      <c r="BY102">
        <v>0.42599999999999999</v>
      </c>
      <c r="BZ102">
        <v>5.0000000000000001E-3</v>
      </c>
      <c r="CA102">
        <v>2.1000000000000001E-2</v>
      </c>
      <c r="CB102">
        <v>7.0000000000000001E-3</v>
      </c>
      <c r="CC102">
        <v>0</v>
      </c>
      <c r="CD102">
        <v>0</v>
      </c>
      <c r="CE102">
        <v>0.40771099999999999</v>
      </c>
      <c r="CF102">
        <v>0.40189999999999998</v>
      </c>
      <c r="CG102">
        <v>5.4285714285714326E-2</v>
      </c>
      <c r="CH102">
        <v>1.4</v>
      </c>
      <c r="CI102">
        <v>0</v>
      </c>
      <c r="CJ102">
        <v>3.388E-3</v>
      </c>
      <c r="CK102">
        <v>0.94</v>
      </c>
      <c r="CL102">
        <v>0</v>
      </c>
      <c r="CM102">
        <v>1.6818181818181819E-2</v>
      </c>
      <c r="CN102">
        <v>2.9442857142857144E-3</v>
      </c>
      <c r="CO102">
        <v>4.1000000000000002E-2</v>
      </c>
      <c r="CP102">
        <v>3.5000000000000003E-2</v>
      </c>
      <c r="CQ102">
        <v>6.1000000000000004E-3</v>
      </c>
      <c r="CR102">
        <v>5.0000000000000001E-4</v>
      </c>
      <c r="CS102">
        <v>3.5123000000000001E-2</v>
      </c>
      <c r="CT102">
        <v>0</v>
      </c>
      <c r="CU102">
        <v>5.0000000000000001E-3</v>
      </c>
      <c r="CV102">
        <v>0</v>
      </c>
      <c r="CW102">
        <v>4.5999999999999999E-2</v>
      </c>
      <c r="CX102">
        <v>0</v>
      </c>
      <c r="CY102">
        <v>0</v>
      </c>
      <c r="CZ102">
        <v>0</v>
      </c>
      <c r="DA102">
        <v>0</v>
      </c>
    </row>
    <row r="103" spans="1:105" x14ac:dyDescent="0.25">
      <c r="A103" s="1">
        <v>43281</v>
      </c>
      <c r="B103">
        <v>2.18E-2</v>
      </c>
      <c r="C103">
        <v>9.4E-2</v>
      </c>
      <c r="D103">
        <v>2.79</v>
      </c>
      <c r="E103">
        <v>0.130775</v>
      </c>
      <c r="F103">
        <v>0.155</v>
      </c>
      <c r="G103">
        <v>0.06</v>
      </c>
      <c r="H103">
        <v>0.25900000000000001</v>
      </c>
      <c r="I103">
        <v>0.17</v>
      </c>
      <c r="J103">
        <v>0.11</v>
      </c>
      <c r="K103">
        <v>8.6999999999999994E-2</v>
      </c>
      <c r="L103">
        <v>0.34599999999999997</v>
      </c>
      <c r="M103">
        <v>1.37</v>
      </c>
      <c r="N103">
        <v>1.2410000000000001</v>
      </c>
      <c r="O103">
        <v>0.60640000000000005</v>
      </c>
      <c r="P103">
        <v>5.3</v>
      </c>
      <c r="Q103">
        <v>0.253</v>
      </c>
      <c r="R103">
        <v>9.0999999999999998E-2</v>
      </c>
      <c r="S103">
        <v>1.43</v>
      </c>
      <c r="T103">
        <v>1.1879999999999999</v>
      </c>
      <c r="U103">
        <v>9.9000000000000008E-3</v>
      </c>
      <c r="V103">
        <v>4.4330000000000003E-3</v>
      </c>
      <c r="W103">
        <v>7.6999999999999999E-2</v>
      </c>
      <c r="X103">
        <v>0.1</v>
      </c>
      <c r="Y103">
        <v>3.29</v>
      </c>
      <c r="Z103">
        <v>25.45</v>
      </c>
      <c r="AA103">
        <v>0.21</v>
      </c>
      <c r="AB103">
        <v>0.115</v>
      </c>
      <c r="AC103">
        <v>3.8849999999999998</v>
      </c>
      <c r="AD103">
        <v>0.23</v>
      </c>
      <c r="AE103">
        <v>0.13718181818181818</v>
      </c>
      <c r="AF103">
        <v>0.151</v>
      </c>
      <c r="AG103">
        <v>0.57999999999999996</v>
      </c>
      <c r="AH103">
        <v>1226</v>
      </c>
      <c r="AI103">
        <v>0.45500000000000002</v>
      </c>
      <c r="AJ103">
        <v>1192</v>
      </c>
      <c r="AK103">
        <v>0.22137499999999996</v>
      </c>
      <c r="AL103">
        <v>560</v>
      </c>
      <c r="AM103">
        <v>0.24330769230769234</v>
      </c>
      <c r="AN103">
        <v>0.61680000000000001</v>
      </c>
      <c r="AO103">
        <v>0</v>
      </c>
      <c r="AP103">
        <v>0.37912499999999999</v>
      </c>
      <c r="AQ103">
        <v>0</v>
      </c>
      <c r="AR103">
        <v>1.0079</v>
      </c>
      <c r="AS103">
        <v>7.4649999999999994E-2</v>
      </c>
      <c r="AT103">
        <v>0.11985000000000001</v>
      </c>
      <c r="AU103">
        <v>0.05</v>
      </c>
      <c r="AV103">
        <v>3.7557894736842106</v>
      </c>
      <c r="AW103">
        <v>2.7</v>
      </c>
      <c r="AX103">
        <v>487.07</v>
      </c>
      <c r="AY103">
        <v>2.3728571428571428</v>
      </c>
      <c r="AZ103">
        <v>0.1721</v>
      </c>
      <c r="BA103">
        <v>0.73499999999999999</v>
      </c>
      <c r="BB103">
        <v>8.5999999999999993E-2</v>
      </c>
      <c r="BC103">
        <v>7.0000000000000001E-3</v>
      </c>
      <c r="BD103">
        <v>4.1120000000000001</v>
      </c>
      <c r="BE103">
        <v>0.87707200000000007</v>
      </c>
      <c r="BF103">
        <v>83.54</v>
      </c>
      <c r="BG103">
        <v>3.88</v>
      </c>
      <c r="BH103">
        <v>1.03</v>
      </c>
      <c r="BI103">
        <v>0.88</v>
      </c>
      <c r="BJ103">
        <v>2.02</v>
      </c>
      <c r="BK103">
        <v>1.87</v>
      </c>
      <c r="BL103">
        <v>1.95E-2</v>
      </c>
      <c r="BM103">
        <v>1.92</v>
      </c>
      <c r="BN103">
        <v>0.13</v>
      </c>
      <c r="BO103">
        <v>0.71</v>
      </c>
      <c r="BP103">
        <v>0.13161100000000001</v>
      </c>
      <c r="BQ103">
        <v>0</v>
      </c>
      <c r="BR103">
        <v>6.6000000000000003E-2</v>
      </c>
      <c r="BS103">
        <v>0.308</v>
      </c>
      <c r="BT103">
        <v>5.2999999999999999E-2</v>
      </c>
      <c r="BU103">
        <v>6.0000000000000001E-3</v>
      </c>
      <c r="BV103">
        <v>2.503E-2</v>
      </c>
      <c r="BW103">
        <v>0.16</v>
      </c>
      <c r="BX103">
        <v>0.16</v>
      </c>
      <c r="BY103">
        <v>0.433</v>
      </c>
      <c r="BZ103">
        <v>6.0000000000000001E-3</v>
      </c>
      <c r="CA103">
        <v>2.4E-2</v>
      </c>
      <c r="CB103">
        <v>0.01</v>
      </c>
      <c r="CC103">
        <v>0</v>
      </c>
      <c r="CD103">
        <v>0</v>
      </c>
      <c r="CE103">
        <v>0.444131</v>
      </c>
      <c r="CF103">
        <v>0.3518</v>
      </c>
      <c r="CG103">
        <v>1.4999999999999999E-2</v>
      </c>
      <c r="CH103">
        <v>1.9</v>
      </c>
      <c r="CI103">
        <v>0</v>
      </c>
      <c r="CJ103">
        <v>3.2650000000000001E-3</v>
      </c>
      <c r="CK103">
        <v>0.91</v>
      </c>
      <c r="CL103">
        <v>0</v>
      </c>
      <c r="CM103">
        <v>1.7272727272727273E-2</v>
      </c>
      <c r="CN103">
        <v>3.7057142857142857E-3</v>
      </c>
      <c r="CO103">
        <v>4.2000000000000003E-2</v>
      </c>
      <c r="CP103">
        <v>3.6999999999999998E-2</v>
      </c>
      <c r="CQ103">
        <v>6.1999999999999998E-3</v>
      </c>
      <c r="CR103">
        <v>5.9999999999999995E-4</v>
      </c>
      <c r="CS103">
        <v>2.5152999999999998E-2</v>
      </c>
      <c r="CT103">
        <v>0</v>
      </c>
      <c r="CU103">
        <v>5.1000000000000004E-3</v>
      </c>
      <c r="CV103">
        <v>0</v>
      </c>
      <c r="CW103">
        <v>0.04</v>
      </c>
      <c r="CX103">
        <v>0</v>
      </c>
      <c r="CY103">
        <v>0</v>
      </c>
      <c r="CZ103">
        <v>0</v>
      </c>
      <c r="DA103">
        <v>0</v>
      </c>
    </row>
    <row r="104" spans="1:105" x14ac:dyDescent="0.25">
      <c r="A104" s="1">
        <v>43312</v>
      </c>
      <c r="B104">
        <v>1.8499999999999999E-2</v>
      </c>
      <c r="C104">
        <v>0.129</v>
      </c>
      <c r="D104">
        <v>2.66</v>
      </c>
      <c r="E104">
        <v>0.128165</v>
      </c>
      <c r="F104">
        <v>0.128</v>
      </c>
      <c r="G104">
        <v>0.06</v>
      </c>
      <c r="H104">
        <v>0.24299999999999999</v>
      </c>
      <c r="I104">
        <v>0.17199999999999999</v>
      </c>
      <c r="J104">
        <v>7.9200000000000007E-2</v>
      </c>
      <c r="K104">
        <v>0.10100000000000001</v>
      </c>
      <c r="L104">
        <v>0.34599999999999997</v>
      </c>
      <c r="M104">
        <v>1.391</v>
      </c>
      <c r="N104">
        <v>1.0660000000000001</v>
      </c>
      <c r="O104">
        <v>0.66820000000000002</v>
      </c>
      <c r="P104">
        <v>4.4000000000000004</v>
      </c>
      <c r="Q104">
        <v>0.254</v>
      </c>
      <c r="R104">
        <v>0.104</v>
      </c>
      <c r="S104">
        <v>1.44</v>
      </c>
      <c r="T104">
        <v>1.0609999999999999</v>
      </c>
      <c r="U104">
        <v>3.7000000000000002E-3</v>
      </c>
      <c r="V104">
        <v>5.071E-3</v>
      </c>
      <c r="W104">
        <v>5.0799999999999998E-2</v>
      </c>
      <c r="X104">
        <v>0.41</v>
      </c>
      <c r="Y104">
        <v>3.27</v>
      </c>
      <c r="Z104">
        <v>25.59</v>
      </c>
      <c r="AA104">
        <v>0.22</v>
      </c>
      <c r="AB104">
        <v>0.111</v>
      </c>
      <c r="AC104">
        <v>4.1710000000000003</v>
      </c>
      <c r="AD104">
        <v>0.27</v>
      </c>
      <c r="AE104">
        <v>0.13354545454545455</v>
      </c>
      <c r="AF104">
        <v>0.153</v>
      </c>
      <c r="AG104">
        <v>0.59099999999999997</v>
      </c>
      <c r="AH104">
        <v>1185</v>
      </c>
      <c r="AI104">
        <v>0.75</v>
      </c>
      <c r="AJ104">
        <v>1233</v>
      </c>
      <c r="AK104">
        <v>0.28799999999999998</v>
      </c>
      <c r="AL104">
        <v>932</v>
      </c>
      <c r="AM104">
        <v>0.22853846153846155</v>
      </c>
      <c r="AN104">
        <v>0.79969999999999997</v>
      </c>
      <c r="AO104">
        <v>0</v>
      </c>
      <c r="AP104">
        <v>0.48409999999999997</v>
      </c>
      <c r="AQ104">
        <v>0.26</v>
      </c>
      <c r="AR104">
        <v>1.008</v>
      </c>
      <c r="AS104">
        <v>7.4899999999999994E-2</v>
      </c>
      <c r="AT104">
        <v>0.11990000000000001</v>
      </c>
      <c r="AU104">
        <v>3.5000000000000003E-2</v>
      </c>
      <c r="AV104">
        <v>3.7126315789473683</v>
      </c>
      <c r="AW104">
        <v>2.72</v>
      </c>
      <c r="AX104">
        <v>537.16</v>
      </c>
      <c r="AY104">
        <v>2.4771428571428573</v>
      </c>
      <c r="AZ104">
        <v>0.2</v>
      </c>
      <c r="BA104">
        <v>0.75800000000000001</v>
      </c>
      <c r="BB104">
        <v>8.6999999999999994E-2</v>
      </c>
      <c r="BC104">
        <v>7.0000000000000001E-3</v>
      </c>
      <c r="BD104">
        <v>4.4089999999999998</v>
      </c>
      <c r="BE104">
        <v>0.59842933333333348</v>
      </c>
      <c r="BF104">
        <v>87.02</v>
      </c>
      <c r="BG104">
        <v>3.8</v>
      </c>
      <c r="BH104">
        <v>1.32</v>
      </c>
      <c r="BI104">
        <v>1.29</v>
      </c>
      <c r="BJ104">
        <v>2.0659999999999998</v>
      </c>
      <c r="BK104">
        <v>2.0649999999999999</v>
      </c>
      <c r="BL104">
        <v>2.12E-2</v>
      </c>
      <c r="BM104">
        <v>1.94</v>
      </c>
      <c r="BN104">
        <v>0.11</v>
      </c>
      <c r="BO104">
        <v>0.70299999999999996</v>
      </c>
      <c r="BP104">
        <v>0.13090599999999999</v>
      </c>
      <c r="BQ104">
        <v>0</v>
      </c>
      <c r="BR104">
        <v>7.0999999999999994E-2</v>
      </c>
      <c r="BS104">
        <v>0.32200000000000001</v>
      </c>
      <c r="BT104">
        <v>5.7000000000000002E-2</v>
      </c>
      <c r="BU104">
        <v>6.7999999999999996E-3</v>
      </c>
      <c r="BV104">
        <v>2.5139999999999999E-2</v>
      </c>
      <c r="BW104">
        <v>0.16300000000000001</v>
      </c>
      <c r="BX104">
        <v>0.16300000000000001</v>
      </c>
      <c r="BY104">
        <v>0.45800000000000002</v>
      </c>
      <c r="BZ104">
        <v>6.0000000000000001E-3</v>
      </c>
      <c r="CA104">
        <v>2.3E-2</v>
      </c>
      <c r="CB104">
        <v>0.01</v>
      </c>
      <c r="CC104">
        <v>0</v>
      </c>
      <c r="CD104">
        <v>0</v>
      </c>
      <c r="CE104">
        <v>0.49828499999999998</v>
      </c>
      <c r="CF104">
        <v>0.38290000000000002</v>
      </c>
      <c r="CG104">
        <v>1.4999999999999999E-2</v>
      </c>
      <c r="CH104">
        <v>1.5</v>
      </c>
      <c r="CI104">
        <v>0</v>
      </c>
      <c r="CJ104">
        <v>3.15E-3</v>
      </c>
      <c r="CK104">
        <v>0.94</v>
      </c>
      <c r="CL104">
        <v>0</v>
      </c>
      <c r="CM104">
        <v>1.7727272727272727E-2</v>
      </c>
      <c r="CN104">
        <v>4.467142857142857E-3</v>
      </c>
      <c r="CO104">
        <v>4.2999999999999997E-2</v>
      </c>
      <c r="CP104">
        <v>3.9E-2</v>
      </c>
      <c r="CQ104">
        <v>5.1000000000000004E-3</v>
      </c>
      <c r="CR104">
        <v>5.0000000000000001E-4</v>
      </c>
      <c r="CS104">
        <v>1.5089999999999999E-2</v>
      </c>
      <c r="CT104">
        <v>0</v>
      </c>
      <c r="CU104">
        <v>5.4999999999999997E-3</v>
      </c>
      <c r="CV104">
        <v>0</v>
      </c>
      <c r="CW104">
        <v>0.04</v>
      </c>
      <c r="CX104">
        <v>0</v>
      </c>
      <c r="CY104">
        <v>0</v>
      </c>
      <c r="CZ104">
        <v>0</v>
      </c>
      <c r="DA104">
        <v>0</v>
      </c>
    </row>
    <row r="105" spans="1:105" x14ac:dyDescent="0.25">
      <c r="A105" s="1">
        <v>43343</v>
      </c>
      <c r="B105">
        <v>1.84E-2</v>
      </c>
      <c r="C105">
        <v>0.11</v>
      </c>
      <c r="D105">
        <v>2.75</v>
      </c>
      <c r="E105">
        <v>0.121535</v>
      </c>
      <c r="F105">
        <v>0.13100000000000001</v>
      </c>
      <c r="G105">
        <v>6.6000000000000003E-2</v>
      </c>
      <c r="H105">
        <v>0.22600000000000001</v>
      </c>
      <c r="I105">
        <v>0.16400000000000001</v>
      </c>
      <c r="J105">
        <v>7.0000000000000007E-2</v>
      </c>
      <c r="K105">
        <v>9.1999999999999998E-2</v>
      </c>
      <c r="L105">
        <v>0.42</v>
      </c>
      <c r="M105">
        <v>1.3580000000000001</v>
      </c>
      <c r="N105">
        <v>1.1020000000000001</v>
      </c>
      <c r="O105">
        <v>0.63390000000000002</v>
      </c>
      <c r="P105">
        <v>4.2</v>
      </c>
      <c r="Q105">
        <v>0.247</v>
      </c>
      <c r="R105">
        <v>8.4000000000000005E-2</v>
      </c>
      <c r="S105">
        <v>1.4</v>
      </c>
      <c r="T105">
        <v>1.0129999999999999</v>
      </c>
      <c r="U105">
        <v>2.3E-3</v>
      </c>
      <c r="V105">
        <v>5.7549999999999997E-3</v>
      </c>
      <c r="W105">
        <v>7.7499999999999999E-2</v>
      </c>
      <c r="X105">
        <v>1.1200000000000001</v>
      </c>
      <c r="Y105">
        <v>2.98</v>
      </c>
      <c r="Z105">
        <v>27.92</v>
      </c>
      <c r="AA105">
        <v>0.92</v>
      </c>
      <c r="AB105">
        <v>0.11600000000000001</v>
      </c>
      <c r="AC105">
        <v>3.9620000000000002</v>
      </c>
      <c r="AD105">
        <v>0.18</v>
      </c>
      <c r="AE105">
        <v>0.12990909090909092</v>
      </c>
      <c r="AF105">
        <v>0.153</v>
      </c>
      <c r="AG105">
        <v>0.6</v>
      </c>
      <c r="AH105">
        <v>1267</v>
      </c>
      <c r="AI105">
        <v>1.32</v>
      </c>
      <c r="AJ105">
        <v>1194</v>
      </c>
      <c r="AK105">
        <v>0.93900000000000006</v>
      </c>
      <c r="AL105">
        <v>698</v>
      </c>
      <c r="AM105">
        <v>0.21376923076923079</v>
      </c>
      <c r="AN105">
        <v>0.43384999999999996</v>
      </c>
      <c r="AO105">
        <v>0</v>
      </c>
      <c r="AP105">
        <v>0.27405000000000002</v>
      </c>
      <c r="AQ105">
        <v>0.254</v>
      </c>
      <c r="AR105">
        <v>1.008</v>
      </c>
      <c r="AS105">
        <v>7.4449999999999988E-2</v>
      </c>
      <c r="AT105">
        <v>0.11995</v>
      </c>
      <c r="AU105">
        <v>1.7000000000000001E-2</v>
      </c>
      <c r="AV105">
        <v>3.6694736842105264</v>
      </c>
      <c r="AW105">
        <v>2.6</v>
      </c>
      <c r="AX105">
        <v>537.25</v>
      </c>
      <c r="AY105">
        <v>2.5814285714285714</v>
      </c>
      <c r="AZ105">
        <v>0.17899999999999999</v>
      </c>
      <c r="BA105">
        <v>0.69299999999999995</v>
      </c>
      <c r="BB105">
        <v>9.2999999999999999E-2</v>
      </c>
      <c r="BC105">
        <v>0.01</v>
      </c>
      <c r="BD105">
        <v>4.2359999999999998</v>
      </c>
      <c r="BE105">
        <v>0.31978666666666689</v>
      </c>
      <c r="BF105">
        <v>84.35</v>
      </c>
      <c r="BG105">
        <v>3.85</v>
      </c>
      <c r="BH105">
        <v>1.1399999999999999</v>
      </c>
      <c r="BI105">
        <v>1</v>
      </c>
      <c r="BJ105">
        <v>2.0510000000000002</v>
      </c>
      <c r="BK105">
        <v>1.8460000000000001</v>
      </c>
      <c r="BL105">
        <v>2.0400000000000001E-2</v>
      </c>
      <c r="BM105">
        <v>1.92</v>
      </c>
      <c r="BN105">
        <v>0.12</v>
      </c>
      <c r="BO105">
        <v>0.63</v>
      </c>
      <c r="BP105">
        <v>0.14588699999999999</v>
      </c>
      <c r="BQ105">
        <v>0</v>
      </c>
      <c r="BR105">
        <v>7.0000000000000007E-2</v>
      </c>
      <c r="BS105">
        <v>0.30299999999999999</v>
      </c>
      <c r="BT105">
        <v>5.5E-2</v>
      </c>
      <c r="BU105">
        <v>6.0000000000000001E-3</v>
      </c>
      <c r="BV105">
        <v>2.3550000000000001E-2</v>
      </c>
      <c r="BW105">
        <v>0.16600000000000001</v>
      </c>
      <c r="BX105">
        <v>0.16600000000000001</v>
      </c>
      <c r="BY105">
        <v>0.437</v>
      </c>
      <c r="BZ105">
        <v>6.0000000000000001E-3</v>
      </c>
      <c r="CA105">
        <v>2.4E-2</v>
      </c>
      <c r="CB105">
        <v>8.0000000000000002E-3</v>
      </c>
      <c r="CC105">
        <v>0</v>
      </c>
      <c r="CD105">
        <v>0</v>
      </c>
      <c r="CE105">
        <v>0.42630200000000001</v>
      </c>
      <c r="CF105">
        <v>0.36770000000000003</v>
      </c>
      <c r="CG105">
        <v>1.6E-2</v>
      </c>
      <c r="CH105">
        <v>1.5</v>
      </c>
      <c r="CI105">
        <v>2E-3</v>
      </c>
      <c r="CJ105">
        <v>4.3140000000000001E-3</v>
      </c>
      <c r="CK105">
        <v>0.94</v>
      </c>
      <c r="CL105">
        <v>0</v>
      </c>
      <c r="CM105">
        <v>1.8181818181818181E-2</v>
      </c>
      <c r="CN105">
        <v>5.2285714285714288E-3</v>
      </c>
      <c r="CO105">
        <v>4.5999999999999999E-2</v>
      </c>
      <c r="CP105">
        <v>3.7999999999999999E-2</v>
      </c>
      <c r="CQ105">
        <v>6.1999999999999998E-3</v>
      </c>
      <c r="CR105">
        <v>5.0000000000000001E-4</v>
      </c>
      <c r="CS105">
        <v>3.2828000000000002E-3</v>
      </c>
      <c r="CT105">
        <v>0</v>
      </c>
      <c r="CU105">
        <v>5.7000000000000002E-3</v>
      </c>
      <c r="CV105">
        <v>0</v>
      </c>
      <c r="CW105">
        <v>4.2999999999999997E-2</v>
      </c>
      <c r="CX105">
        <v>0</v>
      </c>
      <c r="CY105">
        <v>0</v>
      </c>
      <c r="CZ105">
        <v>0</v>
      </c>
      <c r="DA105">
        <v>0</v>
      </c>
    </row>
    <row r="106" spans="1:105" x14ac:dyDescent="0.25">
      <c r="A106" s="1">
        <v>43373</v>
      </c>
      <c r="B106">
        <v>1.83E-2</v>
      </c>
      <c r="C106">
        <v>7.0000000000000007E-2</v>
      </c>
      <c r="D106">
        <v>2.75</v>
      </c>
      <c r="E106">
        <v>0.248253</v>
      </c>
      <c r="F106">
        <v>0.16700000000000001</v>
      </c>
      <c r="G106">
        <v>0.1</v>
      </c>
      <c r="H106">
        <v>0.311</v>
      </c>
      <c r="I106">
        <v>0.188</v>
      </c>
      <c r="J106">
        <v>0.08</v>
      </c>
      <c r="K106">
        <v>0.112</v>
      </c>
      <c r="L106">
        <v>0.38500000000000001</v>
      </c>
      <c r="M106">
        <v>1.75</v>
      </c>
      <c r="N106">
        <v>1.2330000000000001</v>
      </c>
      <c r="O106">
        <v>1.4873000000000001</v>
      </c>
      <c r="P106">
        <v>5</v>
      </c>
      <c r="Q106">
        <v>0.36599999999999999</v>
      </c>
      <c r="R106">
        <v>7.0000000000000007E-2</v>
      </c>
      <c r="S106">
        <v>1.6</v>
      </c>
      <c r="T106">
        <v>1.2669999999999999</v>
      </c>
      <c r="U106">
        <v>2.8E-3</v>
      </c>
      <c r="V106">
        <v>4.2729999999999999E-3</v>
      </c>
      <c r="W106">
        <v>8.6199999999999999E-2</v>
      </c>
      <c r="X106">
        <v>1.73</v>
      </c>
      <c r="Y106">
        <v>5.27</v>
      </c>
      <c r="Z106">
        <v>37.9</v>
      </c>
      <c r="AA106">
        <v>6.94</v>
      </c>
      <c r="AB106">
        <v>0.128</v>
      </c>
      <c r="AC106">
        <v>6.048</v>
      </c>
      <c r="AD106">
        <v>0.25</v>
      </c>
      <c r="AE106">
        <v>0.12627272727272726</v>
      </c>
      <c r="AF106">
        <v>0.16500000000000001</v>
      </c>
      <c r="AG106">
        <v>0.61699999999999999</v>
      </c>
      <c r="AH106">
        <v>1023</v>
      </c>
      <c r="AI106">
        <v>1.341</v>
      </c>
      <c r="AJ106">
        <v>1302</v>
      </c>
      <c r="AK106">
        <v>1.59</v>
      </c>
      <c r="AL106">
        <v>329</v>
      </c>
      <c r="AM106">
        <v>0.19900000000000001</v>
      </c>
      <c r="AN106">
        <v>6.8000000000000005E-2</v>
      </c>
      <c r="AO106">
        <v>0</v>
      </c>
      <c r="AP106">
        <v>6.4000000000000001E-2</v>
      </c>
      <c r="AQ106">
        <v>0.248</v>
      </c>
      <c r="AR106">
        <v>1.008</v>
      </c>
      <c r="AS106">
        <v>7.3999999999999996E-2</v>
      </c>
      <c r="AT106">
        <v>0.12</v>
      </c>
      <c r="AU106">
        <v>0.54500000000000004</v>
      </c>
      <c r="AV106">
        <v>3.6263157894736846</v>
      </c>
      <c r="AW106">
        <v>3.089</v>
      </c>
      <c r="AX106">
        <v>537.13</v>
      </c>
      <c r="AY106">
        <v>2.6857142857142859</v>
      </c>
      <c r="AZ106">
        <v>0.202733</v>
      </c>
      <c r="BA106">
        <v>0.86</v>
      </c>
      <c r="BB106">
        <v>0.14599999999999999</v>
      </c>
      <c r="BC106">
        <v>0.01</v>
      </c>
      <c r="BD106">
        <v>6.819</v>
      </c>
      <c r="BE106">
        <v>4.1144E-2</v>
      </c>
      <c r="BF106">
        <v>113.33</v>
      </c>
      <c r="BG106">
        <v>0.56999999999999995</v>
      </c>
      <c r="BH106">
        <v>0.87</v>
      </c>
      <c r="BI106">
        <v>0.74</v>
      </c>
      <c r="BJ106">
        <v>2.14</v>
      </c>
      <c r="BK106">
        <v>3.2650000000000001</v>
      </c>
      <c r="BL106">
        <v>2.3400000000000001E-2</v>
      </c>
      <c r="BM106">
        <v>2.0099999999999998</v>
      </c>
      <c r="BN106">
        <v>0.26</v>
      </c>
      <c r="BO106">
        <v>0.68300000000000005</v>
      </c>
      <c r="BP106">
        <v>0.13461699999999999</v>
      </c>
      <c r="BQ106">
        <v>0</v>
      </c>
      <c r="BR106">
        <v>0.108</v>
      </c>
      <c r="BS106">
        <v>0.33200000000000002</v>
      </c>
      <c r="BT106">
        <v>7.0000000000000007E-2</v>
      </c>
      <c r="BU106">
        <v>1.7999999999999999E-2</v>
      </c>
      <c r="BV106">
        <v>2.5000000000000001E-2</v>
      </c>
      <c r="BW106">
        <v>0.17</v>
      </c>
      <c r="BX106">
        <v>0.17</v>
      </c>
      <c r="BY106">
        <v>0.34100000000000003</v>
      </c>
      <c r="BZ106">
        <v>0.01</v>
      </c>
      <c r="CA106">
        <v>2.4E-2</v>
      </c>
      <c r="CB106">
        <v>8.9999999999999993E-3</v>
      </c>
      <c r="CC106">
        <v>0</v>
      </c>
      <c r="CD106">
        <v>0</v>
      </c>
      <c r="CE106">
        <v>0.51988699999999999</v>
      </c>
      <c r="CF106">
        <v>0.85670000000000002</v>
      </c>
      <c r="CG106">
        <v>2.7E-2</v>
      </c>
      <c r="CH106">
        <v>1.9</v>
      </c>
      <c r="CI106">
        <v>5.0000000000000001E-3</v>
      </c>
      <c r="CJ106">
        <v>5.757E-3</v>
      </c>
      <c r="CK106">
        <v>1.1299999999999999</v>
      </c>
      <c r="CL106">
        <v>0</v>
      </c>
      <c r="CM106">
        <v>1.8636363636363638E-2</v>
      </c>
      <c r="CN106">
        <v>5.9899999999999997E-3</v>
      </c>
      <c r="CO106">
        <v>5.5E-2</v>
      </c>
      <c r="CP106">
        <v>4.3999999999999997E-2</v>
      </c>
      <c r="CQ106">
        <v>5.5999999999999999E-3</v>
      </c>
      <c r="CR106">
        <v>6.9999999999999999E-4</v>
      </c>
      <c r="CS106">
        <v>6.3252999999999998E-3</v>
      </c>
      <c r="CT106">
        <v>0</v>
      </c>
      <c r="CU106">
        <v>6.1999999999999998E-3</v>
      </c>
      <c r="CV106">
        <v>0</v>
      </c>
      <c r="CW106">
        <v>5.2999999999999999E-2</v>
      </c>
      <c r="CX106">
        <v>0</v>
      </c>
      <c r="CY106">
        <v>0</v>
      </c>
      <c r="CZ106">
        <v>0</v>
      </c>
      <c r="DA106">
        <v>0</v>
      </c>
    </row>
    <row r="107" spans="1:105" x14ac:dyDescent="0.25">
      <c r="A107" s="1">
        <v>43404</v>
      </c>
      <c r="B107">
        <v>1.5699999999999999E-2</v>
      </c>
      <c r="C107">
        <v>4.8000000000000001E-2</v>
      </c>
      <c r="D107">
        <v>3.05</v>
      </c>
      <c r="E107">
        <v>0.200046</v>
      </c>
      <c r="F107">
        <v>0.20300000000000001</v>
      </c>
      <c r="G107">
        <v>0.1</v>
      </c>
      <c r="H107">
        <v>0.29899999999999999</v>
      </c>
      <c r="I107">
        <v>0.182</v>
      </c>
      <c r="J107">
        <v>0.105</v>
      </c>
      <c r="K107">
        <v>0.12</v>
      </c>
      <c r="L107">
        <v>0.41199999999999998</v>
      </c>
      <c r="M107">
        <v>1.8220000000000001</v>
      </c>
      <c r="N107">
        <v>1.321</v>
      </c>
      <c r="O107">
        <v>1.9699</v>
      </c>
      <c r="P107">
        <v>5.3</v>
      </c>
      <c r="Q107">
        <v>0.42799999999999999</v>
      </c>
      <c r="R107">
        <v>5.5E-2</v>
      </c>
      <c r="S107">
        <v>1.84</v>
      </c>
      <c r="T107">
        <v>1.21</v>
      </c>
      <c r="U107">
        <v>2.8999999999999998E-3</v>
      </c>
      <c r="V107">
        <v>5.5469999999999998E-3</v>
      </c>
      <c r="W107">
        <v>8.5500000000000007E-2</v>
      </c>
      <c r="X107">
        <v>2.63</v>
      </c>
      <c r="Y107">
        <v>5.74</v>
      </c>
      <c r="Z107">
        <v>38.56</v>
      </c>
      <c r="AA107">
        <v>6.32</v>
      </c>
      <c r="AB107">
        <v>0.128</v>
      </c>
      <c r="AC107">
        <v>5.6449999999999996</v>
      </c>
      <c r="AD107">
        <v>0.23</v>
      </c>
      <c r="AE107">
        <v>0.12263636363636363</v>
      </c>
      <c r="AF107">
        <v>0.189</v>
      </c>
      <c r="AG107">
        <v>0.64400000000000002</v>
      </c>
      <c r="AH107">
        <v>986</v>
      </c>
      <c r="AI107">
        <v>0.79600000000000004</v>
      </c>
      <c r="AJ107">
        <v>1177</v>
      </c>
      <c r="AK107">
        <v>0.16600000000000001</v>
      </c>
      <c r="AL107">
        <v>311</v>
      </c>
      <c r="AM107">
        <v>0.10300000000000001</v>
      </c>
      <c r="AN107">
        <v>6.8000000000000005E-2</v>
      </c>
      <c r="AO107">
        <v>0</v>
      </c>
      <c r="AP107">
        <v>6.4000000000000001E-2</v>
      </c>
      <c r="AQ107">
        <v>0.26</v>
      </c>
      <c r="AR107">
        <v>1.008</v>
      </c>
      <c r="AS107">
        <v>7.3999999999999996E-2</v>
      </c>
      <c r="AT107">
        <v>0.12</v>
      </c>
      <c r="AU107">
        <v>3.7999999999999999E-2</v>
      </c>
      <c r="AV107">
        <v>3.5831578947368423</v>
      </c>
      <c r="AW107">
        <v>3.3439999999999999</v>
      </c>
      <c r="AX107">
        <v>522.79999999999995</v>
      </c>
      <c r="AY107">
        <v>2.79</v>
      </c>
      <c r="AZ107">
        <v>0.21354799999999999</v>
      </c>
      <c r="BA107">
        <v>0.86299999999999999</v>
      </c>
      <c r="BB107">
        <v>0.127</v>
      </c>
      <c r="BC107">
        <v>0.02</v>
      </c>
      <c r="BD107">
        <v>6.8159999999999998</v>
      </c>
      <c r="BE107">
        <v>0.41438000000000003</v>
      </c>
      <c r="BF107">
        <v>105.34</v>
      </c>
      <c r="BG107">
        <v>0.09</v>
      </c>
      <c r="BH107">
        <v>0.79</v>
      </c>
      <c r="BI107">
        <v>0.68</v>
      </c>
      <c r="BJ107">
        <v>2.1749999999999998</v>
      </c>
      <c r="BK107">
        <v>2.8340000000000001</v>
      </c>
      <c r="BL107">
        <v>2.7699999999999999E-2</v>
      </c>
      <c r="BM107">
        <v>1.9</v>
      </c>
      <c r="BN107">
        <v>0.3</v>
      </c>
      <c r="BO107">
        <v>0.625</v>
      </c>
      <c r="BP107">
        <v>0.205655</v>
      </c>
      <c r="BQ107">
        <v>0</v>
      </c>
      <c r="BR107">
        <v>0.107</v>
      </c>
      <c r="BS107">
        <v>0.29499999999999998</v>
      </c>
      <c r="BT107">
        <v>7.4999999999999997E-2</v>
      </c>
      <c r="BU107">
        <v>1.6E-2</v>
      </c>
      <c r="BV107">
        <v>2.2440000000000002E-2</v>
      </c>
      <c r="BW107">
        <v>0.17699999999999999</v>
      </c>
      <c r="BX107">
        <v>0.17699999999999999</v>
      </c>
      <c r="BY107">
        <v>0.433</v>
      </c>
      <c r="BZ107">
        <v>8.0000000000000002E-3</v>
      </c>
      <c r="CA107">
        <v>2.3199999999999998E-2</v>
      </c>
      <c r="CB107">
        <v>0.01</v>
      </c>
      <c r="CC107">
        <v>0</v>
      </c>
      <c r="CD107">
        <v>0</v>
      </c>
      <c r="CE107">
        <v>0.56409200000000004</v>
      </c>
      <c r="CF107">
        <v>0.86329999999999996</v>
      </c>
      <c r="CG107">
        <v>0.02</v>
      </c>
      <c r="CH107">
        <v>1.8</v>
      </c>
      <c r="CI107">
        <v>5.0000000000000001E-3</v>
      </c>
      <c r="CJ107">
        <v>4.9500000000000004E-3</v>
      </c>
      <c r="CK107">
        <v>1.17</v>
      </c>
      <c r="CL107">
        <v>0</v>
      </c>
      <c r="CM107">
        <v>1.9090909090909089E-2</v>
      </c>
      <c r="CN107">
        <v>4.9940000000000002E-3</v>
      </c>
      <c r="CO107">
        <v>5.1999999999999998E-2</v>
      </c>
      <c r="CP107">
        <v>4.4999999999999998E-2</v>
      </c>
      <c r="CQ107">
        <v>6.1000000000000004E-3</v>
      </c>
      <c r="CR107">
        <v>8.0000000000000004E-4</v>
      </c>
      <c r="CS107">
        <v>5.4856999999999996E-3</v>
      </c>
      <c r="CT107">
        <v>0</v>
      </c>
      <c r="CU107">
        <v>6.7999999999999996E-3</v>
      </c>
      <c r="CV107">
        <v>0</v>
      </c>
      <c r="CW107">
        <v>0.05</v>
      </c>
      <c r="CX107">
        <v>5.5999999999999999E-3</v>
      </c>
      <c r="CY107">
        <v>0</v>
      </c>
      <c r="CZ107">
        <v>0</v>
      </c>
      <c r="DA107">
        <v>0</v>
      </c>
    </row>
    <row r="108" spans="1:105" x14ac:dyDescent="0.25">
      <c r="A108" s="1">
        <v>43434</v>
      </c>
      <c r="B108">
        <v>1.5100000000000001E-2</v>
      </c>
      <c r="C108">
        <v>5.3999999999999999E-2</v>
      </c>
      <c r="D108">
        <v>2.93</v>
      </c>
      <c r="E108">
        <v>0.118154</v>
      </c>
      <c r="F108">
        <v>0.17399999999999999</v>
      </c>
      <c r="G108">
        <v>0.08</v>
      </c>
      <c r="H108">
        <v>0.30099999999999999</v>
      </c>
      <c r="I108">
        <v>0.191</v>
      </c>
      <c r="J108">
        <v>0.11</v>
      </c>
      <c r="K108">
        <v>0.129</v>
      </c>
      <c r="L108">
        <v>0.317</v>
      </c>
      <c r="M108">
        <v>1.7529999999999999</v>
      </c>
      <c r="N108">
        <v>1.2410000000000001</v>
      </c>
      <c r="O108">
        <v>1.2504</v>
      </c>
      <c r="P108">
        <v>4.8</v>
      </c>
      <c r="Q108">
        <v>0.32700000000000001</v>
      </c>
      <c r="R108">
        <v>6.3E-2</v>
      </c>
      <c r="S108">
        <v>1.3089999999999999</v>
      </c>
      <c r="T108">
        <v>1.1319999999999999</v>
      </c>
      <c r="U108">
        <v>2.5000000000000001E-3</v>
      </c>
      <c r="V108">
        <v>3.7190000000000001E-3</v>
      </c>
      <c r="W108">
        <v>8.7999999999999995E-2</v>
      </c>
      <c r="X108">
        <v>2.0699999999999998</v>
      </c>
      <c r="Y108">
        <v>5.01</v>
      </c>
      <c r="Z108">
        <v>37.229999999999997</v>
      </c>
      <c r="AA108">
        <v>5.09</v>
      </c>
      <c r="AB108">
        <v>0.112</v>
      </c>
      <c r="AC108">
        <v>4.9980000000000002</v>
      </c>
      <c r="AD108">
        <v>0.24</v>
      </c>
      <c r="AE108">
        <v>0.11899999999999999</v>
      </c>
      <c r="AF108">
        <v>0.16600000000000001</v>
      </c>
      <c r="AG108">
        <v>0.6</v>
      </c>
      <c r="AH108">
        <v>990</v>
      </c>
      <c r="AI108">
        <v>0.93100000000000005</v>
      </c>
      <c r="AJ108">
        <v>963</v>
      </c>
      <c r="AK108">
        <v>0.14200000000000002</v>
      </c>
      <c r="AL108">
        <v>227</v>
      </c>
      <c r="AM108">
        <v>7.0000000000000001E-3</v>
      </c>
      <c r="AN108">
        <v>6.8000000000000005E-2</v>
      </c>
      <c r="AO108">
        <v>0</v>
      </c>
      <c r="AP108">
        <v>6.4000000000000001E-2</v>
      </c>
      <c r="AQ108">
        <v>0.26</v>
      </c>
      <c r="AR108">
        <v>1.008</v>
      </c>
      <c r="AS108">
        <v>7.3999999999999996E-2</v>
      </c>
      <c r="AT108">
        <v>0.12</v>
      </c>
      <c r="AU108">
        <v>2.1999999999999999E-2</v>
      </c>
      <c r="AV108">
        <v>3.54</v>
      </c>
      <c r="AW108">
        <v>2.7029999999999998</v>
      </c>
      <c r="AX108">
        <v>457.38</v>
      </c>
      <c r="AY108">
        <v>2.34</v>
      </c>
      <c r="AZ108">
        <v>0.18116599999999999</v>
      </c>
      <c r="BA108">
        <v>0.82399999999999995</v>
      </c>
      <c r="BB108">
        <v>0.12</v>
      </c>
      <c r="BC108">
        <v>0.02</v>
      </c>
      <c r="BD108">
        <v>5.968</v>
      </c>
      <c r="BE108">
        <v>0.53771142857142862</v>
      </c>
      <c r="BF108">
        <v>97.19</v>
      </c>
      <c r="BG108">
        <v>0.16</v>
      </c>
      <c r="BH108">
        <v>0.54</v>
      </c>
      <c r="BI108">
        <v>0.46</v>
      </c>
      <c r="BJ108">
        <v>2.2349999999999999</v>
      </c>
      <c r="BK108">
        <v>2.181</v>
      </c>
      <c r="BL108">
        <v>2.7400000000000001E-2</v>
      </c>
      <c r="BM108">
        <v>1.42</v>
      </c>
      <c r="BN108">
        <v>0.26</v>
      </c>
      <c r="BO108">
        <v>0.44600000000000001</v>
      </c>
      <c r="BP108">
        <v>0.19794100000000001</v>
      </c>
      <c r="BQ108">
        <v>0</v>
      </c>
      <c r="BR108">
        <v>8.4000000000000005E-2</v>
      </c>
      <c r="BS108">
        <v>0.313</v>
      </c>
      <c r="BT108">
        <v>5.8999999999999997E-2</v>
      </c>
      <c r="BU108">
        <v>8.9999999999999993E-3</v>
      </c>
      <c r="BV108">
        <v>2.3939999999999999E-2</v>
      </c>
      <c r="BW108">
        <v>0.19900000000000001</v>
      </c>
      <c r="BX108">
        <v>0.19900000000000001</v>
      </c>
      <c r="BY108">
        <v>0.34100000000000003</v>
      </c>
      <c r="BZ108">
        <v>8.0000000000000002E-3</v>
      </c>
      <c r="CA108">
        <v>2.5000000000000001E-2</v>
      </c>
      <c r="CB108">
        <v>8.0000000000000002E-3</v>
      </c>
      <c r="CC108">
        <v>0</v>
      </c>
      <c r="CD108">
        <v>0</v>
      </c>
      <c r="CE108">
        <v>0.47831400000000002</v>
      </c>
      <c r="CF108">
        <v>0.63360000000000005</v>
      </c>
      <c r="CG108">
        <v>1.9E-2</v>
      </c>
      <c r="CH108">
        <v>1.7</v>
      </c>
      <c r="CI108">
        <v>7.0000000000000001E-3</v>
      </c>
      <c r="CJ108">
        <v>4.3800000000000002E-3</v>
      </c>
      <c r="CK108">
        <v>0.98</v>
      </c>
      <c r="CL108">
        <v>0</v>
      </c>
      <c r="CM108">
        <v>1.9545454545454546E-2</v>
      </c>
      <c r="CN108">
        <v>3.9979999999999998E-3</v>
      </c>
      <c r="CO108">
        <v>5.1999999999999998E-2</v>
      </c>
      <c r="CP108">
        <v>3.9E-2</v>
      </c>
      <c r="CQ108">
        <v>9.4000000000000004E-3</v>
      </c>
      <c r="CR108">
        <v>5.9999999999999995E-4</v>
      </c>
      <c r="CS108">
        <v>3.9702000000000001E-3</v>
      </c>
      <c r="CT108">
        <v>0</v>
      </c>
      <c r="CU108">
        <v>6.1000000000000004E-3</v>
      </c>
      <c r="CV108">
        <v>0</v>
      </c>
      <c r="CW108">
        <v>5.1999999999999998E-2</v>
      </c>
      <c r="CX108">
        <v>8.0000000000000002E-3</v>
      </c>
      <c r="CY108">
        <v>0</v>
      </c>
      <c r="CZ108">
        <v>0</v>
      </c>
      <c r="DA108">
        <v>0</v>
      </c>
    </row>
    <row r="109" spans="1:105" x14ac:dyDescent="0.25">
      <c r="A109" s="1">
        <v>43465</v>
      </c>
      <c r="B109">
        <v>1.5299999999999999E-2</v>
      </c>
      <c r="C109">
        <v>5.0999999999999997E-2</v>
      </c>
      <c r="D109">
        <v>3.04</v>
      </c>
      <c r="E109">
        <v>0.118154</v>
      </c>
      <c r="F109">
        <v>0.16900000000000001</v>
      </c>
      <c r="G109">
        <v>0.09</v>
      </c>
      <c r="H109">
        <v>0.28499999999999998</v>
      </c>
      <c r="I109">
        <v>0.17100000000000001</v>
      </c>
      <c r="J109">
        <v>0.1</v>
      </c>
      <c r="K109">
        <v>0.13</v>
      </c>
      <c r="L109">
        <v>0.435</v>
      </c>
      <c r="M109">
        <v>1.7130000000000001</v>
      </c>
      <c r="N109">
        <v>1.232</v>
      </c>
      <c r="O109">
        <v>1.0267999999999999</v>
      </c>
      <c r="P109">
        <v>5.7</v>
      </c>
      <c r="Q109">
        <v>0.376</v>
      </c>
      <c r="R109">
        <v>6.2E-2</v>
      </c>
      <c r="S109">
        <v>1.46</v>
      </c>
      <c r="T109">
        <v>1.143</v>
      </c>
      <c r="U109">
        <v>4.0000000000000001E-3</v>
      </c>
      <c r="V109">
        <v>5.084E-3</v>
      </c>
      <c r="W109">
        <v>8.2299999999999998E-2</v>
      </c>
      <c r="X109">
        <v>2.29</v>
      </c>
      <c r="Y109">
        <v>5.79</v>
      </c>
      <c r="Z109">
        <v>33.19</v>
      </c>
      <c r="AA109">
        <v>3.8600000000000003</v>
      </c>
      <c r="AB109">
        <v>0.128</v>
      </c>
      <c r="AC109">
        <v>4.9829999999999997</v>
      </c>
      <c r="AD109">
        <v>0.24</v>
      </c>
      <c r="AE109">
        <v>0.159</v>
      </c>
      <c r="AF109">
        <v>0.187</v>
      </c>
      <c r="AG109">
        <v>0.65500000000000003</v>
      </c>
      <c r="AH109">
        <v>1016</v>
      </c>
      <c r="AI109">
        <v>1.0409999999999999</v>
      </c>
      <c r="AJ109">
        <v>490</v>
      </c>
      <c r="AK109">
        <v>0.11799999999999999</v>
      </c>
      <c r="AL109">
        <v>184</v>
      </c>
      <c r="AM109">
        <v>7.0000000000000001E-3</v>
      </c>
      <c r="AN109">
        <v>6.8000000000000005E-2</v>
      </c>
      <c r="AO109">
        <v>0</v>
      </c>
      <c r="AP109">
        <v>6.4000000000000001E-2</v>
      </c>
      <c r="AQ109">
        <v>0.26</v>
      </c>
      <c r="AR109">
        <v>1.008</v>
      </c>
      <c r="AS109">
        <v>7.3999999999999996E-2</v>
      </c>
      <c r="AT109">
        <v>0.12</v>
      </c>
      <c r="AU109">
        <v>2.5999999999999999E-2</v>
      </c>
      <c r="AV109">
        <v>3.18</v>
      </c>
      <c r="AW109">
        <v>2.8809999999999998</v>
      </c>
      <c r="AX109">
        <v>277.99</v>
      </c>
      <c r="AY109">
        <v>2.1025</v>
      </c>
      <c r="AZ109">
        <v>0.19470000000000001</v>
      </c>
      <c r="BA109">
        <v>0.82699999999999996</v>
      </c>
      <c r="BB109">
        <v>9.1999999999999998E-2</v>
      </c>
      <c r="BC109">
        <v>1.2E-2</v>
      </c>
      <c r="BD109">
        <v>6.0060000000000002</v>
      </c>
      <c r="BE109">
        <v>0.66104285714285715</v>
      </c>
      <c r="BF109">
        <v>93.9</v>
      </c>
      <c r="BG109">
        <v>4.01</v>
      </c>
      <c r="BH109">
        <v>0.35</v>
      </c>
      <c r="BI109">
        <v>0.32</v>
      </c>
      <c r="BJ109">
        <v>2.194</v>
      </c>
      <c r="BK109">
        <v>2.2789999999999999</v>
      </c>
      <c r="BL109">
        <v>2.4E-2</v>
      </c>
      <c r="BM109">
        <v>1.6</v>
      </c>
      <c r="BN109">
        <v>0.24</v>
      </c>
      <c r="BO109">
        <v>0.55300000000000005</v>
      </c>
      <c r="BP109">
        <v>0.18993599999999999</v>
      </c>
      <c r="BQ109">
        <v>0</v>
      </c>
      <c r="BR109">
        <v>9.1999999999999998E-2</v>
      </c>
      <c r="BS109">
        <v>0.27900000000000003</v>
      </c>
      <c r="BT109">
        <v>6.8000000000000005E-2</v>
      </c>
      <c r="BU109">
        <v>1.4999999999999999E-2</v>
      </c>
      <c r="BV109">
        <v>2.0820000000000002E-2</v>
      </c>
      <c r="BW109">
        <v>0.217</v>
      </c>
      <c r="BX109">
        <v>0.217</v>
      </c>
      <c r="BY109">
        <v>0.36199999999999999</v>
      </c>
      <c r="BZ109">
        <v>8.9999999999999993E-3</v>
      </c>
      <c r="CA109">
        <v>2.1999999999999999E-2</v>
      </c>
      <c r="CB109">
        <v>0.01</v>
      </c>
      <c r="CC109">
        <v>0</v>
      </c>
      <c r="CD109">
        <v>0</v>
      </c>
      <c r="CE109">
        <v>0.45172400000000001</v>
      </c>
      <c r="CF109">
        <v>0.64929999999999999</v>
      </c>
      <c r="CG109">
        <v>2.1999999999999999E-2</v>
      </c>
      <c r="CH109">
        <v>1.5</v>
      </c>
      <c r="CI109">
        <v>0.02</v>
      </c>
      <c r="CJ109">
        <v>3.5239999999999998E-3</v>
      </c>
      <c r="CK109">
        <v>1.07</v>
      </c>
      <c r="CL109">
        <v>0</v>
      </c>
      <c r="CM109">
        <v>0.02</v>
      </c>
      <c r="CN109">
        <v>3.0019999999999999E-3</v>
      </c>
      <c r="CO109">
        <v>5.2999999999999999E-2</v>
      </c>
      <c r="CP109">
        <v>4.1000000000000002E-2</v>
      </c>
      <c r="CQ109">
        <v>7.7999999999999996E-3</v>
      </c>
      <c r="CR109">
        <v>8.0000000000000004E-4</v>
      </c>
      <c r="CS109">
        <v>3.2076000000000001E-3</v>
      </c>
      <c r="CT109">
        <v>0</v>
      </c>
      <c r="CU109">
        <v>6.4000000000000003E-3</v>
      </c>
      <c r="CV109">
        <v>0</v>
      </c>
      <c r="CW109">
        <v>5.8999999999999997E-2</v>
      </c>
      <c r="CX109">
        <v>8.0000000000000002E-3</v>
      </c>
      <c r="CY109">
        <v>0</v>
      </c>
      <c r="CZ109">
        <v>0</v>
      </c>
      <c r="DA109">
        <v>1.6E-2</v>
      </c>
    </row>
    <row r="110" spans="1:105" x14ac:dyDescent="0.25">
      <c r="A110" s="1">
        <v>43496</v>
      </c>
      <c r="B110">
        <v>1.1900000000000001E-2</v>
      </c>
      <c r="C110">
        <v>6.0999999999999999E-2</v>
      </c>
      <c r="D110">
        <v>2.71</v>
      </c>
      <c r="E110">
        <v>0.109787</v>
      </c>
      <c r="F110">
        <v>0.14000000000000001</v>
      </c>
      <c r="G110">
        <v>9.7000000000000003E-2</v>
      </c>
      <c r="H110">
        <v>0.30399999999999999</v>
      </c>
      <c r="I110">
        <v>0.159</v>
      </c>
      <c r="J110">
        <v>0.114</v>
      </c>
      <c r="K110">
        <v>0.13100000000000001</v>
      </c>
      <c r="L110">
        <v>0.41799999999999998</v>
      </c>
      <c r="M110">
        <v>1.9279999999999999</v>
      </c>
      <c r="N110">
        <v>1.115</v>
      </c>
      <c r="O110">
        <v>1.3115000000000001</v>
      </c>
      <c r="P110">
        <v>4.4000000000000004</v>
      </c>
      <c r="Q110">
        <v>0.39</v>
      </c>
      <c r="R110">
        <v>4.9000000000000002E-2</v>
      </c>
      <c r="S110">
        <v>1.42</v>
      </c>
      <c r="T110">
        <v>1.1339999999999999</v>
      </c>
      <c r="U110">
        <v>8.0000000000000004E-4</v>
      </c>
      <c r="V110">
        <v>6.5789999999999998E-3</v>
      </c>
      <c r="W110">
        <v>8.1199999999999994E-2</v>
      </c>
      <c r="X110">
        <v>2.08</v>
      </c>
      <c r="Y110">
        <v>5.89</v>
      </c>
      <c r="Z110">
        <v>29.96</v>
      </c>
      <c r="AA110">
        <v>2.6300000000000003</v>
      </c>
      <c r="AB110">
        <v>0.128</v>
      </c>
      <c r="AC110">
        <v>5.2960000000000003</v>
      </c>
      <c r="AD110">
        <v>0.28000000000000003</v>
      </c>
      <c r="AE110">
        <v>0.188</v>
      </c>
      <c r="AF110">
        <v>0.154</v>
      </c>
      <c r="AG110">
        <v>0.66500000000000004</v>
      </c>
      <c r="AH110">
        <v>617</v>
      </c>
      <c r="AI110">
        <v>0.38700000000000001</v>
      </c>
      <c r="AJ110">
        <v>764</v>
      </c>
      <c r="AK110">
        <v>9.4E-2</v>
      </c>
      <c r="AL110">
        <v>181</v>
      </c>
      <c r="AM110">
        <v>7.4000000000000003E-3</v>
      </c>
      <c r="AN110">
        <v>6.8000000000000005E-2</v>
      </c>
      <c r="AO110">
        <v>0</v>
      </c>
      <c r="AP110">
        <v>6.4000000000000001E-2</v>
      </c>
      <c r="AQ110">
        <v>0.26</v>
      </c>
      <c r="AR110">
        <v>1.008</v>
      </c>
      <c r="AS110">
        <v>7.3999999999999996E-2</v>
      </c>
      <c r="AT110">
        <v>0.12</v>
      </c>
      <c r="AU110">
        <v>2.5999999999999999E-2</v>
      </c>
      <c r="AV110">
        <v>2.74</v>
      </c>
      <c r="AW110">
        <v>3.085</v>
      </c>
      <c r="AX110">
        <v>277.92</v>
      </c>
      <c r="AY110">
        <v>1.8649999999999998</v>
      </c>
      <c r="AZ110">
        <v>0.17560000000000001</v>
      </c>
      <c r="BA110">
        <v>0.80100000000000005</v>
      </c>
      <c r="BB110">
        <v>8.8999999999999996E-2</v>
      </c>
      <c r="BC110">
        <v>0.01</v>
      </c>
      <c r="BD110">
        <v>6.1379999999999999</v>
      </c>
      <c r="BE110">
        <v>0.78437428571428569</v>
      </c>
      <c r="BF110">
        <v>95.87</v>
      </c>
      <c r="BG110">
        <v>3.38</v>
      </c>
      <c r="BH110">
        <v>0.45</v>
      </c>
      <c r="BI110">
        <v>0.37</v>
      </c>
      <c r="BJ110">
        <v>2.3069999999999999</v>
      </c>
      <c r="BK110">
        <v>2.484</v>
      </c>
      <c r="BL110">
        <v>3.2000000000000001E-2</v>
      </c>
      <c r="BM110">
        <v>1.87</v>
      </c>
      <c r="BN110">
        <v>0.19</v>
      </c>
      <c r="BO110">
        <v>0.51800000000000002</v>
      </c>
      <c r="BP110">
        <v>0.197995</v>
      </c>
      <c r="BQ110">
        <v>0</v>
      </c>
      <c r="BR110">
        <v>9.7000000000000003E-2</v>
      </c>
      <c r="BS110">
        <v>0.30299999999999999</v>
      </c>
      <c r="BT110">
        <v>6.4000000000000001E-2</v>
      </c>
      <c r="BU110">
        <v>1.0999999999999999E-2</v>
      </c>
      <c r="BV110">
        <v>1.908E-2</v>
      </c>
      <c r="BW110">
        <v>0.21</v>
      </c>
      <c r="BX110">
        <v>0.21</v>
      </c>
      <c r="BY110">
        <v>0.36399999999999999</v>
      </c>
      <c r="BZ110">
        <v>8.0000000000000002E-3</v>
      </c>
      <c r="CA110">
        <v>2.2499999999999999E-2</v>
      </c>
      <c r="CB110">
        <v>0.01</v>
      </c>
      <c r="CC110">
        <v>0</v>
      </c>
      <c r="CD110">
        <v>0</v>
      </c>
      <c r="CE110">
        <v>0.51266400000000001</v>
      </c>
      <c r="CF110">
        <v>0.72060000000000002</v>
      </c>
      <c r="CG110">
        <v>2.5999999999999999E-2</v>
      </c>
      <c r="CH110">
        <v>1.6</v>
      </c>
      <c r="CI110">
        <v>1.2E-2</v>
      </c>
      <c r="CJ110">
        <v>4.1729999999999996E-3</v>
      </c>
      <c r="CK110">
        <v>1.23</v>
      </c>
      <c r="CL110">
        <v>0</v>
      </c>
      <c r="CM110">
        <v>0.35166666666666668</v>
      </c>
      <c r="CN110">
        <v>2.006E-3</v>
      </c>
      <c r="CO110">
        <v>5.2999999999999999E-2</v>
      </c>
      <c r="CP110">
        <v>4.2999999999999997E-2</v>
      </c>
      <c r="CQ110">
        <v>7.7999999999999996E-3</v>
      </c>
      <c r="CR110">
        <v>6.9999999999999999E-4</v>
      </c>
      <c r="CS110">
        <v>3.4570999999999998E-3</v>
      </c>
      <c r="CT110">
        <v>0</v>
      </c>
      <c r="CU110">
        <v>6.6E-3</v>
      </c>
      <c r="CV110">
        <v>0</v>
      </c>
      <c r="CW110">
        <v>6.0999999999999999E-2</v>
      </c>
      <c r="CX110">
        <v>8.0000000000000002E-3</v>
      </c>
      <c r="CY110">
        <v>0</v>
      </c>
      <c r="CZ110">
        <v>0</v>
      </c>
      <c r="DA110">
        <v>1.7999999999999999E-2</v>
      </c>
    </row>
    <row r="111" spans="1:105" x14ac:dyDescent="0.25">
      <c r="A111" s="1">
        <v>43524</v>
      </c>
      <c r="B111">
        <v>1.2500000000000001E-2</v>
      </c>
      <c r="C111">
        <v>4.1000000000000002E-2</v>
      </c>
      <c r="D111">
        <v>2.88</v>
      </c>
      <c r="E111">
        <v>9.4797000000000006E-2</v>
      </c>
      <c r="F111">
        <v>0.15</v>
      </c>
      <c r="G111">
        <v>0.09</v>
      </c>
      <c r="H111">
        <v>0.23799999999999999</v>
      </c>
      <c r="I111">
        <v>0.151</v>
      </c>
      <c r="J111">
        <v>0.08</v>
      </c>
      <c r="K111">
        <v>0.192</v>
      </c>
      <c r="L111">
        <v>0.33300000000000002</v>
      </c>
      <c r="M111">
        <v>1.873</v>
      </c>
      <c r="N111">
        <v>1.04</v>
      </c>
      <c r="O111">
        <v>0.80669999999999997</v>
      </c>
      <c r="P111">
        <v>4.7</v>
      </c>
      <c r="Q111">
        <v>0.29899999999999999</v>
      </c>
      <c r="R111">
        <v>3.9E-2</v>
      </c>
      <c r="S111">
        <v>1.4570000000000001</v>
      </c>
      <c r="T111">
        <v>1.08</v>
      </c>
      <c r="U111">
        <v>5.9999999999999995E-4</v>
      </c>
      <c r="V111">
        <v>5.2490000000000002E-3</v>
      </c>
      <c r="W111">
        <v>7.6600000000000001E-2</v>
      </c>
      <c r="X111">
        <v>2.06</v>
      </c>
      <c r="Y111">
        <v>5.01</v>
      </c>
      <c r="Z111">
        <v>28.16</v>
      </c>
      <c r="AA111">
        <v>1.4000000000000004</v>
      </c>
      <c r="AB111">
        <v>0.11700000000000001</v>
      </c>
      <c r="AC111">
        <v>4.8520000000000003</v>
      </c>
      <c r="AD111">
        <v>0.25</v>
      </c>
      <c r="AE111">
        <v>0.14899999999999999</v>
      </c>
      <c r="AF111">
        <v>0.16900000000000001</v>
      </c>
      <c r="AG111">
        <v>0.66300000000000003</v>
      </c>
      <c r="AH111">
        <v>459</v>
      </c>
      <c r="AI111">
        <v>0.28399999999999997</v>
      </c>
      <c r="AJ111">
        <v>1083</v>
      </c>
      <c r="AK111">
        <v>6.9999999999999993E-2</v>
      </c>
      <c r="AL111">
        <v>105</v>
      </c>
      <c r="AM111">
        <v>7.7999999999999996E-3</v>
      </c>
      <c r="AN111">
        <v>0.25</v>
      </c>
      <c r="AO111">
        <v>0</v>
      </c>
      <c r="AP111">
        <v>0.32099999999999995</v>
      </c>
      <c r="AQ111">
        <v>0.26</v>
      </c>
      <c r="AR111">
        <v>1.008</v>
      </c>
      <c r="AS111">
        <v>7.3999999999999996E-2</v>
      </c>
      <c r="AT111">
        <v>0.12</v>
      </c>
      <c r="AU111">
        <v>3.1E-2</v>
      </c>
      <c r="AV111">
        <v>1.28</v>
      </c>
      <c r="AW111">
        <v>2.7770000000000001</v>
      </c>
      <c r="AX111">
        <v>277.92</v>
      </c>
      <c r="AY111">
        <v>1.6274999999999999</v>
      </c>
      <c r="AZ111">
        <v>0.16328500000000001</v>
      </c>
      <c r="BA111">
        <v>0.65600000000000003</v>
      </c>
      <c r="BB111">
        <v>8.6999999999999994E-2</v>
      </c>
      <c r="BC111">
        <v>0.02</v>
      </c>
      <c r="BD111">
        <v>5.8449999999999998</v>
      </c>
      <c r="BE111">
        <v>0.90770571428571434</v>
      </c>
      <c r="BF111">
        <v>93.01</v>
      </c>
      <c r="BG111">
        <v>4.68</v>
      </c>
      <c r="BH111">
        <v>0.47</v>
      </c>
      <c r="BI111">
        <v>0.39</v>
      </c>
      <c r="BJ111">
        <v>2.0840000000000001</v>
      </c>
      <c r="BK111">
        <v>2.2000000000000002</v>
      </c>
      <c r="BL111">
        <v>2.9000000000000001E-2</v>
      </c>
      <c r="BM111">
        <v>1.5</v>
      </c>
      <c r="BN111">
        <v>0.19</v>
      </c>
      <c r="BO111">
        <v>0.51500000000000001</v>
      </c>
      <c r="BP111">
        <v>0.169543</v>
      </c>
      <c r="BQ111">
        <v>0</v>
      </c>
      <c r="BR111">
        <v>8.5000000000000006E-2</v>
      </c>
      <c r="BS111">
        <v>0.28699999999999998</v>
      </c>
      <c r="BT111">
        <v>5.3999999999999999E-2</v>
      </c>
      <c r="BU111">
        <v>1.2E-2</v>
      </c>
      <c r="BV111">
        <v>1.8919999999999999E-2</v>
      </c>
      <c r="BW111">
        <v>0.27800000000000002</v>
      </c>
      <c r="BX111">
        <v>0.27800000000000002</v>
      </c>
      <c r="BY111">
        <v>0.39900000000000002</v>
      </c>
      <c r="BZ111">
        <v>8.9999999999999993E-3</v>
      </c>
      <c r="CA111">
        <v>2.5999999999999999E-2</v>
      </c>
      <c r="CB111">
        <v>0.01</v>
      </c>
      <c r="CC111">
        <v>0</v>
      </c>
      <c r="CD111">
        <v>0</v>
      </c>
      <c r="CE111">
        <v>0.46160899999999999</v>
      </c>
      <c r="CF111">
        <v>0.62939999999999996</v>
      </c>
      <c r="CG111">
        <v>1.2E-2</v>
      </c>
      <c r="CH111">
        <v>1.8</v>
      </c>
      <c r="CI111">
        <v>0.02</v>
      </c>
      <c r="CJ111">
        <v>3.4220000000000001E-3</v>
      </c>
      <c r="CK111">
        <v>1.28</v>
      </c>
      <c r="CL111">
        <v>1.2</v>
      </c>
      <c r="CM111">
        <v>0.68333333333333335</v>
      </c>
      <c r="CN111">
        <v>1.01E-3</v>
      </c>
      <c r="CO111">
        <v>5.2999999999999999E-2</v>
      </c>
      <c r="CP111">
        <v>3.7999999999999999E-2</v>
      </c>
      <c r="CQ111">
        <v>7.9000000000000008E-3</v>
      </c>
      <c r="CR111">
        <v>5.9999999999999995E-4</v>
      </c>
      <c r="CS111">
        <v>4.9735999999999999E-3</v>
      </c>
      <c r="CT111">
        <v>0</v>
      </c>
      <c r="CU111">
        <v>6.8999999999999999E-3</v>
      </c>
      <c r="CV111">
        <v>0</v>
      </c>
      <c r="CW111">
        <v>5.8999999999999997E-2</v>
      </c>
      <c r="CX111">
        <v>8.2000000000000007E-3</v>
      </c>
      <c r="CY111">
        <v>0</v>
      </c>
      <c r="CZ111">
        <v>2.8000000000000001E-2</v>
      </c>
      <c r="DA111">
        <v>1.4E-2</v>
      </c>
    </row>
    <row r="112" spans="1:105" x14ac:dyDescent="0.25">
      <c r="A112" s="1">
        <v>43555</v>
      </c>
      <c r="B112">
        <v>5.7999999999999996E-3</v>
      </c>
      <c r="C112">
        <v>7.0000000000000007E-2</v>
      </c>
      <c r="D112">
        <v>3.01</v>
      </c>
      <c r="E112">
        <v>0.14146500000000001</v>
      </c>
      <c r="F112">
        <v>0.14699999999999999</v>
      </c>
      <c r="G112">
        <v>0.08</v>
      </c>
      <c r="H112">
        <v>0.24099999999999999</v>
      </c>
      <c r="I112">
        <v>0.158</v>
      </c>
      <c r="J112">
        <v>0.08</v>
      </c>
      <c r="K112">
        <v>0.14199999999999999</v>
      </c>
      <c r="L112">
        <v>0.33900000000000002</v>
      </c>
      <c r="M112">
        <v>1.478</v>
      </c>
      <c r="N112">
        <v>0.98499999999999999</v>
      </c>
      <c r="O112">
        <v>0.78849999999999998</v>
      </c>
      <c r="P112">
        <v>4.2</v>
      </c>
      <c r="Q112">
        <v>0.26700000000000002</v>
      </c>
      <c r="R112">
        <v>5.8000000000000003E-2</v>
      </c>
      <c r="S112">
        <v>1.45</v>
      </c>
      <c r="T112">
        <v>1.1359999999999999</v>
      </c>
      <c r="U112">
        <v>5.0000000000000001E-4</v>
      </c>
      <c r="V112">
        <v>3.2690000000000002E-3</v>
      </c>
      <c r="W112">
        <v>8.2000000000000003E-2</v>
      </c>
      <c r="X112">
        <v>2.17</v>
      </c>
      <c r="Y112">
        <v>4.6100000000000003</v>
      </c>
      <c r="Z112">
        <v>25.66</v>
      </c>
      <c r="AA112">
        <v>0.17</v>
      </c>
      <c r="AB112">
        <v>0.121</v>
      </c>
      <c r="AC112">
        <v>4.391</v>
      </c>
      <c r="AD112">
        <v>0.05</v>
      </c>
      <c r="AE112">
        <v>0.13500000000000001</v>
      </c>
      <c r="AF112">
        <v>0.154</v>
      </c>
      <c r="AG112">
        <v>0.64700000000000002</v>
      </c>
      <c r="AH112">
        <v>472</v>
      </c>
      <c r="AI112">
        <v>1.0740000000000001</v>
      </c>
      <c r="AJ112">
        <v>1210</v>
      </c>
      <c r="AK112">
        <v>4.5999999999999985E-2</v>
      </c>
      <c r="AL112">
        <v>215</v>
      </c>
      <c r="AM112">
        <v>8.199999999999999E-3</v>
      </c>
      <c r="AN112">
        <v>0.43200000000000005</v>
      </c>
      <c r="AO112">
        <v>0</v>
      </c>
      <c r="AP112">
        <v>0.57799999999999985</v>
      </c>
      <c r="AQ112">
        <v>0.26</v>
      </c>
      <c r="AR112">
        <v>1.008</v>
      </c>
      <c r="AS112">
        <v>7.3999999999999996E-2</v>
      </c>
      <c r="AT112">
        <v>0.12</v>
      </c>
      <c r="AU112">
        <v>0.02</v>
      </c>
      <c r="AV112">
        <v>7.0000000000000007E-2</v>
      </c>
      <c r="AW112">
        <v>2.5790000000000002</v>
      </c>
      <c r="AX112">
        <v>277.92</v>
      </c>
      <c r="AY112">
        <v>1.39</v>
      </c>
      <c r="AZ112">
        <v>0.154</v>
      </c>
      <c r="BA112">
        <v>0.755</v>
      </c>
      <c r="BB112">
        <v>8.7999999999999995E-2</v>
      </c>
      <c r="BC112">
        <v>0.01</v>
      </c>
      <c r="BD112">
        <v>5.3250000000000002</v>
      </c>
      <c r="BE112">
        <v>1.031037142857143</v>
      </c>
      <c r="BF112">
        <v>90.18</v>
      </c>
      <c r="BG112">
        <v>1.48</v>
      </c>
      <c r="BH112">
        <v>0.54</v>
      </c>
      <c r="BI112">
        <v>0.5</v>
      </c>
      <c r="BJ112">
        <v>2.0720000000000001</v>
      </c>
      <c r="BK112">
        <v>2.1970000000000001</v>
      </c>
      <c r="BL112">
        <v>2.5999999999999999E-2</v>
      </c>
      <c r="BM112">
        <v>1.46</v>
      </c>
      <c r="BN112">
        <v>0.16</v>
      </c>
      <c r="BO112">
        <v>0.56100000000000005</v>
      </c>
      <c r="BP112">
        <v>0.130636</v>
      </c>
      <c r="BQ112">
        <v>0</v>
      </c>
      <c r="BR112">
        <v>7.2999999999999995E-2</v>
      </c>
      <c r="BS112">
        <v>0.29099999999999998</v>
      </c>
      <c r="BT112">
        <v>5.5E-2</v>
      </c>
      <c r="BU112">
        <v>7.0000000000000001E-3</v>
      </c>
      <c r="BV112">
        <v>1.5869999999999999E-2</v>
      </c>
      <c r="BW112">
        <v>0.22800000000000001</v>
      </c>
      <c r="BX112">
        <v>0.22800000000000001</v>
      </c>
      <c r="BY112">
        <v>0.39900000000000002</v>
      </c>
      <c r="BZ112">
        <v>8.0000000000000002E-3</v>
      </c>
      <c r="CA112">
        <v>2.3E-2</v>
      </c>
      <c r="CB112">
        <v>0.01</v>
      </c>
      <c r="CC112">
        <v>0</v>
      </c>
      <c r="CD112">
        <v>0</v>
      </c>
      <c r="CE112">
        <v>0.452096</v>
      </c>
      <c r="CF112">
        <v>0.53669999999999995</v>
      </c>
      <c r="CG112">
        <v>2.4E-2</v>
      </c>
      <c r="CH112">
        <v>1.5</v>
      </c>
      <c r="CI112">
        <v>0.02</v>
      </c>
      <c r="CJ112">
        <v>3.297E-3</v>
      </c>
      <c r="CK112">
        <v>1.27</v>
      </c>
      <c r="CL112">
        <v>1.19</v>
      </c>
      <c r="CM112">
        <v>1.0149999999999999</v>
      </c>
      <c r="CN112">
        <v>2.6966666666666667E-3</v>
      </c>
      <c r="CO112">
        <v>5.2999999999999999E-2</v>
      </c>
      <c r="CP112">
        <v>0.04</v>
      </c>
      <c r="CQ112">
        <v>7.1999999999999998E-3</v>
      </c>
      <c r="CR112">
        <v>5.9999999999999995E-4</v>
      </c>
      <c r="CS112">
        <v>3.9417999999999996E-3</v>
      </c>
      <c r="CT112">
        <v>0</v>
      </c>
      <c r="CU112">
        <v>7.0800000000000004E-3</v>
      </c>
      <c r="CV112">
        <v>0</v>
      </c>
      <c r="CW112">
        <v>5.8999999999999997E-2</v>
      </c>
      <c r="CX112">
        <v>0.01</v>
      </c>
      <c r="CY112">
        <v>0</v>
      </c>
      <c r="CZ112">
        <v>2.8000000000000001E-2</v>
      </c>
      <c r="DA112">
        <v>2E-3</v>
      </c>
    </row>
    <row r="113" spans="1:105" x14ac:dyDescent="0.25">
      <c r="A113" s="1">
        <v>43585</v>
      </c>
      <c r="B113">
        <v>2.23E-2</v>
      </c>
      <c r="C113">
        <v>4.9000000000000002E-2</v>
      </c>
      <c r="D113">
        <v>2.89</v>
      </c>
      <c r="E113">
        <v>0.10856200000000001</v>
      </c>
      <c r="F113">
        <v>0.16700000000000001</v>
      </c>
      <c r="G113">
        <v>0.05</v>
      </c>
      <c r="H113">
        <v>0.26800000000000002</v>
      </c>
      <c r="I113">
        <v>0.16500000000000001</v>
      </c>
      <c r="J113">
        <v>0.15</v>
      </c>
      <c r="K113">
        <v>0.151</v>
      </c>
      <c r="L113">
        <v>0.38300000000000001</v>
      </c>
      <c r="M113">
        <v>1.6339999999999999</v>
      </c>
      <c r="N113">
        <v>1.0609999999999999</v>
      </c>
      <c r="O113">
        <v>0.73350000000000004</v>
      </c>
      <c r="P113">
        <v>4.2</v>
      </c>
      <c r="Q113">
        <v>0.314</v>
      </c>
      <c r="R113">
        <v>5.1999999999999998E-2</v>
      </c>
      <c r="S113">
        <v>1.47</v>
      </c>
      <c r="T113">
        <v>1.103</v>
      </c>
      <c r="U113">
        <v>1.0500000000000002E-3</v>
      </c>
      <c r="V113">
        <v>5.64E-3</v>
      </c>
      <c r="W113">
        <v>8.3599999999999994E-2</v>
      </c>
      <c r="X113">
        <v>2.2000000000000002</v>
      </c>
      <c r="Y113">
        <v>5.34</v>
      </c>
      <c r="Z113">
        <v>25.96</v>
      </c>
      <c r="AA113">
        <v>0.3</v>
      </c>
      <c r="AB113">
        <v>0.123</v>
      </c>
      <c r="AC113">
        <v>4.6150000000000002</v>
      </c>
      <c r="AD113">
        <v>0.1</v>
      </c>
      <c r="AE113">
        <v>0.13700000000000001</v>
      </c>
      <c r="AF113">
        <v>0.17499999999999999</v>
      </c>
      <c r="AG113">
        <v>0.69899999999999995</v>
      </c>
      <c r="AH113">
        <v>310</v>
      </c>
      <c r="AI113">
        <v>0.47</v>
      </c>
      <c r="AJ113">
        <v>979</v>
      </c>
      <c r="AK113">
        <v>2.1999999999999999E-2</v>
      </c>
      <c r="AL113">
        <v>250</v>
      </c>
      <c r="AM113">
        <v>8.6E-3</v>
      </c>
      <c r="AN113">
        <v>0.61399999999999999</v>
      </c>
      <c r="AO113">
        <v>0</v>
      </c>
      <c r="AP113">
        <v>0.83499999999999996</v>
      </c>
      <c r="AQ113">
        <v>0.26</v>
      </c>
      <c r="AR113">
        <v>1.008</v>
      </c>
      <c r="AS113">
        <v>7.3999999999999996E-2</v>
      </c>
      <c r="AT113">
        <v>0.12</v>
      </c>
      <c r="AU113">
        <v>2.9000000000000001E-2</v>
      </c>
      <c r="AV113">
        <v>0.1125</v>
      </c>
      <c r="AW113">
        <v>2.7349999999999999</v>
      </c>
      <c r="AX113">
        <v>214.2</v>
      </c>
      <c r="AY113">
        <v>2.98</v>
      </c>
      <c r="AZ113">
        <v>0.19303300000000001</v>
      </c>
      <c r="BA113">
        <v>0.93</v>
      </c>
      <c r="BB113">
        <v>9.5000000000000001E-2</v>
      </c>
      <c r="BC113">
        <v>0.01</v>
      </c>
      <c r="BD113">
        <v>5.6879999999999997</v>
      </c>
      <c r="BE113">
        <v>1.1543685714285714</v>
      </c>
      <c r="BF113">
        <v>92.02</v>
      </c>
      <c r="BG113">
        <v>1.6</v>
      </c>
      <c r="BH113">
        <v>0.71</v>
      </c>
      <c r="BI113">
        <v>0.53</v>
      </c>
      <c r="BJ113">
        <v>2.1139999999999999</v>
      </c>
      <c r="BK113">
        <v>2.2610000000000001</v>
      </c>
      <c r="BL113">
        <v>2.4E-2</v>
      </c>
      <c r="BM113">
        <v>1.72</v>
      </c>
      <c r="BN113">
        <v>0.14000000000000001</v>
      </c>
      <c r="BO113">
        <v>0.67300000000000004</v>
      </c>
      <c r="BP113">
        <v>0.143294</v>
      </c>
      <c r="BQ113">
        <v>0</v>
      </c>
      <c r="BR113">
        <v>7.3999999999999996E-2</v>
      </c>
      <c r="BS113">
        <v>0.32200000000000001</v>
      </c>
      <c r="BT113">
        <v>5.8999999999999997E-2</v>
      </c>
      <c r="BU113">
        <v>7.0000000000000001E-3</v>
      </c>
      <c r="BV113">
        <v>1.451E-2</v>
      </c>
      <c r="BW113">
        <v>0.24099999999999999</v>
      </c>
      <c r="BX113">
        <v>0.24099999999999999</v>
      </c>
      <c r="BY113">
        <v>0.40899999999999997</v>
      </c>
      <c r="BZ113">
        <v>8.9999999999999993E-3</v>
      </c>
      <c r="CA113">
        <v>2.1999999999999999E-2</v>
      </c>
      <c r="CB113">
        <v>0.01</v>
      </c>
      <c r="CC113">
        <v>0</v>
      </c>
      <c r="CD113">
        <v>0.08</v>
      </c>
      <c r="CE113">
        <v>0.48960300000000001</v>
      </c>
      <c r="CF113">
        <v>0.4758</v>
      </c>
      <c r="CG113">
        <v>7.0000000000000001E-3</v>
      </c>
      <c r="CH113">
        <v>1.5</v>
      </c>
      <c r="CI113">
        <v>0.02</v>
      </c>
      <c r="CJ113">
        <v>3.8539999999999998E-3</v>
      </c>
      <c r="CK113">
        <v>1.26</v>
      </c>
      <c r="CL113">
        <v>1.28</v>
      </c>
      <c r="CM113">
        <v>1.3466666666666667</v>
      </c>
      <c r="CN113">
        <v>4.3833333333333337E-3</v>
      </c>
      <c r="CO113">
        <v>5.1999999999999998E-2</v>
      </c>
      <c r="CP113">
        <v>0.04</v>
      </c>
      <c r="CQ113">
        <v>6.7000000000000002E-3</v>
      </c>
      <c r="CR113">
        <v>5.9999999999999995E-4</v>
      </c>
      <c r="CS113">
        <v>5.7187000000000002E-3</v>
      </c>
      <c r="CT113">
        <v>0</v>
      </c>
      <c r="CU113">
        <v>7.4000000000000003E-3</v>
      </c>
      <c r="CV113">
        <v>0</v>
      </c>
      <c r="CW113">
        <v>6.2E-2</v>
      </c>
      <c r="CX113">
        <v>1.2999999999999999E-2</v>
      </c>
      <c r="CY113">
        <v>0</v>
      </c>
      <c r="CZ113">
        <v>0.02</v>
      </c>
      <c r="DA113">
        <v>1.6666666666666668E-3</v>
      </c>
    </row>
    <row r="114" spans="1:105" x14ac:dyDescent="0.25">
      <c r="A114" s="1">
        <v>43616</v>
      </c>
      <c r="B114">
        <v>2.2800000000000001E-2</v>
      </c>
      <c r="C114">
        <v>8.8999999999999996E-2</v>
      </c>
      <c r="D114">
        <v>3.22</v>
      </c>
      <c r="E114">
        <v>0.120671</v>
      </c>
      <c r="F114">
        <v>0.19700000000000001</v>
      </c>
      <c r="G114">
        <v>0.05</v>
      </c>
      <c r="H114">
        <v>0.30099999999999999</v>
      </c>
      <c r="I114">
        <v>0.17799999999999999</v>
      </c>
      <c r="J114">
        <v>0.13</v>
      </c>
      <c r="K114">
        <v>0.159</v>
      </c>
      <c r="L114">
        <v>0.434</v>
      </c>
      <c r="M114">
        <v>1.7450000000000001</v>
      </c>
      <c r="N114">
        <v>1.135</v>
      </c>
      <c r="O114">
        <v>1.1213</v>
      </c>
      <c r="P114">
        <v>4.5</v>
      </c>
      <c r="Q114">
        <v>0.35</v>
      </c>
      <c r="R114">
        <v>5.8000000000000003E-2</v>
      </c>
      <c r="S114">
        <v>1.66</v>
      </c>
      <c r="T114">
        <v>1.2350000000000001</v>
      </c>
      <c r="U114">
        <v>1.6000000000000001E-3</v>
      </c>
      <c r="V114">
        <v>6.3410000000000003E-3</v>
      </c>
      <c r="W114">
        <v>8.0500000000000002E-2</v>
      </c>
      <c r="X114">
        <v>2.08</v>
      </c>
      <c r="Y114">
        <v>4.99</v>
      </c>
      <c r="Z114">
        <v>26.48</v>
      </c>
      <c r="AA114">
        <v>0.36</v>
      </c>
      <c r="AB114">
        <v>0.13600000000000001</v>
      </c>
      <c r="AC114">
        <v>4.7770000000000001</v>
      </c>
      <c r="AD114">
        <v>0.12</v>
      </c>
      <c r="AE114">
        <v>0.223</v>
      </c>
      <c r="AF114">
        <v>0.19700000000000001</v>
      </c>
      <c r="AG114">
        <v>0.745</v>
      </c>
      <c r="AH114">
        <v>382</v>
      </c>
      <c r="AI114">
        <v>1.4990000000000001</v>
      </c>
      <c r="AJ114">
        <v>1205</v>
      </c>
      <c r="AK114">
        <v>1.4999999999999999E-2</v>
      </c>
      <c r="AL114">
        <v>317.2</v>
      </c>
      <c r="AM114">
        <v>8.9999999999999993E-3</v>
      </c>
      <c r="AN114">
        <v>6.8000000000000005E-2</v>
      </c>
      <c r="AO114">
        <v>0</v>
      </c>
      <c r="AP114">
        <v>6.4000000000000001E-2</v>
      </c>
      <c r="AQ114">
        <v>0.26</v>
      </c>
      <c r="AR114">
        <v>1.008</v>
      </c>
      <c r="AS114">
        <v>7.3999999999999996E-2</v>
      </c>
      <c r="AT114">
        <v>0.62</v>
      </c>
      <c r="AU114">
        <v>3.3000000000000002E-2</v>
      </c>
      <c r="AV114">
        <v>0.155</v>
      </c>
      <c r="AW114">
        <v>2.9340000000000002</v>
      </c>
      <c r="AX114">
        <v>531.32000000000005</v>
      </c>
      <c r="AY114">
        <v>2.1</v>
      </c>
      <c r="AZ114">
        <v>0.21177399999999999</v>
      </c>
      <c r="BA114">
        <v>1.012</v>
      </c>
      <c r="BB114">
        <v>9.5000000000000001E-2</v>
      </c>
      <c r="BC114">
        <v>0.01</v>
      </c>
      <c r="BD114">
        <v>5.9</v>
      </c>
      <c r="BE114">
        <v>1.2777000000000001</v>
      </c>
      <c r="BF114">
        <v>99.27</v>
      </c>
      <c r="BG114">
        <v>0.48</v>
      </c>
      <c r="BH114">
        <v>0.94</v>
      </c>
      <c r="BI114">
        <v>0.72</v>
      </c>
      <c r="BJ114">
        <v>2.1240000000000001</v>
      </c>
      <c r="BK114">
        <v>2.4279999999999999</v>
      </c>
      <c r="BL114">
        <v>2.8000000000000001E-2</v>
      </c>
      <c r="BM114">
        <v>1.79</v>
      </c>
      <c r="BN114">
        <v>0.15</v>
      </c>
      <c r="BO114">
        <v>0.69</v>
      </c>
      <c r="BP114">
        <v>0.21205399999999999</v>
      </c>
      <c r="BQ114">
        <v>0</v>
      </c>
      <c r="BR114">
        <v>0</v>
      </c>
      <c r="BS114">
        <v>0.33200000000000002</v>
      </c>
      <c r="BT114">
        <v>6.5000000000000002E-2</v>
      </c>
      <c r="BU114">
        <v>7.0000000000000001E-3</v>
      </c>
      <c r="BV114">
        <v>1.4999999999999999E-2</v>
      </c>
      <c r="BW114">
        <v>0.26200000000000001</v>
      </c>
      <c r="BX114">
        <v>0.26200000000000001</v>
      </c>
      <c r="BY114">
        <v>0.34799999999999998</v>
      </c>
      <c r="BZ114">
        <v>0.01</v>
      </c>
      <c r="CA114">
        <v>2.3E-2</v>
      </c>
      <c r="CB114">
        <v>0.01</v>
      </c>
      <c r="CC114">
        <v>0</v>
      </c>
      <c r="CD114">
        <v>0.115</v>
      </c>
      <c r="CE114">
        <v>0.51599600000000001</v>
      </c>
      <c r="CF114">
        <v>0.6754</v>
      </c>
      <c r="CG114">
        <v>8.0000000000000002E-3</v>
      </c>
      <c r="CH114">
        <v>1.7</v>
      </c>
      <c r="CI114">
        <v>0.02</v>
      </c>
      <c r="CJ114">
        <v>4.3359999999999996E-3</v>
      </c>
      <c r="CK114">
        <v>1.39</v>
      </c>
      <c r="CL114">
        <v>1.26</v>
      </c>
      <c r="CM114">
        <v>1.6783333333333332</v>
      </c>
      <c r="CN114">
        <v>6.0699999999999999E-3</v>
      </c>
      <c r="CO114">
        <v>5.8000000000000003E-2</v>
      </c>
      <c r="CP114">
        <v>0.05</v>
      </c>
      <c r="CQ114">
        <v>7.4999999999999997E-3</v>
      </c>
      <c r="CR114">
        <v>5.9999999999999995E-4</v>
      </c>
      <c r="CS114">
        <v>5.3467999999999996E-3</v>
      </c>
      <c r="CT114">
        <v>0</v>
      </c>
      <c r="CU114">
        <v>7.3000000000000001E-3</v>
      </c>
      <c r="CV114">
        <v>0</v>
      </c>
      <c r="CW114">
        <v>0.06</v>
      </c>
      <c r="CX114">
        <v>1.2E-2</v>
      </c>
      <c r="CY114">
        <v>0</v>
      </c>
      <c r="CZ114">
        <v>2.1999999999999999E-2</v>
      </c>
      <c r="DA114">
        <v>1.3333333333333335E-3</v>
      </c>
    </row>
    <row r="115" spans="1:105" x14ac:dyDescent="0.25">
      <c r="A115" s="1">
        <v>43646</v>
      </c>
      <c r="B115">
        <v>2.8000000000000001E-2</v>
      </c>
      <c r="C115">
        <v>2.5000000000000001E-2</v>
      </c>
      <c r="D115">
        <v>2.95</v>
      </c>
      <c r="E115">
        <v>0.11021499999999999</v>
      </c>
      <c r="F115">
        <v>0.159</v>
      </c>
      <c r="G115">
        <v>0.05</v>
      </c>
      <c r="H115">
        <v>0.32600000000000001</v>
      </c>
      <c r="I115">
        <v>0.185</v>
      </c>
      <c r="J115">
        <v>0.15</v>
      </c>
      <c r="K115">
        <v>0.161</v>
      </c>
      <c r="L115">
        <v>0.45400000000000001</v>
      </c>
      <c r="M115">
        <v>1.7390000000000001</v>
      </c>
      <c r="N115">
        <v>1.0249999999999999</v>
      </c>
      <c r="O115">
        <v>0.90629999999999999</v>
      </c>
      <c r="P115">
        <v>4.4000000000000004</v>
      </c>
      <c r="Q115">
        <v>0.318</v>
      </c>
      <c r="R115">
        <v>8.8999999999999996E-2</v>
      </c>
      <c r="S115">
        <v>1.63</v>
      </c>
      <c r="T115">
        <v>1.2529999999999999</v>
      </c>
      <c r="U115">
        <v>4.1000000000000003E-3</v>
      </c>
      <c r="V115">
        <v>9.3489999999999997E-3</v>
      </c>
      <c r="W115">
        <v>8.1799999999999998E-2</v>
      </c>
      <c r="X115">
        <v>1.83</v>
      </c>
      <c r="Y115">
        <v>4.3600000000000003</v>
      </c>
      <c r="Z115">
        <v>26.62</v>
      </c>
      <c r="AA115">
        <v>0.99</v>
      </c>
      <c r="AB115">
        <v>0.14499999999999999</v>
      </c>
      <c r="AC115">
        <v>4.3570000000000002</v>
      </c>
      <c r="AD115">
        <v>0.09</v>
      </c>
      <c r="AE115">
        <v>0.14000000000000001</v>
      </c>
      <c r="AF115">
        <v>0.184</v>
      </c>
      <c r="AG115">
        <v>0.64500000000000002</v>
      </c>
      <c r="AH115">
        <v>477</v>
      </c>
      <c r="AI115">
        <v>1.262</v>
      </c>
      <c r="AJ115">
        <v>1210</v>
      </c>
      <c r="AK115">
        <v>8.0000000000000002E-3</v>
      </c>
      <c r="AL115">
        <v>529</v>
      </c>
      <c r="AM115">
        <v>8.0000000000000002E-3</v>
      </c>
      <c r="AN115">
        <v>6.8000000000000005E-2</v>
      </c>
      <c r="AO115">
        <v>0</v>
      </c>
      <c r="AP115">
        <v>6.3600000000000004E-2</v>
      </c>
      <c r="AQ115">
        <v>0.26</v>
      </c>
      <c r="AR115">
        <v>1.008</v>
      </c>
      <c r="AS115">
        <v>7.3999999999999996E-2</v>
      </c>
      <c r="AT115">
        <v>0.12</v>
      </c>
      <c r="AU115">
        <v>2.5999999999999999E-2</v>
      </c>
      <c r="AV115">
        <v>0.19750000000000001</v>
      </c>
      <c r="AW115">
        <v>2.9769999999999999</v>
      </c>
      <c r="AX115">
        <v>537.12</v>
      </c>
      <c r="AY115">
        <v>2.19</v>
      </c>
      <c r="AZ115">
        <v>0.188</v>
      </c>
      <c r="BA115">
        <v>0.90400000000000003</v>
      </c>
      <c r="BB115">
        <v>9.5000000000000001E-2</v>
      </c>
      <c r="BC115">
        <v>5.0000000000000001E-4</v>
      </c>
      <c r="BD115">
        <v>6.0670000000000002</v>
      </c>
      <c r="BE115">
        <v>0.27117000000000002</v>
      </c>
      <c r="BF115">
        <v>102.27</v>
      </c>
      <c r="BG115">
        <v>0.49</v>
      </c>
      <c r="BH115">
        <v>0.53</v>
      </c>
      <c r="BI115">
        <v>0.84</v>
      </c>
      <c r="BJ115">
        <v>2.1859999999999999</v>
      </c>
      <c r="BK115">
        <v>2.3149999999999999</v>
      </c>
      <c r="BL115">
        <v>2.5000000000000001E-2</v>
      </c>
      <c r="BM115">
        <v>1.9</v>
      </c>
      <c r="BN115">
        <v>0.13</v>
      </c>
      <c r="BO115">
        <v>0.76</v>
      </c>
      <c r="BP115">
        <v>0.194554</v>
      </c>
      <c r="BQ115">
        <v>0</v>
      </c>
      <c r="BR115">
        <v>0</v>
      </c>
      <c r="BS115">
        <v>0.34</v>
      </c>
      <c r="BT115">
        <v>5.8999999999999997E-2</v>
      </c>
      <c r="BU115">
        <v>7.6E-3</v>
      </c>
      <c r="BV115">
        <v>1.521E-2</v>
      </c>
      <c r="BW115">
        <v>0.29799999999999999</v>
      </c>
      <c r="BX115">
        <v>0.29799999999999999</v>
      </c>
      <c r="BY115">
        <v>0.41799999999999998</v>
      </c>
      <c r="BZ115">
        <v>1.0999999999999999E-2</v>
      </c>
      <c r="CA115">
        <v>2.1999999999999999E-2</v>
      </c>
      <c r="CB115">
        <v>0.01</v>
      </c>
      <c r="CC115">
        <v>0</v>
      </c>
      <c r="CD115">
        <v>0.11899999999999999</v>
      </c>
      <c r="CE115">
        <v>0.51092199999999999</v>
      </c>
      <c r="CF115">
        <v>0.51880000000000004</v>
      </c>
      <c r="CG115">
        <v>0.18</v>
      </c>
      <c r="CH115">
        <v>1.6</v>
      </c>
      <c r="CI115">
        <v>0.01</v>
      </c>
      <c r="CJ115">
        <v>4.568E-3</v>
      </c>
      <c r="CK115">
        <v>0</v>
      </c>
      <c r="CL115">
        <v>1.28</v>
      </c>
      <c r="CM115">
        <v>2.0099999999999998</v>
      </c>
      <c r="CN115">
        <v>6.0124999999999996E-3</v>
      </c>
      <c r="CO115">
        <v>5.5E-2</v>
      </c>
      <c r="CP115">
        <v>5.3999999999999999E-2</v>
      </c>
      <c r="CQ115">
        <v>8.0999999999999996E-3</v>
      </c>
      <c r="CR115">
        <v>5.9999999999999995E-4</v>
      </c>
      <c r="CS115">
        <v>9.6690000000000005E-3</v>
      </c>
      <c r="CT115">
        <v>0</v>
      </c>
      <c r="CU115">
        <v>7.9000000000000008E-3</v>
      </c>
      <c r="CV115">
        <v>0</v>
      </c>
      <c r="CW115">
        <v>5.8000000000000003E-2</v>
      </c>
      <c r="CX115">
        <v>1.21E-2</v>
      </c>
      <c r="CY115">
        <v>2.2000000000000001E-3</v>
      </c>
      <c r="CZ115">
        <v>0.03</v>
      </c>
      <c r="DA115">
        <v>1E-3</v>
      </c>
    </row>
    <row r="116" spans="1:105" x14ac:dyDescent="0.25">
      <c r="A116" s="1">
        <v>43677</v>
      </c>
      <c r="B116">
        <v>4.7300000000000002E-2</v>
      </c>
      <c r="C116">
        <v>9.4E-2</v>
      </c>
      <c r="D116">
        <v>2.96</v>
      </c>
      <c r="E116">
        <v>0.101908</v>
      </c>
      <c r="F116">
        <v>0.16300000000000001</v>
      </c>
      <c r="G116">
        <v>0.03</v>
      </c>
      <c r="H116">
        <v>0.30099999999999999</v>
      </c>
      <c r="I116">
        <v>0.17599999999999999</v>
      </c>
      <c r="J116">
        <v>0.14000000000000001</v>
      </c>
      <c r="K116">
        <v>0.154</v>
      </c>
      <c r="L116">
        <v>0.3649</v>
      </c>
      <c r="M116">
        <v>1.446</v>
      </c>
      <c r="N116">
        <v>0.99299999999999999</v>
      </c>
      <c r="O116">
        <v>0.75329999999999997</v>
      </c>
      <c r="P116">
        <v>4</v>
      </c>
      <c r="Q116">
        <v>0.28000000000000003</v>
      </c>
      <c r="R116">
        <v>9.6000000000000002E-2</v>
      </c>
      <c r="S116">
        <v>1.27</v>
      </c>
      <c r="T116">
        <v>1.2290000000000001</v>
      </c>
      <c r="U116">
        <v>5.0000000000000001E-3</v>
      </c>
      <c r="V116">
        <v>6.3010000000000002E-3</v>
      </c>
      <c r="W116">
        <v>7.1599999999999997E-2</v>
      </c>
      <c r="X116">
        <v>0.86</v>
      </c>
      <c r="Y116">
        <v>3.84</v>
      </c>
      <c r="Z116">
        <v>23.73</v>
      </c>
      <c r="AA116">
        <v>0.4</v>
      </c>
      <c r="AB116">
        <v>0.129</v>
      </c>
      <c r="AC116">
        <v>4.0780000000000003</v>
      </c>
      <c r="AD116">
        <v>0.08</v>
      </c>
      <c r="AE116">
        <v>0.114</v>
      </c>
      <c r="AF116">
        <v>0.189</v>
      </c>
      <c r="AG116">
        <v>0.58799999999999997</v>
      </c>
      <c r="AH116">
        <v>662</v>
      </c>
      <c r="AI116">
        <v>1.429</v>
      </c>
      <c r="AJ116">
        <v>1210</v>
      </c>
      <c r="AK116">
        <v>1.525E-2</v>
      </c>
      <c r="AL116">
        <v>868</v>
      </c>
      <c r="AM116">
        <v>7.0000000000000001E-3</v>
      </c>
      <c r="AN116">
        <v>6.8000000000000005E-2</v>
      </c>
      <c r="AO116">
        <v>0</v>
      </c>
      <c r="AP116">
        <v>6.3200000000000006E-2</v>
      </c>
      <c r="AQ116">
        <v>0.26</v>
      </c>
      <c r="AR116">
        <v>1.008</v>
      </c>
      <c r="AS116">
        <v>7.3999999999999996E-2</v>
      </c>
      <c r="AT116">
        <v>0.12</v>
      </c>
      <c r="AU116">
        <v>3.5000000000000003E-2</v>
      </c>
      <c r="AV116">
        <v>0.24</v>
      </c>
      <c r="AW116">
        <v>2.782</v>
      </c>
      <c r="AX116">
        <v>537.12</v>
      </c>
      <c r="AY116">
        <v>2.2800000000000002</v>
      </c>
      <c r="AZ116">
        <v>0.16938700000000001</v>
      </c>
      <c r="BA116">
        <v>0.94899999999999995</v>
      </c>
      <c r="BB116">
        <v>8.6999999999999994E-2</v>
      </c>
      <c r="BC116">
        <v>4.0000000000000001E-3</v>
      </c>
      <c r="BD116">
        <v>5.1639999999999997</v>
      </c>
      <c r="BE116">
        <v>0.20503300000000002</v>
      </c>
      <c r="BF116">
        <v>92.77</v>
      </c>
      <c r="BG116">
        <v>1.29</v>
      </c>
      <c r="BH116">
        <v>1.04</v>
      </c>
      <c r="BI116">
        <v>1.24</v>
      </c>
      <c r="BJ116">
        <v>2.1739999999999999</v>
      </c>
      <c r="BK116">
        <v>2.0910000000000002</v>
      </c>
      <c r="BL116">
        <v>0.02</v>
      </c>
      <c r="BM116">
        <v>1.93</v>
      </c>
      <c r="BN116">
        <v>0.11</v>
      </c>
      <c r="BO116">
        <v>0.66920000000000002</v>
      </c>
      <c r="BP116">
        <v>0.184756</v>
      </c>
      <c r="BQ116">
        <v>0</v>
      </c>
      <c r="BR116">
        <v>0</v>
      </c>
      <c r="BS116">
        <v>0.34200000000000003</v>
      </c>
      <c r="BT116">
        <v>5.6000000000000001E-2</v>
      </c>
      <c r="BU116">
        <v>6.8459999999999997E-3</v>
      </c>
      <c r="BV116">
        <v>1.4970000000000001E-2</v>
      </c>
      <c r="BW116">
        <v>0.25600000000000001</v>
      </c>
      <c r="BX116">
        <v>0.25600000000000001</v>
      </c>
      <c r="BY116">
        <v>0.42899999999999999</v>
      </c>
      <c r="BZ116">
        <v>1.0999999999999999E-2</v>
      </c>
      <c r="CA116">
        <v>2.1999999999999999E-2</v>
      </c>
      <c r="CB116">
        <v>0.01</v>
      </c>
      <c r="CC116">
        <v>0</v>
      </c>
      <c r="CD116">
        <v>0.112</v>
      </c>
      <c r="CE116">
        <v>0.53530599999999995</v>
      </c>
      <c r="CF116">
        <v>0.36820000000000003</v>
      </c>
      <c r="CG116">
        <v>7.0000000000000001E-3</v>
      </c>
      <c r="CH116">
        <v>1.4</v>
      </c>
      <c r="CI116">
        <v>0.01</v>
      </c>
      <c r="CJ116">
        <v>4.4460000000000003E-3</v>
      </c>
      <c r="CK116">
        <v>0</v>
      </c>
      <c r="CL116">
        <v>1.22</v>
      </c>
      <c r="CM116">
        <v>2.3416666666666668</v>
      </c>
      <c r="CN116">
        <v>5.9550000000000002E-3</v>
      </c>
      <c r="CO116">
        <v>5.3999999999999999E-2</v>
      </c>
      <c r="CP116">
        <v>3.9E-2</v>
      </c>
      <c r="CQ116">
        <v>6.1999999999999998E-3</v>
      </c>
      <c r="CR116">
        <v>4.0000000000000002E-4</v>
      </c>
      <c r="CS116">
        <v>5.0654999999999999E-2</v>
      </c>
      <c r="CT116">
        <v>0</v>
      </c>
      <c r="CU116">
        <v>7.9000000000000008E-3</v>
      </c>
      <c r="CV116">
        <v>0</v>
      </c>
      <c r="CW116">
        <v>5.7000000000000002E-2</v>
      </c>
      <c r="CX116">
        <v>1.4E-2</v>
      </c>
      <c r="CY116">
        <v>2E-3</v>
      </c>
      <c r="CZ116">
        <v>2.3E-2</v>
      </c>
      <c r="DA116">
        <v>0.01</v>
      </c>
    </row>
    <row r="117" spans="1:105" x14ac:dyDescent="0.25">
      <c r="A117" s="1">
        <v>43708</v>
      </c>
      <c r="B117">
        <v>4.4999999999999998E-2</v>
      </c>
      <c r="C117">
        <v>0.123</v>
      </c>
      <c r="D117">
        <v>2.56</v>
      </c>
      <c r="E117">
        <v>9.8084000000000005E-2</v>
      </c>
      <c r="F117">
        <v>0.152</v>
      </c>
      <c r="G117">
        <v>0.03</v>
      </c>
      <c r="H117">
        <v>0.26800000000000002</v>
      </c>
      <c r="I117">
        <v>0.16</v>
      </c>
      <c r="J117">
        <v>0.13</v>
      </c>
      <c r="K117">
        <v>0.155</v>
      </c>
      <c r="L117">
        <v>0.37519999999999998</v>
      </c>
      <c r="M117">
        <v>1.395</v>
      </c>
      <c r="N117">
        <v>1.002</v>
      </c>
      <c r="O117">
        <v>0.63109999999999999</v>
      </c>
      <c r="P117">
        <v>4.0999999999999996</v>
      </c>
      <c r="Q117">
        <v>0.27300000000000002</v>
      </c>
      <c r="R117">
        <v>8.1000000000000003E-2</v>
      </c>
      <c r="S117">
        <v>1.48</v>
      </c>
      <c r="T117">
        <v>1.1870000000000001</v>
      </c>
      <c r="U117">
        <v>1.4E-3</v>
      </c>
      <c r="V117">
        <v>8.7290000000000006E-3</v>
      </c>
      <c r="W117">
        <v>6.5600000000000006E-2</v>
      </c>
      <c r="X117">
        <v>0.21</v>
      </c>
      <c r="Y117">
        <v>3.57</v>
      </c>
      <c r="Z117">
        <v>20.04</v>
      </c>
      <c r="AA117">
        <v>0.21</v>
      </c>
      <c r="AB117">
        <v>0.121</v>
      </c>
      <c r="AC117">
        <v>3.758</v>
      </c>
      <c r="AD117">
        <v>0.06</v>
      </c>
      <c r="AE117">
        <v>0.11600000000000001</v>
      </c>
      <c r="AF117">
        <v>0.19400000000000001</v>
      </c>
      <c r="AG117">
        <v>0.59199999999999997</v>
      </c>
      <c r="AH117">
        <v>700</v>
      </c>
      <c r="AI117">
        <v>1.401</v>
      </c>
      <c r="AJ117">
        <v>1130</v>
      </c>
      <c r="AK117">
        <v>2.2499999999999999E-2</v>
      </c>
      <c r="AL117">
        <v>1205</v>
      </c>
      <c r="AM117">
        <v>8.9999999999999993E-3</v>
      </c>
      <c r="AN117">
        <v>6.8000000000000005E-2</v>
      </c>
      <c r="AO117">
        <v>0</v>
      </c>
      <c r="AP117">
        <v>6.2799999999999995E-2</v>
      </c>
      <c r="AQ117">
        <v>0.26</v>
      </c>
      <c r="AR117">
        <v>1.008</v>
      </c>
      <c r="AS117">
        <v>7.3999999999999996E-2</v>
      </c>
      <c r="AT117">
        <v>0.12</v>
      </c>
      <c r="AU117">
        <v>4.5999999999999999E-2</v>
      </c>
      <c r="AV117">
        <v>0</v>
      </c>
      <c r="AW117">
        <v>2.669</v>
      </c>
      <c r="AX117">
        <v>547.15</v>
      </c>
      <c r="AY117">
        <v>2.37</v>
      </c>
      <c r="AZ117">
        <v>0.164968</v>
      </c>
      <c r="BA117">
        <v>0.873</v>
      </c>
      <c r="BB117">
        <v>9.1999999999999998E-2</v>
      </c>
      <c r="BC117">
        <v>0.01</v>
      </c>
      <c r="BD117">
        <v>4.4550000000000001</v>
      </c>
      <c r="BE117">
        <v>0.13889600000000002</v>
      </c>
      <c r="BF117">
        <v>85.67</v>
      </c>
      <c r="BG117">
        <v>2.87</v>
      </c>
      <c r="BH117">
        <v>1.1000000000000001</v>
      </c>
      <c r="BI117">
        <v>0.96</v>
      </c>
      <c r="BJ117">
        <v>1.984</v>
      </c>
      <c r="BK117">
        <v>1.84</v>
      </c>
      <c r="BL117">
        <v>2.2599999999999999E-2</v>
      </c>
      <c r="BM117">
        <v>1.92</v>
      </c>
      <c r="BN117">
        <v>0.12</v>
      </c>
      <c r="BO117">
        <v>0.69440000000000002</v>
      </c>
      <c r="BP117">
        <v>0.225858</v>
      </c>
      <c r="BQ117">
        <v>0</v>
      </c>
      <c r="BR117">
        <v>0</v>
      </c>
      <c r="BS117">
        <v>0.34399999999999997</v>
      </c>
      <c r="BT117">
        <v>5.8000000000000003E-2</v>
      </c>
      <c r="BU117">
        <v>6.3090000000000004E-3</v>
      </c>
      <c r="BV117">
        <v>1.6629999999999999E-2</v>
      </c>
      <c r="BW117">
        <v>0.22600000000000001</v>
      </c>
      <c r="BX117">
        <v>0.22600000000000001</v>
      </c>
      <c r="BY117">
        <v>0.56499999999999995</v>
      </c>
      <c r="BZ117">
        <v>8.9999999999999993E-3</v>
      </c>
      <c r="CA117">
        <v>2.1999999999999999E-2</v>
      </c>
      <c r="CB117">
        <v>0.01</v>
      </c>
      <c r="CC117">
        <v>0</v>
      </c>
      <c r="CD117">
        <v>0.10299999999999999</v>
      </c>
      <c r="CE117">
        <v>0.53176800000000002</v>
      </c>
      <c r="CF117">
        <v>0.2301</v>
      </c>
      <c r="CG117">
        <v>7.0000000000000001E-3</v>
      </c>
      <c r="CH117">
        <v>1.5</v>
      </c>
      <c r="CI117">
        <v>0.01</v>
      </c>
      <c r="CJ117">
        <v>4.6379999999999998E-3</v>
      </c>
      <c r="CK117">
        <v>0</v>
      </c>
      <c r="CL117">
        <v>1.2150000000000001</v>
      </c>
      <c r="CM117">
        <v>2.6733333333333333</v>
      </c>
      <c r="CN117">
        <v>5.8975E-3</v>
      </c>
      <c r="CO117">
        <v>5.5E-2</v>
      </c>
      <c r="CP117">
        <v>2.8000000000000001E-2</v>
      </c>
      <c r="CQ117">
        <v>6.7999999999999996E-3</v>
      </c>
      <c r="CR117">
        <v>5.9999999999999995E-4</v>
      </c>
      <c r="CS117">
        <v>7.3622999999999994E-2</v>
      </c>
      <c r="CT117">
        <v>0</v>
      </c>
      <c r="CU117">
        <v>8.0999999999999996E-3</v>
      </c>
      <c r="CV117">
        <v>0</v>
      </c>
      <c r="CW117">
        <v>5.8000000000000003E-2</v>
      </c>
      <c r="CX117">
        <v>1.4999999999999999E-2</v>
      </c>
      <c r="CY117">
        <v>2E-3</v>
      </c>
      <c r="CZ117">
        <v>0.02</v>
      </c>
      <c r="DA117">
        <v>8.9999999999999993E-3</v>
      </c>
    </row>
    <row r="118" spans="1:105" x14ac:dyDescent="0.25">
      <c r="A118" s="1">
        <v>43738</v>
      </c>
      <c r="B118">
        <v>2.8299999999999999E-2</v>
      </c>
      <c r="C118">
        <v>0.10199999999999999</v>
      </c>
      <c r="D118">
        <v>2.2000000000000002</v>
      </c>
      <c r="E118">
        <v>0.13441500000000001</v>
      </c>
      <c r="F118">
        <v>0.156</v>
      </c>
      <c r="G118">
        <v>0.04</v>
      </c>
      <c r="H118">
        <v>0.23899999999999999</v>
      </c>
      <c r="I118">
        <v>0.16300000000000001</v>
      </c>
      <c r="J118">
        <v>0.15</v>
      </c>
      <c r="K118">
        <v>0.16</v>
      </c>
      <c r="L118">
        <v>0.37369999999999998</v>
      </c>
      <c r="M118">
        <v>1.552</v>
      </c>
      <c r="N118">
        <v>1.0249999999999999</v>
      </c>
      <c r="O118">
        <v>0.60429999999999995</v>
      </c>
      <c r="P118">
        <v>4.2</v>
      </c>
      <c r="Q118">
        <v>0.27800000000000002</v>
      </c>
      <c r="R118">
        <v>5.6000000000000001E-2</v>
      </c>
      <c r="S118">
        <v>1.6259999999999999</v>
      </c>
      <c r="T118">
        <v>1.1759999999999999</v>
      </c>
      <c r="U118">
        <v>7.4000000000000003E-3</v>
      </c>
      <c r="V118">
        <v>8.9300000000000004E-3</v>
      </c>
      <c r="W118">
        <v>7.8E-2</v>
      </c>
      <c r="X118">
        <v>7.0000000000000007E-2</v>
      </c>
      <c r="Y118">
        <v>3.64</v>
      </c>
      <c r="Z118">
        <v>19.13</v>
      </c>
      <c r="AA118">
        <v>0.3</v>
      </c>
      <c r="AB118">
        <v>0.11899999999999999</v>
      </c>
      <c r="AC118">
        <v>4.0190000000000001</v>
      </c>
      <c r="AD118">
        <v>0.04</v>
      </c>
      <c r="AE118">
        <v>0.109</v>
      </c>
      <c r="AF118">
        <v>0.19400000000000001</v>
      </c>
      <c r="AG118">
        <v>0.60299999999999998</v>
      </c>
      <c r="AH118">
        <v>437</v>
      </c>
      <c r="AI118">
        <v>1.4470000000000001</v>
      </c>
      <c r="AJ118">
        <v>1223</v>
      </c>
      <c r="AK118">
        <v>2.9749999999999999E-2</v>
      </c>
      <c r="AL118">
        <v>949</v>
      </c>
      <c r="AM118">
        <v>1.0999999999999999E-2</v>
      </c>
      <c r="AN118">
        <v>6.8000000000000005E-2</v>
      </c>
      <c r="AO118">
        <v>0</v>
      </c>
      <c r="AP118">
        <v>6.2399999999999997E-2</v>
      </c>
      <c r="AQ118">
        <v>0.26</v>
      </c>
      <c r="AR118">
        <v>1.008</v>
      </c>
      <c r="AS118">
        <v>7.3999999999999996E-2</v>
      </c>
      <c r="AT118">
        <v>0.12</v>
      </c>
      <c r="AU118">
        <v>2.5999999999999999E-2</v>
      </c>
      <c r="AV118">
        <v>0</v>
      </c>
      <c r="AW118">
        <v>2.577</v>
      </c>
      <c r="AX118">
        <v>544.89</v>
      </c>
      <c r="AY118">
        <v>2.46</v>
      </c>
      <c r="AZ118">
        <v>0.164133</v>
      </c>
      <c r="BA118">
        <v>0.86</v>
      </c>
      <c r="BB118">
        <v>9.8000000000000004E-2</v>
      </c>
      <c r="BC118">
        <v>0.02</v>
      </c>
      <c r="BD118">
        <v>4.9820000000000002</v>
      </c>
      <c r="BE118">
        <v>7.2759000000000018E-2</v>
      </c>
      <c r="BF118">
        <v>85.57</v>
      </c>
      <c r="BG118">
        <v>3.33</v>
      </c>
      <c r="BH118">
        <v>1.1200000000000001</v>
      </c>
      <c r="BI118">
        <v>0.66</v>
      </c>
      <c r="BJ118">
        <v>1.8879999999999999</v>
      </c>
      <c r="BK118">
        <v>1.821</v>
      </c>
      <c r="BL118">
        <v>2.7869999999999999E-2</v>
      </c>
      <c r="BM118">
        <v>1.85</v>
      </c>
      <c r="BN118">
        <v>0.14000000000000001</v>
      </c>
      <c r="BO118">
        <v>0.66220000000000001</v>
      </c>
      <c r="BP118">
        <v>0.17705599999999999</v>
      </c>
      <c r="BQ118">
        <v>0</v>
      </c>
      <c r="BR118">
        <v>0</v>
      </c>
      <c r="BS118">
        <v>0.33500000000000002</v>
      </c>
      <c r="BT118">
        <v>5.6000000000000001E-2</v>
      </c>
      <c r="BU118">
        <v>6.1859999999999997E-3</v>
      </c>
      <c r="BV118">
        <v>1.3990000000000001E-2</v>
      </c>
      <c r="BW118">
        <v>0.255</v>
      </c>
      <c r="BX118">
        <v>0.255</v>
      </c>
      <c r="BY118">
        <v>0.53339999999999999</v>
      </c>
      <c r="BZ118">
        <v>8.0000000000000002E-3</v>
      </c>
      <c r="CA118">
        <v>2.3E-2</v>
      </c>
      <c r="CB118">
        <v>0.01</v>
      </c>
      <c r="CC118">
        <v>0</v>
      </c>
      <c r="CD118">
        <v>0.115</v>
      </c>
      <c r="CE118">
        <v>0.530165</v>
      </c>
      <c r="CF118">
        <v>0.24149999999999999</v>
      </c>
      <c r="CG118">
        <v>7.0000000000000001E-3</v>
      </c>
      <c r="CH118">
        <v>1.5</v>
      </c>
      <c r="CI118">
        <v>0.03</v>
      </c>
      <c r="CJ118">
        <v>4.6480000000000002E-3</v>
      </c>
      <c r="CK118">
        <v>0</v>
      </c>
      <c r="CL118">
        <v>1.21</v>
      </c>
      <c r="CM118">
        <v>3.0049999999999999</v>
      </c>
      <c r="CN118">
        <v>5.8399999999999997E-3</v>
      </c>
      <c r="CO118">
        <v>5.7000000000000002E-2</v>
      </c>
      <c r="CP118">
        <v>3.5000000000000003E-2</v>
      </c>
      <c r="CQ118">
        <v>6.8999999999999999E-3</v>
      </c>
      <c r="CR118">
        <v>5.0000000000000001E-4</v>
      </c>
      <c r="CS118">
        <v>1.7846399999999998E-2</v>
      </c>
      <c r="CT118">
        <v>0</v>
      </c>
      <c r="CU118">
        <v>8.3000000000000001E-3</v>
      </c>
      <c r="CV118">
        <v>0</v>
      </c>
      <c r="CW118">
        <v>6.0999999999999999E-2</v>
      </c>
      <c r="CX118">
        <v>1.6E-2</v>
      </c>
      <c r="CY118">
        <v>4.0000000000000001E-3</v>
      </c>
      <c r="CZ118">
        <v>1.9E-2</v>
      </c>
      <c r="DA118">
        <v>1.4999999999999999E-2</v>
      </c>
    </row>
    <row r="119" spans="1:105" x14ac:dyDescent="0.25">
      <c r="A119" s="1">
        <v>43769</v>
      </c>
      <c r="B119">
        <v>3.1899999999999998E-2</v>
      </c>
      <c r="C119">
        <v>8.5999999999999993E-2</v>
      </c>
      <c r="D119">
        <v>1.87</v>
      </c>
      <c r="E119">
        <v>0.106034</v>
      </c>
      <c r="F119">
        <v>0.15</v>
      </c>
      <c r="G119">
        <v>0.04</v>
      </c>
      <c r="H119">
        <v>0.23</v>
      </c>
      <c r="I119">
        <v>0.16400000000000001</v>
      </c>
      <c r="J119">
        <v>0.14899999999999999</v>
      </c>
      <c r="K119">
        <v>0.155</v>
      </c>
      <c r="L119">
        <v>0.3553</v>
      </c>
      <c r="M119">
        <v>1.613</v>
      </c>
      <c r="N119">
        <v>1.1539999999999999</v>
      </c>
      <c r="O119">
        <v>0.62160000000000004</v>
      </c>
      <c r="P119">
        <v>4.2</v>
      </c>
      <c r="Q119">
        <v>0.30099999999999999</v>
      </c>
      <c r="R119">
        <v>5.1999999999999998E-2</v>
      </c>
      <c r="S119">
        <v>1.417</v>
      </c>
      <c r="T119">
        <v>1.07</v>
      </c>
      <c r="U119">
        <v>2.5000000000000001E-3</v>
      </c>
      <c r="V119">
        <v>7.2709999999999997E-3</v>
      </c>
      <c r="W119">
        <v>8.1600000000000006E-2</v>
      </c>
      <c r="X119">
        <v>0.9</v>
      </c>
      <c r="Y119">
        <v>4.1100000000000003</v>
      </c>
      <c r="Z119">
        <v>21.67</v>
      </c>
      <c r="AA119">
        <v>0.16</v>
      </c>
      <c r="AB119">
        <v>0.11</v>
      </c>
      <c r="AC119">
        <v>4.1790000000000003</v>
      </c>
      <c r="AD119">
        <v>0.1</v>
      </c>
      <c r="AE119">
        <v>0.107</v>
      </c>
      <c r="AF119">
        <v>0.189</v>
      </c>
      <c r="AG119">
        <v>0.60899999999999999</v>
      </c>
      <c r="AH119">
        <v>497</v>
      </c>
      <c r="AI119">
        <v>1.1579999999999999</v>
      </c>
      <c r="AJ119">
        <v>759</v>
      </c>
      <c r="AK119">
        <v>3.6999999999999998E-2</v>
      </c>
      <c r="AL119">
        <v>586</v>
      </c>
      <c r="AM119">
        <v>1.0912499999999999E-2</v>
      </c>
      <c r="AN119">
        <v>6.8000000000000005E-2</v>
      </c>
      <c r="AO119">
        <v>0</v>
      </c>
      <c r="AP119">
        <v>6.2E-2</v>
      </c>
      <c r="AQ119">
        <v>0.26</v>
      </c>
      <c r="AR119">
        <v>1.008</v>
      </c>
      <c r="AS119">
        <v>7.3999999999999996E-2</v>
      </c>
      <c r="AT119">
        <v>0.12</v>
      </c>
      <c r="AU119">
        <v>2.7E-2</v>
      </c>
      <c r="AV119">
        <v>0</v>
      </c>
      <c r="AW119">
        <v>2.5739999999999998</v>
      </c>
      <c r="AX119">
        <v>537.12</v>
      </c>
      <c r="AY119">
        <v>2.4762777777777778</v>
      </c>
      <c r="AZ119">
        <v>0.1787</v>
      </c>
      <c r="BA119">
        <v>0.86699999999999999</v>
      </c>
      <c r="BB119">
        <v>9.7000000000000003E-2</v>
      </c>
      <c r="BC119">
        <v>0.02</v>
      </c>
      <c r="BD119">
        <v>5.7</v>
      </c>
      <c r="BE119">
        <v>6.6220000000000003E-3</v>
      </c>
      <c r="BF119">
        <v>84.58</v>
      </c>
      <c r="BG119">
        <v>3.52</v>
      </c>
      <c r="BH119">
        <v>0.81</v>
      </c>
      <c r="BI119">
        <v>0.69</v>
      </c>
      <c r="BJ119">
        <v>1.962</v>
      </c>
      <c r="BK119">
        <v>2.0459999999999998</v>
      </c>
      <c r="BL119">
        <v>2.7E-2</v>
      </c>
      <c r="BM119">
        <v>1.82</v>
      </c>
      <c r="BN119">
        <v>0.16</v>
      </c>
      <c r="BO119">
        <v>0.65200000000000002</v>
      </c>
      <c r="BP119">
        <v>0.16479199999999999</v>
      </c>
      <c r="BQ119">
        <v>0</v>
      </c>
      <c r="BR119">
        <v>0</v>
      </c>
      <c r="BS119">
        <v>0.33800000000000002</v>
      </c>
      <c r="BT119">
        <v>6.2E-2</v>
      </c>
      <c r="BU119">
        <v>6.8960000000000002E-3</v>
      </c>
      <c r="BV119">
        <v>1.7059999999999999E-2</v>
      </c>
      <c r="BW119">
        <v>0.22600000000000001</v>
      </c>
      <c r="BX119">
        <v>0.22600000000000001</v>
      </c>
      <c r="BY119">
        <v>0.52700000000000002</v>
      </c>
      <c r="BZ119">
        <v>0.01</v>
      </c>
      <c r="CA119">
        <v>1.4E-2</v>
      </c>
      <c r="CB119">
        <v>8.0000000000000002E-3</v>
      </c>
      <c r="CC119">
        <v>0</v>
      </c>
      <c r="CD119">
        <v>0.13500000000000001</v>
      </c>
      <c r="CE119">
        <v>0.522845</v>
      </c>
      <c r="CF119">
        <v>0.39360000000000001</v>
      </c>
      <c r="CG119">
        <v>1.6E-2</v>
      </c>
      <c r="CH119">
        <v>1.5</v>
      </c>
      <c r="CI119">
        <v>1.6E-2</v>
      </c>
      <c r="CJ119">
        <v>3.2980000000000002E-3</v>
      </c>
      <c r="CK119">
        <v>0</v>
      </c>
      <c r="CL119">
        <v>1.26</v>
      </c>
      <c r="CM119">
        <v>3.3366666666666664</v>
      </c>
      <c r="CN119">
        <v>3.7799999999999999E-3</v>
      </c>
      <c r="CO119">
        <v>5.6000000000000001E-2</v>
      </c>
      <c r="CP119">
        <v>3.6999999999999998E-2</v>
      </c>
      <c r="CQ119">
        <v>7.0000000000000001E-3</v>
      </c>
      <c r="CR119">
        <v>5.0000000000000001E-4</v>
      </c>
      <c r="CS119">
        <v>1.15995E-2</v>
      </c>
      <c r="CT119">
        <v>0</v>
      </c>
      <c r="CU119">
        <v>8.6E-3</v>
      </c>
      <c r="CV119">
        <v>0</v>
      </c>
      <c r="CW119">
        <v>5.6000000000000001E-2</v>
      </c>
      <c r="CX119">
        <v>1.7999999999999999E-2</v>
      </c>
      <c r="CY119">
        <v>6.0000000000000001E-3</v>
      </c>
      <c r="CZ119">
        <v>0.02</v>
      </c>
      <c r="DA119">
        <v>1.4999999999999999E-2</v>
      </c>
    </row>
    <row r="120" spans="1:105" x14ac:dyDescent="0.25">
      <c r="A120" s="1">
        <v>43799</v>
      </c>
      <c r="B120">
        <v>1.26E-2</v>
      </c>
      <c r="C120">
        <v>1.7000000000000001E-2</v>
      </c>
      <c r="D120">
        <v>1.52</v>
      </c>
      <c r="E120">
        <v>0.10970000000000001</v>
      </c>
      <c r="F120">
        <v>0.14399999999999999</v>
      </c>
      <c r="G120">
        <v>0.04</v>
      </c>
      <c r="H120">
        <v>0.252</v>
      </c>
      <c r="I120">
        <v>0.157</v>
      </c>
      <c r="J120">
        <v>0.16</v>
      </c>
      <c r="K120">
        <v>0.13600000000000001</v>
      </c>
      <c r="L120">
        <v>0.3306</v>
      </c>
      <c r="M120">
        <v>1.6990000000000001</v>
      </c>
      <c r="N120">
        <v>1.0389999999999999</v>
      </c>
      <c r="O120">
        <v>0.61040000000000005</v>
      </c>
      <c r="P120">
        <v>4</v>
      </c>
      <c r="Q120">
        <v>0.308</v>
      </c>
      <c r="R120">
        <v>5.8000000000000003E-2</v>
      </c>
      <c r="S120">
        <v>1.1399999999999999</v>
      </c>
      <c r="T120">
        <v>1.0609999999999999</v>
      </c>
      <c r="U120">
        <v>2.7000000000000001E-3</v>
      </c>
      <c r="V120">
        <v>5.5700000000000003E-3</v>
      </c>
      <c r="W120">
        <v>7.8100000000000003E-2</v>
      </c>
      <c r="X120">
        <v>2.0299999999999998</v>
      </c>
      <c r="Y120">
        <v>4.49</v>
      </c>
      <c r="Z120">
        <v>20.92</v>
      </c>
      <c r="AA120">
        <v>0.19</v>
      </c>
      <c r="AB120">
        <v>0.106</v>
      </c>
      <c r="AC120">
        <v>4.12</v>
      </c>
      <c r="AD120">
        <v>7.0000000000000007E-2</v>
      </c>
      <c r="AE120">
        <v>0.108</v>
      </c>
      <c r="AF120">
        <v>0.14899999999999999</v>
      </c>
      <c r="AG120">
        <v>0.54800000000000004</v>
      </c>
      <c r="AH120">
        <v>214</v>
      </c>
      <c r="AI120">
        <v>0.68</v>
      </c>
      <c r="AJ120">
        <v>631</v>
      </c>
      <c r="AK120">
        <v>5.3124999999999999E-2</v>
      </c>
      <c r="AL120">
        <v>400</v>
      </c>
      <c r="AM120">
        <v>1.0825E-2</v>
      </c>
      <c r="AN120">
        <v>0.33400000000000002</v>
      </c>
      <c r="AO120">
        <v>0</v>
      </c>
      <c r="AP120">
        <v>6.2666666666666662E-2</v>
      </c>
      <c r="AQ120">
        <v>0.26</v>
      </c>
      <c r="AR120">
        <v>1.008</v>
      </c>
      <c r="AS120">
        <v>7.3999999999999996E-2</v>
      </c>
      <c r="AT120">
        <v>0.12</v>
      </c>
      <c r="AU120">
        <v>0.03</v>
      </c>
      <c r="AV120">
        <v>0</v>
      </c>
      <c r="AW120">
        <v>2.5950000000000002</v>
      </c>
      <c r="AX120">
        <v>430.22399999999999</v>
      </c>
      <c r="AY120">
        <v>2.4925555555555556</v>
      </c>
      <c r="AZ120">
        <v>0.16686599999999999</v>
      </c>
      <c r="BA120">
        <v>0.88900000000000001</v>
      </c>
      <c r="BB120">
        <v>9.1999999999999998E-2</v>
      </c>
      <c r="BC120">
        <v>1.4E-2</v>
      </c>
      <c r="BD120">
        <v>6.117</v>
      </c>
      <c r="BE120">
        <v>1.29E-2</v>
      </c>
      <c r="BF120">
        <v>82.91</v>
      </c>
      <c r="BG120">
        <v>3.64</v>
      </c>
      <c r="BH120">
        <v>0.53</v>
      </c>
      <c r="BI120">
        <v>0.46</v>
      </c>
      <c r="BJ120">
        <v>1.9630000000000001</v>
      </c>
      <c r="BK120">
        <v>1.9219999999999999</v>
      </c>
      <c r="BL120">
        <v>2.7E-2</v>
      </c>
      <c r="BM120">
        <v>1.83</v>
      </c>
      <c r="BN120">
        <v>0.16</v>
      </c>
      <c r="BO120">
        <v>0.60170000000000001</v>
      </c>
      <c r="BP120">
        <v>0.15042700000000001</v>
      </c>
      <c r="BQ120">
        <v>0</v>
      </c>
      <c r="BR120">
        <v>0</v>
      </c>
      <c r="BS120">
        <v>0.30299999999999999</v>
      </c>
      <c r="BT120">
        <v>4.7E-2</v>
      </c>
      <c r="BU120">
        <v>5.019E-3</v>
      </c>
      <c r="BV120">
        <v>1.4409999999999999E-2</v>
      </c>
      <c r="BW120">
        <v>0.24299999999999999</v>
      </c>
      <c r="BX120">
        <v>0.24299999999999999</v>
      </c>
      <c r="BY120">
        <v>0.47299999999999998</v>
      </c>
      <c r="BZ120">
        <v>8.9999999999999993E-3</v>
      </c>
      <c r="CA120">
        <v>1.9E-2</v>
      </c>
      <c r="CB120">
        <v>0.01</v>
      </c>
      <c r="CC120">
        <v>0</v>
      </c>
      <c r="CD120">
        <v>0.153</v>
      </c>
      <c r="CE120">
        <v>0.52330200000000004</v>
      </c>
      <c r="CF120">
        <v>0.54430000000000001</v>
      </c>
      <c r="CG120">
        <v>0.02</v>
      </c>
      <c r="CH120">
        <v>1.4</v>
      </c>
      <c r="CI120">
        <v>0.02</v>
      </c>
      <c r="CJ120">
        <v>2.2520000000000001E-3</v>
      </c>
      <c r="CK120">
        <v>0</v>
      </c>
      <c r="CL120">
        <v>1.22</v>
      </c>
      <c r="CM120">
        <v>3.6683333333333334</v>
      </c>
      <c r="CN120">
        <v>4.4866666666666666E-3</v>
      </c>
      <c r="CO120">
        <v>5.5E-2</v>
      </c>
      <c r="CP120">
        <v>3.7999999999999999E-2</v>
      </c>
      <c r="CQ120">
        <v>8.3999999999999995E-3</v>
      </c>
      <c r="CR120">
        <v>5.9999999999999995E-4</v>
      </c>
      <c r="CS120">
        <v>8.2442000000000001E-2</v>
      </c>
      <c r="CT120">
        <v>0</v>
      </c>
      <c r="CU120">
        <v>8.8999999999999999E-3</v>
      </c>
      <c r="CV120">
        <v>0</v>
      </c>
      <c r="CW120">
        <v>5.8999999999999997E-2</v>
      </c>
      <c r="CX120">
        <v>1.7999999999999999E-2</v>
      </c>
      <c r="CY120">
        <v>6.0000000000000001E-3</v>
      </c>
      <c r="CZ120">
        <v>0.02</v>
      </c>
      <c r="DA120">
        <v>1.4E-2</v>
      </c>
    </row>
    <row r="121" spans="1:105" x14ac:dyDescent="0.25">
      <c r="A121" s="1">
        <v>43830</v>
      </c>
      <c r="B121">
        <v>1.2200000000000001E-2</v>
      </c>
      <c r="C121">
        <v>1.7999999999999999E-2</v>
      </c>
      <c r="D121">
        <v>2.2400000000000002</v>
      </c>
      <c r="E121">
        <v>0.105409</v>
      </c>
      <c r="F121">
        <v>0.14299999999999999</v>
      </c>
      <c r="G121">
        <v>0.04</v>
      </c>
      <c r="H121">
        <v>0.23799999999999999</v>
      </c>
      <c r="I121">
        <v>0.15</v>
      </c>
      <c r="J121">
        <v>0.14599999999999999</v>
      </c>
      <c r="K121">
        <v>0.11700000000000001</v>
      </c>
      <c r="L121">
        <v>0.32640000000000002</v>
      </c>
      <c r="M121">
        <v>1.619</v>
      </c>
      <c r="N121">
        <v>0.98699999999999999</v>
      </c>
      <c r="O121">
        <v>0.5998</v>
      </c>
      <c r="P121">
        <v>3.8</v>
      </c>
      <c r="Q121">
        <v>0.30199999999999999</v>
      </c>
      <c r="R121">
        <v>5.1999999999999998E-2</v>
      </c>
      <c r="S121">
        <v>1.1479999999999999</v>
      </c>
      <c r="T121">
        <v>1.0329999999999999</v>
      </c>
      <c r="U121">
        <v>1.1000000000000001E-3</v>
      </c>
      <c r="V121">
        <v>4.5269999999999998E-3</v>
      </c>
      <c r="W121">
        <v>7.8799999999999995E-2</v>
      </c>
      <c r="X121">
        <v>1.94</v>
      </c>
      <c r="Y121">
        <v>3.85</v>
      </c>
      <c r="Z121">
        <v>25.32</v>
      </c>
      <c r="AA121">
        <v>0.22</v>
      </c>
      <c r="AB121">
        <v>9.2999999999999999E-2</v>
      </c>
      <c r="AC121">
        <v>3.919</v>
      </c>
      <c r="AD121">
        <v>0.06</v>
      </c>
      <c r="AE121">
        <v>0</v>
      </c>
      <c r="AF121">
        <v>0.14399999999999999</v>
      </c>
      <c r="AG121">
        <v>0.53100000000000003</v>
      </c>
      <c r="AH121">
        <v>253</v>
      </c>
      <c r="AI121">
        <v>0.96</v>
      </c>
      <c r="AJ121">
        <v>746</v>
      </c>
      <c r="AK121">
        <v>6.9250000000000006E-2</v>
      </c>
      <c r="AL121">
        <v>342</v>
      </c>
      <c r="AM121">
        <v>1.0737500000000001E-2</v>
      </c>
      <c r="AN121">
        <v>0.60000000000000009</v>
      </c>
      <c r="AO121">
        <v>0</v>
      </c>
      <c r="AP121">
        <v>6.3333333333333339E-2</v>
      </c>
      <c r="AQ121">
        <v>0.26</v>
      </c>
      <c r="AR121">
        <v>1.008</v>
      </c>
      <c r="AS121">
        <v>7.3999999999999996E-2</v>
      </c>
      <c r="AT121">
        <v>0.12</v>
      </c>
      <c r="AU121">
        <v>2.5000000000000001E-2</v>
      </c>
      <c r="AV121">
        <v>0</v>
      </c>
      <c r="AW121">
        <v>2.5110000000000001</v>
      </c>
      <c r="AX121">
        <v>277.92</v>
      </c>
      <c r="AY121">
        <v>2.5088333333333335</v>
      </c>
      <c r="AZ121">
        <v>0.16141900000000001</v>
      </c>
      <c r="BA121">
        <v>0.76200000000000001</v>
      </c>
      <c r="BB121">
        <v>8.6999999999999994E-2</v>
      </c>
      <c r="BC121">
        <v>0.01</v>
      </c>
      <c r="BD121">
        <v>5.7969999999999997</v>
      </c>
      <c r="BE121">
        <v>1E-3</v>
      </c>
      <c r="BF121">
        <v>78.209999999999994</v>
      </c>
      <c r="BG121">
        <v>3.58</v>
      </c>
      <c r="BH121">
        <v>0.33</v>
      </c>
      <c r="BI121">
        <v>0.28999999999999998</v>
      </c>
      <c r="BJ121">
        <v>1.95</v>
      </c>
      <c r="BK121">
        <v>1.8</v>
      </c>
      <c r="BL121">
        <v>2.5999999999999999E-2</v>
      </c>
      <c r="BM121">
        <v>1.47</v>
      </c>
      <c r="BN121">
        <v>0.15</v>
      </c>
      <c r="BO121">
        <v>0.58609999999999995</v>
      </c>
      <c r="BP121">
        <v>0.133245</v>
      </c>
      <c r="BQ121">
        <v>0</v>
      </c>
      <c r="BR121">
        <v>0</v>
      </c>
      <c r="BS121">
        <v>0.33500000000000002</v>
      </c>
      <c r="BT121">
        <v>0.03</v>
      </c>
      <c r="BU121">
        <v>3.9309999999999996E-3</v>
      </c>
      <c r="BV121">
        <v>1.308E-2</v>
      </c>
      <c r="BW121">
        <v>0.251</v>
      </c>
      <c r="BX121">
        <v>0.251</v>
      </c>
      <c r="BY121">
        <v>0.47899999999999998</v>
      </c>
      <c r="BZ121">
        <v>8.0000000000000002E-3</v>
      </c>
      <c r="CA121">
        <v>2.3E-2</v>
      </c>
      <c r="CB121">
        <v>8.0000000000000002E-3</v>
      </c>
      <c r="CC121">
        <v>0</v>
      </c>
      <c r="CD121">
        <v>0.16</v>
      </c>
      <c r="CE121">
        <v>0.39752500000000002</v>
      </c>
      <c r="CF121">
        <v>0.57930000000000004</v>
      </c>
      <c r="CG121">
        <v>2.1000000000000001E-2</v>
      </c>
      <c r="CH121">
        <v>1.3</v>
      </c>
      <c r="CI121">
        <v>0.04</v>
      </c>
      <c r="CJ121">
        <v>2.5200000000000001E-3</v>
      </c>
      <c r="CK121">
        <v>0</v>
      </c>
      <c r="CL121">
        <v>1.2</v>
      </c>
      <c r="CM121">
        <v>4</v>
      </c>
      <c r="CN121">
        <v>5.1933333333333328E-3</v>
      </c>
      <c r="CO121">
        <v>5.6000000000000001E-2</v>
      </c>
      <c r="CP121">
        <v>3.9E-2</v>
      </c>
      <c r="CQ121">
        <v>8.3999999999999995E-3</v>
      </c>
      <c r="CR121">
        <v>5.9999999999999995E-4</v>
      </c>
      <c r="CS121">
        <v>1.7938300000000001E-2</v>
      </c>
      <c r="CT121">
        <v>0</v>
      </c>
      <c r="CU121">
        <v>6.7000000000000002E-3</v>
      </c>
      <c r="CV121">
        <v>0</v>
      </c>
      <c r="CW121">
        <v>6.0999999999999999E-2</v>
      </c>
      <c r="CX121">
        <v>1.7999999999999999E-2</v>
      </c>
      <c r="CY121">
        <v>5.0000000000000001E-3</v>
      </c>
      <c r="CZ121">
        <v>1.9E-2</v>
      </c>
      <c r="DA121">
        <v>1.4E-2</v>
      </c>
    </row>
    <row r="122" spans="1:105" x14ac:dyDescent="0.25">
      <c r="A122" s="1">
        <v>43861</v>
      </c>
      <c r="B122">
        <v>1.6199999999999999E-2</v>
      </c>
      <c r="C122">
        <v>1.9E-2</v>
      </c>
      <c r="D122">
        <v>2.4</v>
      </c>
      <c r="E122">
        <v>0.12753500000000001</v>
      </c>
      <c r="F122">
        <v>0.16300000000000001</v>
      </c>
      <c r="G122">
        <v>0.04</v>
      </c>
      <c r="H122">
        <v>0.25</v>
      </c>
      <c r="I122">
        <v>0.16200000000000001</v>
      </c>
      <c r="J122">
        <v>0.16400000000000001</v>
      </c>
      <c r="K122">
        <v>0.114</v>
      </c>
      <c r="L122">
        <v>0.32669999999999999</v>
      </c>
      <c r="M122">
        <v>1.8180000000000001</v>
      </c>
      <c r="N122">
        <v>0.98799999999999999</v>
      </c>
      <c r="O122">
        <v>0.64100000000000001</v>
      </c>
      <c r="P122">
        <v>4.0999999999999996</v>
      </c>
      <c r="Q122">
        <v>0.32200000000000001</v>
      </c>
      <c r="R122">
        <v>4.7E-2</v>
      </c>
      <c r="S122">
        <v>1.24</v>
      </c>
      <c r="T122">
        <v>1.0169999999999999</v>
      </c>
      <c r="U122">
        <v>1.1000000000000001E-3</v>
      </c>
      <c r="V122">
        <v>2.7590000000000002E-3</v>
      </c>
      <c r="W122">
        <v>8.5400000000000004E-2</v>
      </c>
      <c r="X122">
        <v>0.74</v>
      </c>
      <c r="Y122">
        <v>4.2699999999999996</v>
      </c>
      <c r="Z122">
        <v>26.29</v>
      </c>
      <c r="AA122">
        <v>0.56999999999999995</v>
      </c>
      <c r="AB122">
        <v>0.11</v>
      </c>
      <c r="AC122">
        <v>3.875</v>
      </c>
      <c r="AD122">
        <v>7.0000000000000007E-2</v>
      </c>
      <c r="AE122">
        <v>0</v>
      </c>
      <c r="AF122">
        <v>0.14799999999999999</v>
      </c>
      <c r="AG122">
        <v>0.59199999999999997</v>
      </c>
      <c r="AH122">
        <v>244</v>
      </c>
      <c r="AI122">
        <v>0.309</v>
      </c>
      <c r="AJ122">
        <v>670</v>
      </c>
      <c r="AK122">
        <v>8.5375000000000006E-2</v>
      </c>
      <c r="AL122">
        <v>313</v>
      </c>
      <c r="AM122">
        <v>1.065E-2</v>
      </c>
      <c r="AN122">
        <v>0.86599999999999999</v>
      </c>
      <c r="AO122">
        <v>0</v>
      </c>
      <c r="AP122">
        <v>6.4000000000000001E-2</v>
      </c>
      <c r="AQ122">
        <v>0.26</v>
      </c>
      <c r="AR122">
        <v>1.008</v>
      </c>
      <c r="AS122">
        <v>7.3999999999999996E-2</v>
      </c>
      <c r="AT122">
        <v>0.12</v>
      </c>
      <c r="AU122">
        <v>2.8000000000000001E-2</v>
      </c>
      <c r="AV122">
        <v>0</v>
      </c>
      <c r="AW122">
        <v>2.581</v>
      </c>
      <c r="AX122">
        <v>163.54499999999999</v>
      </c>
      <c r="AY122">
        <v>2.5251111111111113</v>
      </c>
      <c r="AZ122">
        <v>0.165354</v>
      </c>
      <c r="BA122">
        <v>0.748</v>
      </c>
      <c r="BB122">
        <v>8.6999999999999994E-2</v>
      </c>
      <c r="BC122">
        <v>0.01</v>
      </c>
      <c r="BD122">
        <v>5.9450000000000003</v>
      </c>
      <c r="BE122">
        <v>8.8000000000000003E-4</v>
      </c>
      <c r="BF122">
        <v>79.44</v>
      </c>
      <c r="BG122">
        <v>3.89</v>
      </c>
      <c r="BH122">
        <v>0.49</v>
      </c>
      <c r="BI122">
        <v>0.49</v>
      </c>
      <c r="BJ122">
        <v>1.931</v>
      </c>
      <c r="BK122">
        <v>1.9419999999999999</v>
      </c>
      <c r="BL122">
        <v>2.2499999999999999E-2</v>
      </c>
      <c r="BM122">
        <v>1.74</v>
      </c>
      <c r="BN122">
        <v>0.15</v>
      </c>
      <c r="BO122">
        <v>0.61709999999999998</v>
      </c>
      <c r="BP122">
        <v>0.146395</v>
      </c>
      <c r="BQ122">
        <v>0</v>
      </c>
      <c r="BR122">
        <v>0</v>
      </c>
      <c r="BS122">
        <v>0.317</v>
      </c>
      <c r="BT122">
        <v>2.8000000000000001E-2</v>
      </c>
      <c r="BU122">
        <v>7.633E-3</v>
      </c>
      <c r="BV122">
        <v>1.4579999999999999E-2</v>
      </c>
      <c r="BW122">
        <v>0.26800000000000002</v>
      </c>
      <c r="BX122">
        <v>0.26800000000000002</v>
      </c>
      <c r="BY122">
        <v>0.42099999999999999</v>
      </c>
      <c r="BZ122">
        <v>8.0000000000000002E-3</v>
      </c>
      <c r="CA122">
        <v>2.1999999999999999E-2</v>
      </c>
      <c r="CB122">
        <v>0.01</v>
      </c>
      <c r="CC122">
        <v>0</v>
      </c>
      <c r="CD122">
        <v>0.20300000000000001</v>
      </c>
      <c r="CE122">
        <v>0.42110300000000001</v>
      </c>
      <c r="CF122">
        <v>0.62880000000000003</v>
      </c>
      <c r="CG122">
        <v>1E-3</v>
      </c>
      <c r="CH122">
        <v>1.4</v>
      </c>
      <c r="CI122">
        <v>0.02</v>
      </c>
      <c r="CJ122">
        <v>1.916E-3</v>
      </c>
      <c r="CK122">
        <v>0</v>
      </c>
      <c r="CL122">
        <v>1.26</v>
      </c>
      <c r="CM122">
        <v>3.3416666666666668</v>
      </c>
      <c r="CN122">
        <v>5.8999999999999999E-3</v>
      </c>
      <c r="CO122">
        <v>5.6000000000000001E-2</v>
      </c>
      <c r="CP122">
        <v>4.1000000000000002E-2</v>
      </c>
      <c r="CQ122">
        <v>0.01</v>
      </c>
      <c r="CR122">
        <v>5.0000000000000001E-4</v>
      </c>
      <c r="CS122">
        <v>5.1413E-2</v>
      </c>
      <c r="CT122">
        <v>0</v>
      </c>
      <c r="CU122">
        <v>5.0000000000000001E-3</v>
      </c>
      <c r="CV122">
        <v>0</v>
      </c>
      <c r="CW122">
        <v>6.7000000000000004E-2</v>
      </c>
      <c r="CX122">
        <v>0.02</v>
      </c>
      <c r="CY122">
        <v>4.0000000000000001E-3</v>
      </c>
      <c r="CZ122">
        <v>1.7999999999999999E-2</v>
      </c>
      <c r="DA122">
        <v>1.7999999999999999E-2</v>
      </c>
    </row>
    <row r="123" spans="1:105" x14ac:dyDescent="0.25">
      <c r="A123" s="1">
        <v>43890</v>
      </c>
      <c r="B123">
        <v>1.3599999999999999E-2</v>
      </c>
      <c r="C123">
        <v>3.1E-2</v>
      </c>
      <c r="D123">
        <v>2.2799999999999998</v>
      </c>
      <c r="E123">
        <v>0.1129</v>
      </c>
      <c r="F123">
        <v>0.14399999999999999</v>
      </c>
      <c r="G123">
        <v>0.04</v>
      </c>
      <c r="H123">
        <v>0.249</v>
      </c>
      <c r="I123">
        <v>0.16900000000000001</v>
      </c>
      <c r="J123">
        <v>0.14699999999999999</v>
      </c>
      <c r="K123">
        <v>0.10299999999999999</v>
      </c>
      <c r="L123">
        <v>0.30249999999999999</v>
      </c>
      <c r="M123">
        <v>1.8420000000000001</v>
      </c>
      <c r="N123">
        <v>0.95799999999999996</v>
      </c>
      <c r="O123">
        <v>0.65190000000000003</v>
      </c>
      <c r="P123">
        <v>3.7</v>
      </c>
      <c r="Q123">
        <v>0.31900000000000001</v>
      </c>
      <c r="R123">
        <v>4.8000000000000001E-2</v>
      </c>
      <c r="S123">
        <v>0.95099999999999996</v>
      </c>
      <c r="T123">
        <v>1.1579999999999999</v>
      </c>
      <c r="U123">
        <v>1E-3</v>
      </c>
      <c r="V123">
        <v>3.4320000000000002E-3</v>
      </c>
      <c r="W123">
        <v>8.4199999999999997E-2</v>
      </c>
      <c r="X123">
        <v>1.62</v>
      </c>
      <c r="Y123">
        <v>4.5999999999999996</v>
      </c>
      <c r="Z123">
        <v>24.98</v>
      </c>
      <c r="AA123">
        <v>0.25</v>
      </c>
      <c r="AB123">
        <v>0.105</v>
      </c>
      <c r="AC123">
        <v>3.9649999999999999</v>
      </c>
      <c r="AD123">
        <v>0.06</v>
      </c>
      <c r="AE123">
        <v>0</v>
      </c>
      <c r="AF123">
        <v>0.13600000000000001</v>
      </c>
      <c r="AG123">
        <v>0.61199999999999999</v>
      </c>
      <c r="AH123">
        <v>311</v>
      </c>
      <c r="AI123">
        <v>0.96199999999999997</v>
      </c>
      <c r="AJ123">
        <v>691</v>
      </c>
      <c r="AK123">
        <v>0.10150000000000001</v>
      </c>
      <c r="AL123">
        <v>312.2</v>
      </c>
      <c r="AM123">
        <v>1.0562499999999999E-2</v>
      </c>
      <c r="AN123">
        <v>6.8000000000000005E-2</v>
      </c>
      <c r="AO123">
        <v>0</v>
      </c>
      <c r="AP123">
        <v>6.4000000000000001E-2</v>
      </c>
      <c r="AQ123">
        <v>0.26</v>
      </c>
      <c r="AR123">
        <v>1.008</v>
      </c>
      <c r="AS123">
        <v>7.3999999999999996E-2</v>
      </c>
      <c r="AT123">
        <v>0.12</v>
      </c>
      <c r="AU123">
        <v>3.2000000000000001E-2</v>
      </c>
      <c r="AV123">
        <v>0</v>
      </c>
      <c r="AW123">
        <v>2.6840000000000002</v>
      </c>
      <c r="AX123">
        <v>18.72</v>
      </c>
      <c r="AY123">
        <v>2.5413888888888887</v>
      </c>
      <c r="AZ123">
        <v>0.160827</v>
      </c>
      <c r="BA123">
        <v>0.69199999999999995</v>
      </c>
      <c r="BB123">
        <v>9.1999999999999998E-2</v>
      </c>
      <c r="BC123">
        <v>1.7000000000000001E-2</v>
      </c>
      <c r="BD123">
        <v>5.7320000000000002</v>
      </c>
      <c r="BE123">
        <v>3.458E-2</v>
      </c>
      <c r="BF123">
        <v>82.61</v>
      </c>
      <c r="BG123">
        <v>1.9</v>
      </c>
      <c r="BH123">
        <v>0.5</v>
      </c>
      <c r="BI123">
        <v>0.4</v>
      </c>
      <c r="BJ123">
        <v>1.8520000000000001</v>
      </c>
      <c r="BK123">
        <v>1.996</v>
      </c>
      <c r="BL123">
        <v>2.3E-2</v>
      </c>
      <c r="BM123">
        <v>1.1399999999999999</v>
      </c>
      <c r="BN123">
        <v>0.15</v>
      </c>
      <c r="BO123">
        <v>0.61409999999999998</v>
      </c>
      <c r="BP123">
        <v>0.15390999999999999</v>
      </c>
      <c r="BQ123">
        <v>0</v>
      </c>
      <c r="BR123">
        <v>0</v>
      </c>
      <c r="BS123">
        <v>0.35799999999999998</v>
      </c>
      <c r="BT123">
        <v>3.2000000000000001E-2</v>
      </c>
      <c r="BU123">
        <v>6.3460000000000001E-3</v>
      </c>
      <c r="BV123">
        <v>1.4919999999999999E-2</v>
      </c>
      <c r="BW123">
        <v>0.30399999999999999</v>
      </c>
      <c r="BX123">
        <v>0.30399999999999999</v>
      </c>
      <c r="BY123">
        <v>0.44</v>
      </c>
      <c r="BZ123">
        <v>8.0000000000000002E-3</v>
      </c>
      <c r="CA123">
        <v>2.1999999999999999E-2</v>
      </c>
      <c r="CB123">
        <v>8.9999999999999993E-3</v>
      </c>
      <c r="CC123">
        <v>0</v>
      </c>
      <c r="CD123">
        <v>0.19900000000000001</v>
      </c>
      <c r="CE123">
        <v>0.38203500000000001</v>
      </c>
      <c r="CF123">
        <v>0.65210000000000001</v>
      </c>
      <c r="CG123">
        <v>3.0000000000000001E-3</v>
      </c>
      <c r="CH123">
        <v>1.3</v>
      </c>
      <c r="CI123">
        <v>0.02</v>
      </c>
      <c r="CJ123">
        <v>3.5929999999999998E-3</v>
      </c>
      <c r="CK123">
        <v>0</v>
      </c>
      <c r="CL123">
        <v>1.26</v>
      </c>
      <c r="CM123">
        <v>2.6833333333333336</v>
      </c>
      <c r="CN123">
        <v>9.1E-4</v>
      </c>
      <c r="CO123">
        <v>5.2999999999999999E-2</v>
      </c>
      <c r="CP123">
        <v>0.04</v>
      </c>
      <c r="CQ123">
        <v>7.1000000000000004E-3</v>
      </c>
      <c r="CR123">
        <v>5.9999999999999995E-4</v>
      </c>
      <c r="CS123">
        <v>5.3782000000000003E-2</v>
      </c>
      <c r="CT123">
        <v>0</v>
      </c>
      <c r="CU123">
        <v>5.1999999999999998E-3</v>
      </c>
      <c r="CV123">
        <v>0</v>
      </c>
      <c r="CW123">
        <v>6.9000000000000006E-2</v>
      </c>
      <c r="CX123">
        <v>2.1000000000000001E-2</v>
      </c>
      <c r="CY123">
        <v>4.0000000000000001E-3</v>
      </c>
      <c r="CZ123">
        <v>0.02</v>
      </c>
      <c r="DA123">
        <v>1.4999999999999999E-2</v>
      </c>
    </row>
    <row r="124" spans="1:105" x14ac:dyDescent="0.25">
      <c r="A124" s="1">
        <v>43921</v>
      </c>
      <c r="B124">
        <v>1E-3</v>
      </c>
      <c r="C124">
        <v>4.4999999999999998E-2</v>
      </c>
      <c r="D124">
        <v>2.48</v>
      </c>
      <c r="E124">
        <v>0.1115</v>
      </c>
      <c r="F124">
        <v>0.14099999999999999</v>
      </c>
      <c r="G124">
        <v>0.05</v>
      </c>
      <c r="H124">
        <v>0.25900000000000001</v>
      </c>
      <c r="I124">
        <v>0.156</v>
      </c>
      <c r="J124">
        <v>0.12</v>
      </c>
      <c r="K124">
        <v>0.127</v>
      </c>
      <c r="L124">
        <v>0.36530000000000001</v>
      </c>
      <c r="M124">
        <v>1.8819999999999999</v>
      </c>
      <c r="N124">
        <v>0.99099999999999999</v>
      </c>
      <c r="O124">
        <v>0.65720000000000001</v>
      </c>
      <c r="P124">
        <v>3.8</v>
      </c>
      <c r="Q124">
        <v>0.36299999999999999</v>
      </c>
      <c r="R124">
        <v>6.0999999999999999E-2</v>
      </c>
      <c r="S124">
        <v>1.1100000000000001</v>
      </c>
      <c r="T124">
        <v>1.222</v>
      </c>
      <c r="U124">
        <v>1.4E-3</v>
      </c>
      <c r="V124">
        <v>3.6340000000000001E-3</v>
      </c>
      <c r="W124">
        <v>7.6100000000000001E-2</v>
      </c>
      <c r="X124">
        <v>1.93</v>
      </c>
      <c r="Y124">
        <v>4.3099999999999996</v>
      </c>
      <c r="Z124">
        <v>24.16</v>
      </c>
      <c r="AA124">
        <v>0.36</v>
      </c>
      <c r="AB124">
        <v>9.2999999999999999E-2</v>
      </c>
      <c r="AC124">
        <v>4.0940000000000003</v>
      </c>
      <c r="AD124">
        <v>7.0000000000000007E-2</v>
      </c>
      <c r="AE124">
        <v>0</v>
      </c>
      <c r="AF124">
        <v>0.16700000000000001</v>
      </c>
      <c r="AG124">
        <v>0.63500000000000001</v>
      </c>
      <c r="AH124">
        <v>238</v>
      </c>
      <c r="AI124">
        <v>0.91800000000000004</v>
      </c>
      <c r="AJ124">
        <v>1037</v>
      </c>
      <c r="AK124">
        <v>0.11762500000000001</v>
      </c>
      <c r="AL124">
        <v>477</v>
      </c>
      <c r="AM124">
        <v>1.0475E-2</v>
      </c>
      <c r="AN124">
        <v>6.8000000000000005E-2</v>
      </c>
      <c r="AO124">
        <v>0</v>
      </c>
      <c r="AP124">
        <v>6.4000000000000001E-2</v>
      </c>
      <c r="AQ124">
        <v>0.26</v>
      </c>
      <c r="AR124">
        <v>1.008</v>
      </c>
      <c r="AS124">
        <v>7.3999999999999996E-2</v>
      </c>
      <c r="AT124">
        <v>0.12</v>
      </c>
      <c r="AU124">
        <v>8.7999999999999995E-2</v>
      </c>
      <c r="AV124">
        <v>0</v>
      </c>
      <c r="AW124">
        <v>2.76</v>
      </c>
      <c r="AX124">
        <v>18.72</v>
      </c>
      <c r="AY124">
        <v>2.5576666666666665</v>
      </c>
      <c r="AZ124">
        <v>0.1772</v>
      </c>
      <c r="BA124">
        <v>0.63500000000000001</v>
      </c>
      <c r="BB124">
        <v>0.09</v>
      </c>
      <c r="BC124">
        <v>1.2E-2</v>
      </c>
      <c r="BD124">
        <v>5.75</v>
      </c>
      <c r="BE124">
        <v>0.1414</v>
      </c>
      <c r="BF124">
        <v>84.68</v>
      </c>
      <c r="BG124">
        <v>0.37</v>
      </c>
      <c r="BH124">
        <v>0.59</v>
      </c>
      <c r="BI124">
        <v>1.43</v>
      </c>
      <c r="BJ124">
        <v>1.8580000000000001</v>
      </c>
      <c r="BK124">
        <v>2.0859999999999999</v>
      </c>
      <c r="BL124">
        <v>2.4E-2</v>
      </c>
      <c r="BM124">
        <v>1.75</v>
      </c>
      <c r="BN124">
        <v>7.0000000000000007E-2</v>
      </c>
      <c r="BO124">
        <v>0.67800000000000005</v>
      </c>
      <c r="BP124">
        <v>0.13541</v>
      </c>
      <c r="BQ124">
        <v>0</v>
      </c>
      <c r="BR124">
        <v>0</v>
      </c>
      <c r="BS124">
        <v>0.34100000000000003</v>
      </c>
      <c r="BT124">
        <v>3.4000000000000002E-2</v>
      </c>
      <c r="BU124">
        <v>6.6950000000000004E-3</v>
      </c>
      <c r="BV124">
        <v>1.8110000000000001E-2</v>
      </c>
      <c r="BW124">
        <v>0.27600000000000002</v>
      </c>
      <c r="BX124">
        <v>0.27600000000000002</v>
      </c>
      <c r="BY124">
        <v>0.61399999999999999</v>
      </c>
      <c r="BZ124">
        <v>8.9999999999999993E-3</v>
      </c>
      <c r="CA124">
        <v>2.3E-2</v>
      </c>
      <c r="CB124">
        <v>0.01</v>
      </c>
      <c r="CC124">
        <v>0</v>
      </c>
      <c r="CD124">
        <v>0.253</v>
      </c>
      <c r="CE124">
        <v>0.43962000000000001</v>
      </c>
      <c r="CF124">
        <v>0.56869999999999998</v>
      </c>
      <c r="CG124">
        <v>2E-3</v>
      </c>
      <c r="CH124">
        <v>1.3</v>
      </c>
      <c r="CI124">
        <v>2.4E-2</v>
      </c>
      <c r="CJ124">
        <v>3.3430000000000001E-3</v>
      </c>
      <c r="CK124">
        <v>0</v>
      </c>
      <c r="CL124">
        <v>1.45</v>
      </c>
      <c r="CM124">
        <v>2.0249999999999999</v>
      </c>
      <c r="CN124">
        <v>1.89E-3</v>
      </c>
      <c r="CO124">
        <v>4.9000000000000002E-2</v>
      </c>
      <c r="CP124">
        <v>3.9E-2</v>
      </c>
      <c r="CQ124">
        <v>7.3000000000000001E-3</v>
      </c>
      <c r="CR124">
        <v>5.0000000000000001E-4</v>
      </c>
      <c r="CS124">
        <v>2.5831E-2</v>
      </c>
      <c r="CT124">
        <v>0</v>
      </c>
      <c r="CU124">
        <v>5.7000000000000002E-3</v>
      </c>
      <c r="CV124">
        <v>0</v>
      </c>
      <c r="CW124">
        <v>7.3999999999999996E-2</v>
      </c>
      <c r="CX124">
        <v>0.02</v>
      </c>
      <c r="CY124">
        <v>4.0000000000000001E-3</v>
      </c>
      <c r="CZ124">
        <v>0.02</v>
      </c>
      <c r="DA124">
        <v>1.4999999999999999E-2</v>
      </c>
    </row>
    <row r="125" spans="1:105" x14ac:dyDescent="0.25">
      <c r="A125" s="1">
        <v>43951</v>
      </c>
      <c r="B125">
        <v>7.1000000000000004E-3</v>
      </c>
      <c r="C125">
        <v>3.5999999999999997E-2</v>
      </c>
      <c r="D125">
        <v>2.4500000000000002</v>
      </c>
      <c r="E125">
        <v>0.10187</v>
      </c>
      <c r="F125">
        <v>0.14000000000000001</v>
      </c>
      <c r="G125">
        <v>0.04</v>
      </c>
      <c r="H125">
        <v>0.27</v>
      </c>
      <c r="I125">
        <v>0.16600000000000001</v>
      </c>
      <c r="J125">
        <v>0.18</v>
      </c>
      <c r="K125">
        <v>0.11600000000000001</v>
      </c>
      <c r="L125">
        <v>0.36899999999999999</v>
      </c>
      <c r="M125">
        <v>1.78</v>
      </c>
      <c r="N125">
        <v>0.98099999999999998</v>
      </c>
      <c r="O125">
        <v>0.6593</v>
      </c>
      <c r="P125">
        <v>3.8</v>
      </c>
      <c r="Q125">
        <v>0.36799999999999999</v>
      </c>
      <c r="R125">
        <v>4.1000000000000002E-2</v>
      </c>
      <c r="S125">
        <v>1.3680000000000001</v>
      </c>
      <c r="T125">
        <v>1.175</v>
      </c>
      <c r="U125">
        <v>2.5000000000000001E-3</v>
      </c>
      <c r="V125">
        <v>2.1299999999999999E-3</v>
      </c>
      <c r="W125">
        <v>0.14069999999999999</v>
      </c>
      <c r="X125">
        <v>1.98</v>
      </c>
      <c r="Y125">
        <v>4.22</v>
      </c>
      <c r="Z125">
        <v>19.72</v>
      </c>
      <c r="AA125">
        <v>6.51</v>
      </c>
      <c r="AB125">
        <v>8.3000000000000004E-2</v>
      </c>
      <c r="AC125">
        <v>4.25</v>
      </c>
      <c r="AD125">
        <v>7.0000000000000007E-2</v>
      </c>
      <c r="AE125">
        <v>0</v>
      </c>
      <c r="AF125">
        <v>0.18099999999999999</v>
      </c>
      <c r="AG125">
        <v>0.60199999999999998</v>
      </c>
      <c r="AH125">
        <v>323</v>
      </c>
      <c r="AI125">
        <v>0.55700000000000005</v>
      </c>
      <c r="AJ125">
        <v>1182</v>
      </c>
      <c r="AK125">
        <v>0.13375000000000001</v>
      </c>
      <c r="AL125">
        <v>519</v>
      </c>
      <c r="AM125">
        <v>1.0387500000000001E-2</v>
      </c>
      <c r="AN125">
        <v>6.8000000000000005E-2</v>
      </c>
      <c r="AO125">
        <v>0</v>
      </c>
      <c r="AP125">
        <v>6.4000000000000001E-2</v>
      </c>
      <c r="AQ125">
        <v>0.26</v>
      </c>
      <c r="AR125">
        <v>1.008</v>
      </c>
      <c r="AS125">
        <v>7.3999999999999996E-2</v>
      </c>
      <c r="AT125">
        <v>0.12</v>
      </c>
      <c r="AU125">
        <v>5.6000000000000001E-2</v>
      </c>
      <c r="AV125">
        <v>0</v>
      </c>
      <c r="AW125">
        <v>2.7759999999999998</v>
      </c>
      <c r="AX125">
        <v>468</v>
      </c>
      <c r="AY125">
        <v>2.5739444444444444</v>
      </c>
      <c r="AZ125">
        <v>0.18843299999999999</v>
      </c>
      <c r="BA125">
        <v>0.72599999999999998</v>
      </c>
      <c r="BB125">
        <v>8.4000000000000005E-2</v>
      </c>
      <c r="BC125">
        <v>7.0000000000000001E-3</v>
      </c>
      <c r="BD125">
        <v>6.008</v>
      </c>
      <c r="BE125">
        <v>0.91</v>
      </c>
      <c r="BF125">
        <v>85.04</v>
      </c>
      <c r="BG125">
        <v>2.06</v>
      </c>
      <c r="BH125">
        <v>0.6</v>
      </c>
      <c r="BI125">
        <v>1.46</v>
      </c>
      <c r="BJ125">
        <v>1.8049999999999999</v>
      </c>
      <c r="BK125">
        <v>2.42</v>
      </c>
      <c r="BL125">
        <v>2.5000000000000001E-2</v>
      </c>
      <c r="BM125">
        <v>1.83</v>
      </c>
      <c r="BN125">
        <v>0.13</v>
      </c>
      <c r="BO125">
        <v>0.71760000000000002</v>
      </c>
      <c r="BP125">
        <v>0.16494400000000001</v>
      </c>
      <c r="BQ125">
        <v>0</v>
      </c>
      <c r="BR125">
        <v>0</v>
      </c>
      <c r="BS125">
        <v>0.34100000000000003</v>
      </c>
      <c r="BT125">
        <v>4.1000000000000002E-2</v>
      </c>
      <c r="BU125">
        <v>7.3070000000000001E-3</v>
      </c>
      <c r="BV125">
        <v>1.7729999999999999E-2</v>
      </c>
      <c r="BW125">
        <v>0.28599999999999998</v>
      </c>
      <c r="BX125">
        <v>0.28599999999999998</v>
      </c>
      <c r="BY125">
        <v>0.504</v>
      </c>
      <c r="BZ125">
        <v>1.06E-2</v>
      </c>
      <c r="CA125">
        <v>2.3E-2</v>
      </c>
      <c r="CB125">
        <v>0.01</v>
      </c>
      <c r="CC125">
        <v>0</v>
      </c>
      <c r="CD125">
        <v>0.28999999999999998</v>
      </c>
      <c r="CE125">
        <v>0.43210100000000001</v>
      </c>
      <c r="CF125">
        <v>0.48949999999999999</v>
      </c>
      <c r="CG125">
        <v>4.0000000000000001E-3</v>
      </c>
      <c r="CH125">
        <v>1.3</v>
      </c>
      <c r="CI125">
        <v>2.7E-2</v>
      </c>
      <c r="CJ125">
        <v>3.9884999999999999E-3</v>
      </c>
      <c r="CK125">
        <v>0</v>
      </c>
      <c r="CL125">
        <v>1.33</v>
      </c>
      <c r="CM125">
        <v>1.3666666666666667</v>
      </c>
      <c r="CN125">
        <v>2.8700000000000002E-3</v>
      </c>
      <c r="CO125">
        <v>5.7000000000000002E-2</v>
      </c>
      <c r="CP125">
        <v>3.4000000000000002E-2</v>
      </c>
      <c r="CQ125">
        <v>7.7999999999999996E-3</v>
      </c>
      <c r="CR125">
        <v>5.9999999999999995E-4</v>
      </c>
      <c r="CS125">
        <v>1.0366999999999999E-2</v>
      </c>
      <c r="CT125">
        <v>8.9999999999999993E-3</v>
      </c>
      <c r="CU125">
        <v>5.4999999999999997E-3</v>
      </c>
      <c r="CV125">
        <v>0</v>
      </c>
      <c r="CW125">
        <v>6.6000000000000003E-2</v>
      </c>
      <c r="CX125">
        <v>2.1000000000000001E-2</v>
      </c>
      <c r="CY125">
        <v>3.0000000000000001E-3</v>
      </c>
      <c r="CZ125">
        <v>1.6E-2</v>
      </c>
      <c r="DA125">
        <v>1.4999999999999999E-2</v>
      </c>
    </row>
    <row r="126" spans="1:105" x14ac:dyDescent="0.25">
      <c r="A126" s="1">
        <v>43982</v>
      </c>
      <c r="B126">
        <v>3.2399999999999998E-2</v>
      </c>
      <c r="C126">
        <v>3.7999999999999999E-2</v>
      </c>
      <c r="D126">
        <v>2.4</v>
      </c>
      <c r="E126">
        <v>0.115523</v>
      </c>
      <c r="F126">
        <v>0.159</v>
      </c>
      <c r="G126">
        <v>0.04</v>
      </c>
      <c r="H126">
        <v>0.26600000000000001</v>
      </c>
      <c r="I126">
        <v>0.18</v>
      </c>
      <c r="J126">
        <v>0.13</v>
      </c>
      <c r="K126">
        <v>0.124</v>
      </c>
      <c r="L126">
        <v>0.43140000000000001</v>
      </c>
      <c r="M126">
        <v>1.7789999999999999</v>
      </c>
      <c r="N126">
        <v>1.0629999999999999</v>
      </c>
      <c r="O126">
        <v>0.84199999999999997</v>
      </c>
      <c r="P126">
        <v>4.0999999999999996</v>
      </c>
      <c r="Q126">
        <v>0.41</v>
      </c>
      <c r="R126">
        <v>5.6000000000000001E-2</v>
      </c>
      <c r="S126">
        <v>1.67</v>
      </c>
      <c r="T126">
        <v>1.214</v>
      </c>
      <c r="U126">
        <v>3.0000000000000001E-3</v>
      </c>
      <c r="V126">
        <v>3.3289999999999999E-3</v>
      </c>
      <c r="W126">
        <v>0.1027</v>
      </c>
      <c r="X126">
        <v>1.45</v>
      </c>
      <c r="Y126">
        <v>4.8099999999999996</v>
      </c>
      <c r="Z126">
        <v>22.46</v>
      </c>
      <c r="AA126">
        <v>0.33</v>
      </c>
      <c r="AB126">
        <v>9.9000000000000005E-2</v>
      </c>
      <c r="AC126">
        <v>4.3680000000000003</v>
      </c>
      <c r="AD126">
        <v>0.08</v>
      </c>
      <c r="AE126">
        <v>0</v>
      </c>
      <c r="AF126">
        <v>0.182</v>
      </c>
      <c r="AG126">
        <v>0.64500000000000002</v>
      </c>
      <c r="AH126">
        <v>350</v>
      </c>
      <c r="AI126">
        <v>2.1179999999999999</v>
      </c>
      <c r="AJ126">
        <v>1177.3</v>
      </c>
      <c r="AK126">
        <v>0.14987500000000001</v>
      </c>
      <c r="AL126">
        <v>482</v>
      </c>
      <c r="AM126">
        <v>1.03E-2</v>
      </c>
      <c r="AN126">
        <v>6.8000000000000005E-2</v>
      </c>
      <c r="AO126">
        <v>0</v>
      </c>
      <c r="AP126">
        <v>6.4000000000000001E-2</v>
      </c>
      <c r="AQ126">
        <v>0.26</v>
      </c>
      <c r="AR126">
        <v>1.008</v>
      </c>
      <c r="AS126">
        <v>7.3999999999999996E-2</v>
      </c>
      <c r="AT126">
        <v>0.12</v>
      </c>
      <c r="AU126">
        <v>6.0999999999999999E-2</v>
      </c>
      <c r="AV126">
        <v>0</v>
      </c>
      <c r="AW126">
        <v>2.9350000000000001</v>
      </c>
      <c r="AX126">
        <v>537.12</v>
      </c>
      <c r="AY126">
        <v>2.5902222222222222</v>
      </c>
      <c r="AZ126">
        <v>0.17961199999999999</v>
      </c>
      <c r="BA126">
        <v>0.84899999999999998</v>
      </c>
      <c r="BB126">
        <v>8.5000000000000006E-2</v>
      </c>
      <c r="BC126">
        <v>0.01</v>
      </c>
      <c r="BD126">
        <v>5.7240000000000002</v>
      </c>
      <c r="BE126">
        <v>7.0180000000000006E-2</v>
      </c>
      <c r="BF126">
        <v>86.2</v>
      </c>
      <c r="BG126">
        <v>3.75</v>
      </c>
      <c r="BH126">
        <v>0.77</v>
      </c>
      <c r="BI126">
        <v>0.79</v>
      </c>
      <c r="BJ126">
        <v>1.984</v>
      </c>
      <c r="BK126">
        <v>2.6419999999999999</v>
      </c>
      <c r="BL126">
        <v>2.9649999999999999E-2</v>
      </c>
      <c r="BM126">
        <v>1.86</v>
      </c>
      <c r="BN126">
        <v>0.13</v>
      </c>
      <c r="BO126">
        <v>0.77800000000000002</v>
      </c>
      <c r="BP126">
        <v>0.14066899999999999</v>
      </c>
      <c r="BQ126">
        <v>0</v>
      </c>
      <c r="BR126">
        <v>0</v>
      </c>
      <c r="BS126">
        <v>0.33500000000000002</v>
      </c>
      <c r="BT126">
        <v>4.4999999999999998E-2</v>
      </c>
      <c r="BU126">
        <v>8.2780000000000006E-3</v>
      </c>
      <c r="BV126">
        <v>1.7000000000000001E-2</v>
      </c>
      <c r="BW126">
        <v>0.30099999999999999</v>
      </c>
      <c r="BX126">
        <v>0.30099999999999999</v>
      </c>
      <c r="BY126">
        <v>0.51600000000000001</v>
      </c>
      <c r="BZ126">
        <v>8.9999999999999993E-3</v>
      </c>
      <c r="CA126">
        <v>1.0999999999999999E-2</v>
      </c>
      <c r="CB126">
        <v>4.0000000000000001E-3</v>
      </c>
      <c r="CC126">
        <v>0</v>
      </c>
      <c r="CD126">
        <v>0.23</v>
      </c>
      <c r="CE126">
        <v>0.44058000000000003</v>
      </c>
      <c r="CF126">
        <v>0.4929</v>
      </c>
      <c r="CG126">
        <v>5.0000000000000001E-3</v>
      </c>
      <c r="CH126">
        <v>1.4</v>
      </c>
      <c r="CI126">
        <v>0.03</v>
      </c>
      <c r="CJ126">
        <v>4.6340000000000001E-3</v>
      </c>
      <c r="CK126">
        <v>0</v>
      </c>
      <c r="CL126">
        <v>1.45</v>
      </c>
      <c r="CM126">
        <v>0.70833333333333348</v>
      </c>
      <c r="CN126">
        <v>3.8500000000000001E-3</v>
      </c>
      <c r="CO126">
        <v>6.0999999999999999E-2</v>
      </c>
      <c r="CP126">
        <v>4.2000000000000003E-2</v>
      </c>
      <c r="CQ126">
        <v>7.1999999999999998E-3</v>
      </c>
      <c r="CR126">
        <v>6.9999999999999999E-4</v>
      </c>
      <c r="CS126">
        <v>1.1132E-2</v>
      </c>
      <c r="CT126">
        <v>1.0999999999999999E-2</v>
      </c>
      <c r="CU126">
        <v>7.6E-3</v>
      </c>
      <c r="CV126">
        <v>0</v>
      </c>
      <c r="CW126">
        <v>6.8000000000000005E-2</v>
      </c>
      <c r="CX126">
        <v>2.1000000000000001E-2</v>
      </c>
      <c r="CY126">
        <v>3.0000000000000001E-3</v>
      </c>
      <c r="CZ126">
        <v>1.2999999999999999E-2</v>
      </c>
      <c r="DA126">
        <v>0.02</v>
      </c>
    </row>
    <row r="127" spans="1:105" x14ac:dyDescent="0.25">
      <c r="A127" s="1">
        <v>44012</v>
      </c>
      <c r="B127">
        <v>4.3700000000000003E-2</v>
      </c>
      <c r="C127">
        <v>6.0999999999999999E-2</v>
      </c>
      <c r="D127">
        <v>2.37</v>
      </c>
      <c r="E127">
        <v>0.10050000000000001</v>
      </c>
      <c r="F127">
        <v>0.157</v>
      </c>
      <c r="G127">
        <v>0.03</v>
      </c>
      <c r="H127">
        <v>0.23699999999999999</v>
      </c>
      <c r="I127">
        <v>0.182</v>
      </c>
      <c r="J127">
        <v>0.15</v>
      </c>
      <c r="K127">
        <v>0.127</v>
      </c>
      <c r="L127">
        <v>0.3785</v>
      </c>
      <c r="M127">
        <v>1.518</v>
      </c>
      <c r="N127">
        <v>0.96699999999999997</v>
      </c>
      <c r="O127">
        <v>0.73829999999999996</v>
      </c>
      <c r="P127">
        <v>4.2</v>
      </c>
      <c r="Q127">
        <v>0.46499999999999997</v>
      </c>
      <c r="R127">
        <v>8.4000000000000005E-2</v>
      </c>
      <c r="S127">
        <v>1.32</v>
      </c>
      <c r="T127">
        <v>1.232</v>
      </c>
      <c r="U127">
        <v>1.8E-3</v>
      </c>
      <c r="V127">
        <v>4.4900000000000001E-3</v>
      </c>
      <c r="W127">
        <v>0.10050000000000001</v>
      </c>
      <c r="X127">
        <v>1.23</v>
      </c>
      <c r="Y127">
        <v>4.1900000000000004</v>
      </c>
      <c r="Z127">
        <v>17.7</v>
      </c>
      <c r="AA127">
        <v>6.94</v>
      </c>
      <c r="AB127">
        <v>9.6000000000000002E-2</v>
      </c>
      <c r="AC127">
        <v>3.94</v>
      </c>
      <c r="AD127">
        <v>0.06</v>
      </c>
      <c r="AE127">
        <v>0</v>
      </c>
      <c r="AF127">
        <v>0.183</v>
      </c>
      <c r="AG127">
        <v>0.625</v>
      </c>
      <c r="AH127">
        <v>473</v>
      </c>
      <c r="AI127">
        <v>1.9370000000000001</v>
      </c>
      <c r="AJ127">
        <v>1207</v>
      </c>
      <c r="AK127">
        <v>0.16600000000000001</v>
      </c>
      <c r="AL127">
        <v>456</v>
      </c>
      <c r="AM127">
        <v>9.9416666666666664E-3</v>
      </c>
      <c r="AN127">
        <v>6.8000000000000005E-2</v>
      </c>
      <c r="AO127">
        <v>0</v>
      </c>
      <c r="AP127">
        <v>6.4000000000000001E-2</v>
      </c>
      <c r="AQ127">
        <v>0.26</v>
      </c>
      <c r="AR127">
        <v>1.008</v>
      </c>
      <c r="AS127">
        <v>7.3999999999999996E-2</v>
      </c>
      <c r="AT127">
        <v>0.12</v>
      </c>
      <c r="AU127">
        <v>7.1999999999999995E-2</v>
      </c>
      <c r="AV127">
        <v>0</v>
      </c>
      <c r="AW127">
        <v>2.8679999999999999</v>
      </c>
      <c r="AX127">
        <v>479.2</v>
      </c>
      <c r="AY127">
        <v>2.6065</v>
      </c>
      <c r="AZ127">
        <v>0.160166</v>
      </c>
      <c r="BA127">
        <v>0.70399999999999996</v>
      </c>
      <c r="BB127">
        <v>9.4E-2</v>
      </c>
      <c r="BC127">
        <v>4.0000000000000001E-3</v>
      </c>
      <c r="BD127">
        <v>5.2549999999999999</v>
      </c>
      <c r="BE127">
        <v>0.18418999999999999</v>
      </c>
      <c r="BF127">
        <v>84</v>
      </c>
      <c r="BG127">
        <v>3.72</v>
      </c>
      <c r="BH127">
        <v>0.94</v>
      </c>
      <c r="BI127">
        <v>0.79</v>
      </c>
      <c r="BJ127">
        <v>1.9450000000000001</v>
      </c>
      <c r="BK127">
        <v>2.177</v>
      </c>
      <c r="BL127">
        <v>2.3970000000000002E-2</v>
      </c>
      <c r="BM127">
        <v>1.74</v>
      </c>
      <c r="BN127">
        <v>0.13</v>
      </c>
      <c r="BO127">
        <v>0.65369999999999995</v>
      </c>
      <c r="BP127">
        <v>0.142065</v>
      </c>
      <c r="BQ127">
        <v>0</v>
      </c>
      <c r="BR127">
        <v>0</v>
      </c>
      <c r="BS127">
        <v>0.32500000000000001</v>
      </c>
      <c r="BT127">
        <v>3.7999999999999999E-2</v>
      </c>
      <c r="BU127">
        <v>1.0243E-2</v>
      </c>
      <c r="BV127">
        <v>1.52E-2</v>
      </c>
      <c r="BW127">
        <v>0.29799999999999999</v>
      </c>
      <c r="BX127">
        <v>0.29799999999999999</v>
      </c>
      <c r="BY127">
        <v>0.47699999999999998</v>
      </c>
      <c r="BZ127">
        <v>0.01</v>
      </c>
      <c r="CA127">
        <v>9.1000000000000004E-3</v>
      </c>
      <c r="CB127">
        <v>3.0000000000000001E-3</v>
      </c>
      <c r="CC127">
        <v>0</v>
      </c>
      <c r="CD127">
        <v>0.20899999999999999</v>
      </c>
      <c r="CE127">
        <v>0.44075999999999999</v>
      </c>
      <c r="CF127">
        <v>0.37340000000000001</v>
      </c>
      <c r="CG127">
        <v>7.0000000000000001E-3</v>
      </c>
      <c r="CH127">
        <v>1.4</v>
      </c>
      <c r="CI127">
        <v>2.5999999999999999E-2</v>
      </c>
      <c r="CJ127">
        <v>4.3270000000000001E-3</v>
      </c>
      <c r="CK127">
        <v>0</v>
      </c>
      <c r="CL127">
        <v>1.34</v>
      </c>
      <c r="CM127">
        <v>0.05</v>
      </c>
      <c r="CN127">
        <v>4.8300000000000001E-3</v>
      </c>
      <c r="CO127">
        <v>6.2E-2</v>
      </c>
      <c r="CP127">
        <v>4.1000000000000002E-2</v>
      </c>
      <c r="CQ127">
        <v>7.6E-3</v>
      </c>
      <c r="CR127">
        <v>3.5E-4</v>
      </c>
      <c r="CS127">
        <v>1.4256E-2</v>
      </c>
      <c r="CT127">
        <v>1.0999999999999999E-2</v>
      </c>
      <c r="CU127">
        <v>9.5999999999999992E-3</v>
      </c>
      <c r="CV127">
        <v>0</v>
      </c>
      <c r="CW127">
        <v>7.1999999999999995E-2</v>
      </c>
      <c r="CX127">
        <v>0.02</v>
      </c>
      <c r="CY127">
        <v>2E-3</v>
      </c>
      <c r="CZ127">
        <v>1.6E-2</v>
      </c>
      <c r="DA127">
        <v>0.02</v>
      </c>
    </row>
    <row r="128" spans="1:105" x14ac:dyDescent="0.25">
      <c r="A128" s="1">
        <v>44043</v>
      </c>
      <c r="B128">
        <v>3.5700000000000003E-2</v>
      </c>
      <c r="C128">
        <v>7.2999999999999995E-2</v>
      </c>
      <c r="D128">
        <v>2.5099999999999998</v>
      </c>
      <c r="E128">
        <v>9.1212000000000001E-2</v>
      </c>
      <c r="F128">
        <v>0.152</v>
      </c>
      <c r="G128">
        <v>0.03</v>
      </c>
      <c r="H128">
        <v>0.249</v>
      </c>
      <c r="I128">
        <v>0.16900000000000001</v>
      </c>
      <c r="J128">
        <v>0.13</v>
      </c>
      <c r="K128">
        <v>0.126</v>
      </c>
      <c r="L128">
        <v>0.4083</v>
      </c>
      <c r="M128">
        <v>1.4450000000000001</v>
      </c>
      <c r="N128">
        <v>1.006</v>
      </c>
      <c r="O128">
        <v>0.64039999999999997</v>
      </c>
      <c r="P128">
        <v>4.5999999999999996</v>
      </c>
      <c r="Q128">
        <v>0.52</v>
      </c>
      <c r="R128">
        <v>9.8000000000000004E-2</v>
      </c>
      <c r="S128">
        <v>1.03</v>
      </c>
      <c r="T128">
        <v>1.2430000000000001</v>
      </c>
      <c r="U128">
        <v>8.0000000000000004E-4</v>
      </c>
      <c r="V128">
        <v>4.4270000000000004E-3</v>
      </c>
      <c r="W128">
        <v>8.1900000000000001E-2</v>
      </c>
      <c r="X128">
        <v>0.31</v>
      </c>
      <c r="Y128">
        <v>3.36</v>
      </c>
      <c r="Z128">
        <v>14.94</v>
      </c>
      <c r="AA128">
        <v>5.4</v>
      </c>
      <c r="AB128">
        <v>0.1</v>
      </c>
      <c r="AC128">
        <v>3.7519999999999998</v>
      </c>
      <c r="AD128">
        <v>0.04</v>
      </c>
      <c r="AE128">
        <v>0</v>
      </c>
      <c r="AF128">
        <v>0.18099999999999999</v>
      </c>
      <c r="AG128">
        <v>0.621</v>
      </c>
      <c r="AH128">
        <v>643.17999999999995</v>
      </c>
      <c r="AI128">
        <v>1.143</v>
      </c>
      <c r="AJ128">
        <v>1209.5999999999999</v>
      </c>
      <c r="AK128">
        <v>0</v>
      </c>
      <c r="AL128">
        <v>772</v>
      </c>
      <c r="AM128">
        <v>9.5833333333333326E-3</v>
      </c>
      <c r="AN128">
        <v>6.8000000000000005E-2</v>
      </c>
      <c r="AO128">
        <v>0</v>
      </c>
      <c r="AP128">
        <v>0.17299999999999999</v>
      </c>
      <c r="AQ128">
        <v>0.26</v>
      </c>
      <c r="AR128">
        <v>1.008</v>
      </c>
      <c r="AS128">
        <v>7.3999999999999996E-2</v>
      </c>
      <c r="AT128">
        <v>0.12</v>
      </c>
      <c r="AU128">
        <v>7.8E-2</v>
      </c>
      <c r="AV128">
        <v>0</v>
      </c>
      <c r="AW128">
        <v>2.6749999999999998</v>
      </c>
      <c r="AX128">
        <v>544.61400000000003</v>
      </c>
      <c r="AY128">
        <v>2.6227777777777779</v>
      </c>
      <c r="AZ128">
        <v>0.149258</v>
      </c>
      <c r="BA128">
        <v>0.81499999999999995</v>
      </c>
      <c r="BB128">
        <v>9.5000000000000001E-2</v>
      </c>
      <c r="BC128">
        <v>4.0000000000000001E-3</v>
      </c>
      <c r="BD128">
        <v>5.1219999999999999</v>
      </c>
      <c r="BE128">
        <v>0.18419099999999999</v>
      </c>
      <c r="BF128">
        <v>81.17</v>
      </c>
      <c r="BG128">
        <v>3.82</v>
      </c>
      <c r="BH128">
        <v>1.3</v>
      </c>
      <c r="BI128">
        <v>1.2</v>
      </c>
      <c r="BJ128">
        <v>1.905</v>
      </c>
      <c r="BK128">
        <v>2.0459999999999998</v>
      </c>
      <c r="BL128">
        <v>2.4350000000000001E-3</v>
      </c>
      <c r="BM128">
        <v>1.76</v>
      </c>
      <c r="BN128">
        <v>0.13</v>
      </c>
      <c r="BO128">
        <v>0.63629999999999998</v>
      </c>
      <c r="BP128">
        <v>0.205655</v>
      </c>
      <c r="BQ128">
        <v>0</v>
      </c>
      <c r="BR128">
        <v>0</v>
      </c>
      <c r="BS128">
        <v>0.36099999999999999</v>
      </c>
      <c r="BT128">
        <v>7.8E-2</v>
      </c>
      <c r="BU128">
        <v>1.0964E-2</v>
      </c>
      <c r="BV128">
        <v>1.7659999999999999E-2</v>
      </c>
      <c r="BW128">
        <v>0.29699999999999999</v>
      </c>
      <c r="BX128">
        <v>0.29699999999999999</v>
      </c>
      <c r="BY128">
        <v>0.56000000000000005</v>
      </c>
      <c r="BZ128">
        <v>0.01</v>
      </c>
      <c r="CA128">
        <v>0.01</v>
      </c>
      <c r="CB128">
        <v>4.0000000000000001E-3</v>
      </c>
      <c r="CC128">
        <v>0</v>
      </c>
      <c r="CD128">
        <v>0.192</v>
      </c>
      <c r="CE128">
        <v>0.45987600000000001</v>
      </c>
      <c r="CF128">
        <v>0.24279999999999999</v>
      </c>
      <c r="CG128">
        <v>7.0000000000000001E-3</v>
      </c>
      <c r="CH128">
        <v>1.5</v>
      </c>
      <c r="CI128">
        <v>0.03</v>
      </c>
      <c r="CJ128">
        <v>3.9509999999999997E-3</v>
      </c>
      <c r="CK128">
        <v>0</v>
      </c>
      <c r="CL128">
        <v>1.31</v>
      </c>
      <c r="CM128">
        <v>4.4999999999999998E-2</v>
      </c>
      <c r="CN128">
        <v>5.8100000000000001E-3</v>
      </c>
      <c r="CO128">
        <v>6.5000000000000002E-2</v>
      </c>
      <c r="CP128">
        <v>4.3999999999999997E-2</v>
      </c>
      <c r="CQ128">
        <v>7.7999999999999996E-3</v>
      </c>
      <c r="CR128">
        <v>4.8999999999999998E-4</v>
      </c>
      <c r="CS128">
        <v>2.1493000000000002E-2</v>
      </c>
      <c r="CT128">
        <v>1.0999999999999999E-2</v>
      </c>
      <c r="CU128">
        <v>0.01</v>
      </c>
      <c r="CV128">
        <v>0</v>
      </c>
      <c r="CW128">
        <v>6.5000000000000002E-2</v>
      </c>
      <c r="CX128">
        <v>0.02</v>
      </c>
      <c r="CY128">
        <v>0.01</v>
      </c>
      <c r="CZ128">
        <v>1.7999999999999999E-2</v>
      </c>
      <c r="DA128">
        <v>0.02</v>
      </c>
    </row>
    <row r="129" spans="1:105" x14ac:dyDescent="0.25">
      <c r="A129" s="1">
        <v>44074</v>
      </c>
      <c r="B129">
        <v>3.2099999999999997E-2</v>
      </c>
      <c r="C129">
        <v>0.1</v>
      </c>
      <c r="D129">
        <v>2.67</v>
      </c>
      <c r="E129">
        <v>9.4880999999999993E-2</v>
      </c>
      <c r="F129">
        <v>0.151</v>
      </c>
      <c r="G129">
        <v>0.03</v>
      </c>
      <c r="H129">
        <v>0.23100000000000001</v>
      </c>
      <c r="I129">
        <v>0.17199999999999999</v>
      </c>
      <c r="J129">
        <v>0.11</v>
      </c>
      <c r="K129">
        <v>0.125</v>
      </c>
      <c r="L129">
        <v>0.36470000000000002</v>
      </c>
      <c r="M129">
        <v>1.444</v>
      </c>
      <c r="N129">
        <v>1.0009999999999999</v>
      </c>
      <c r="O129">
        <v>0.63049999999999995</v>
      </c>
      <c r="P129">
        <v>4.3</v>
      </c>
      <c r="Q129">
        <v>0.57499999999999996</v>
      </c>
      <c r="R129">
        <v>9.1999999999999998E-2</v>
      </c>
      <c r="S129">
        <v>1.02</v>
      </c>
      <c r="T129">
        <v>1.3460000000000001</v>
      </c>
      <c r="U129">
        <v>5.9999999999999995E-4</v>
      </c>
      <c r="V129">
        <v>5.1219999999999998E-3</v>
      </c>
      <c r="W129">
        <v>9.01E-2</v>
      </c>
      <c r="X129">
        <v>0.56000000000000005</v>
      </c>
      <c r="Y129">
        <v>3.23</v>
      </c>
      <c r="Z129">
        <v>14.65</v>
      </c>
      <c r="AA129">
        <v>4.78</v>
      </c>
      <c r="AB129">
        <v>0.104</v>
      </c>
      <c r="AC129">
        <v>3.7709999999999999</v>
      </c>
      <c r="AD129">
        <v>0.08</v>
      </c>
      <c r="AE129">
        <v>0</v>
      </c>
      <c r="AF129">
        <v>0.186</v>
      </c>
      <c r="AG129">
        <v>0.60799999999999998</v>
      </c>
      <c r="AH129">
        <v>699.8</v>
      </c>
      <c r="AI129">
        <v>1.39</v>
      </c>
      <c r="AJ129">
        <v>1142.71</v>
      </c>
      <c r="AK129">
        <v>0</v>
      </c>
      <c r="AL129">
        <v>974.5</v>
      </c>
      <c r="AM129">
        <v>9.2250000000000006E-3</v>
      </c>
      <c r="AN129">
        <v>6.8000000000000005E-2</v>
      </c>
      <c r="AO129">
        <v>0</v>
      </c>
      <c r="AP129">
        <v>0.28200000000000003</v>
      </c>
      <c r="AQ129">
        <v>0.26</v>
      </c>
      <c r="AR129">
        <v>1.008</v>
      </c>
      <c r="AS129">
        <v>7.3999999999999996E-2</v>
      </c>
      <c r="AT129">
        <v>0.12</v>
      </c>
      <c r="AU129">
        <v>7.4999999999999997E-2</v>
      </c>
      <c r="AV129">
        <v>0</v>
      </c>
      <c r="AW129">
        <v>2.4510000000000001</v>
      </c>
      <c r="AX129">
        <v>553.65099999999995</v>
      </c>
      <c r="AY129">
        <v>2.6390555555555557</v>
      </c>
      <c r="AZ129">
        <v>0.148677</v>
      </c>
      <c r="BA129">
        <v>0.79800000000000004</v>
      </c>
      <c r="BB129">
        <v>8.8999999999999996E-2</v>
      </c>
      <c r="BC129">
        <v>5.0000000000000001E-3</v>
      </c>
      <c r="BD129">
        <v>5.24</v>
      </c>
      <c r="BE129">
        <v>0.18419199999999999</v>
      </c>
      <c r="BF129">
        <v>81.78</v>
      </c>
      <c r="BG129">
        <v>3.64</v>
      </c>
      <c r="BH129">
        <v>1.59</v>
      </c>
      <c r="BI129">
        <v>1</v>
      </c>
      <c r="BJ129">
        <v>1.869</v>
      </c>
      <c r="BK129">
        <v>1.9690000000000001</v>
      </c>
      <c r="BL129">
        <v>2.7200000000000002E-3</v>
      </c>
      <c r="BM129">
        <v>1.8</v>
      </c>
      <c r="BN129">
        <v>0.13</v>
      </c>
      <c r="BO129">
        <v>0.62009999999999998</v>
      </c>
      <c r="BP129">
        <v>0.12500500000000001</v>
      </c>
      <c r="BQ129">
        <v>0</v>
      </c>
      <c r="BR129">
        <v>0</v>
      </c>
      <c r="BS129">
        <v>0.33900000000000002</v>
      </c>
      <c r="BT129">
        <v>7.0000000000000007E-2</v>
      </c>
      <c r="BU129">
        <v>8.9910000000000007E-3</v>
      </c>
      <c r="BV129">
        <v>1.797E-2</v>
      </c>
      <c r="BW129">
        <v>0.34100000000000003</v>
      </c>
      <c r="BX129">
        <v>0.34100000000000003</v>
      </c>
      <c r="BY129">
        <v>0.50800000000000001</v>
      </c>
      <c r="BZ129">
        <v>0.01</v>
      </c>
      <c r="CA129">
        <v>0.01</v>
      </c>
      <c r="CB129">
        <v>4.0000000000000001E-3</v>
      </c>
      <c r="CC129">
        <v>0</v>
      </c>
      <c r="CD129">
        <v>0.215</v>
      </c>
      <c r="CE129">
        <v>0.46280700000000002</v>
      </c>
      <c r="CF129">
        <v>0.27239999999999998</v>
      </c>
      <c r="CG129">
        <v>4.0000000000000001E-3</v>
      </c>
      <c r="CH129">
        <v>1.5</v>
      </c>
      <c r="CI129">
        <v>0.04</v>
      </c>
      <c r="CJ129">
        <v>3.5750000000000001E-3</v>
      </c>
      <c r="CK129">
        <v>0</v>
      </c>
      <c r="CL129">
        <v>1.35</v>
      </c>
      <c r="CM129">
        <v>0.04</v>
      </c>
      <c r="CN129">
        <v>6.79E-3</v>
      </c>
      <c r="CO129">
        <v>6.4000000000000001E-2</v>
      </c>
      <c r="CP129">
        <v>4.2000000000000003E-2</v>
      </c>
      <c r="CQ129">
        <v>7.1999999999999998E-3</v>
      </c>
      <c r="CR129">
        <v>5.4000000000000001E-4</v>
      </c>
      <c r="CS129">
        <v>2.0397999999999999E-2</v>
      </c>
      <c r="CT129">
        <v>1.2E-2</v>
      </c>
      <c r="CU129">
        <v>1.21E-2</v>
      </c>
      <c r="CV129">
        <v>0</v>
      </c>
      <c r="CW129">
        <v>6.2E-2</v>
      </c>
      <c r="CX129">
        <v>2.3E-2</v>
      </c>
      <c r="CY129">
        <v>7.0000000000000001E-3</v>
      </c>
      <c r="CZ129">
        <v>1.6E-2</v>
      </c>
      <c r="DA129">
        <v>0.02</v>
      </c>
    </row>
    <row r="130" spans="1:105" x14ac:dyDescent="0.25">
      <c r="A130" s="1">
        <v>44104</v>
      </c>
      <c r="B130">
        <v>1.5599999999999999E-2</v>
      </c>
      <c r="C130">
        <v>5.8000000000000003E-2</v>
      </c>
      <c r="D130">
        <v>2.4900000000000002</v>
      </c>
      <c r="E130">
        <v>0.104827</v>
      </c>
      <c r="F130">
        <v>0.14299999999999999</v>
      </c>
      <c r="G130">
        <v>0.03</v>
      </c>
      <c r="H130">
        <v>0.28599999999999998</v>
      </c>
      <c r="I130">
        <v>0.182</v>
      </c>
      <c r="J130">
        <v>0.17</v>
      </c>
      <c r="K130">
        <v>0.13600000000000001</v>
      </c>
      <c r="L130">
        <v>0.38469999999999999</v>
      </c>
      <c r="M130">
        <v>1.5780000000000001</v>
      </c>
      <c r="N130">
        <v>1.046</v>
      </c>
      <c r="O130">
        <v>0.74950000000000006</v>
      </c>
      <c r="P130">
        <v>4.5</v>
      </c>
      <c r="Q130">
        <v>0.63</v>
      </c>
      <c r="R130">
        <v>7.4999999999999997E-2</v>
      </c>
      <c r="S130">
        <v>1.3</v>
      </c>
      <c r="T130">
        <v>1.5580000000000001</v>
      </c>
      <c r="U130">
        <v>1.6000000000000001E-3</v>
      </c>
      <c r="V130">
        <v>4.0800000000000003E-3</v>
      </c>
      <c r="W130">
        <v>7.9299999999999995E-2</v>
      </c>
      <c r="X130">
        <v>0.59</v>
      </c>
      <c r="Y130">
        <v>4.51</v>
      </c>
      <c r="Z130">
        <v>19.86</v>
      </c>
      <c r="AA130">
        <v>2.58</v>
      </c>
      <c r="AB130">
        <v>0.108</v>
      </c>
      <c r="AC130">
        <v>4.101</v>
      </c>
      <c r="AD130">
        <v>0.1</v>
      </c>
      <c r="AE130">
        <v>0</v>
      </c>
      <c r="AF130">
        <v>0.19500000000000001</v>
      </c>
      <c r="AG130">
        <v>0.67700000000000005</v>
      </c>
      <c r="AH130">
        <v>331.43</v>
      </c>
      <c r="AI130">
        <v>1.0720000000000001</v>
      </c>
      <c r="AJ130">
        <v>1209.5999999999999</v>
      </c>
      <c r="AK130">
        <v>0</v>
      </c>
      <c r="AL130">
        <v>655.4</v>
      </c>
      <c r="AM130">
        <v>8.8666666666666668E-3</v>
      </c>
      <c r="AN130">
        <v>6.8000000000000005E-2</v>
      </c>
      <c r="AO130">
        <v>0</v>
      </c>
      <c r="AP130">
        <v>0.39100000000000001</v>
      </c>
      <c r="AQ130">
        <v>0.26</v>
      </c>
      <c r="AR130">
        <v>1.008</v>
      </c>
      <c r="AS130">
        <v>7.3999999999999996E-2</v>
      </c>
      <c r="AT130">
        <v>0.12</v>
      </c>
      <c r="AU130">
        <v>0.08</v>
      </c>
      <c r="AV130">
        <v>0</v>
      </c>
      <c r="AW130">
        <v>2.5179999999999998</v>
      </c>
      <c r="AX130">
        <v>547.20399999999995</v>
      </c>
      <c r="AY130">
        <v>2.6553333333333335</v>
      </c>
      <c r="AZ130">
        <v>0.19856599999999999</v>
      </c>
      <c r="BA130">
        <v>9.2799999999999994E-2</v>
      </c>
      <c r="BB130">
        <v>9.6000000000000002E-2</v>
      </c>
      <c r="BC130">
        <v>7.0000000000000001E-3</v>
      </c>
      <c r="BD130">
        <v>6.8310000000000004</v>
      </c>
      <c r="BE130">
        <v>0.184193</v>
      </c>
      <c r="BF130">
        <v>84.51</v>
      </c>
      <c r="BG130">
        <v>3.79</v>
      </c>
      <c r="BH130">
        <v>1.19</v>
      </c>
      <c r="BI130">
        <v>0.74</v>
      </c>
      <c r="BJ130">
        <v>1.8440000000000001</v>
      </c>
      <c r="BK130">
        <v>2.1419999999999999</v>
      </c>
      <c r="BL130">
        <v>3.0970000000000001E-2</v>
      </c>
      <c r="BM130">
        <v>1.79</v>
      </c>
      <c r="BN130">
        <v>0.14000000000000001</v>
      </c>
      <c r="BO130">
        <v>0.71619999999999995</v>
      </c>
      <c r="BP130">
        <v>0.10908</v>
      </c>
      <c r="BQ130">
        <v>0</v>
      </c>
      <c r="BR130">
        <v>0</v>
      </c>
      <c r="BS130">
        <v>0.34200000000000003</v>
      </c>
      <c r="BT130">
        <v>8.1000000000000003E-2</v>
      </c>
      <c r="BU130">
        <v>7.8410000000000007E-3</v>
      </c>
      <c r="BV130">
        <v>2.002E-2</v>
      </c>
      <c r="BW130">
        <v>0.32200000000000001</v>
      </c>
      <c r="BX130">
        <v>0.32200000000000001</v>
      </c>
      <c r="BY130">
        <v>0.30499999999999999</v>
      </c>
      <c r="BZ130">
        <v>1.0999999999999999E-2</v>
      </c>
      <c r="CA130">
        <v>1.2999999999999999E-2</v>
      </c>
      <c r="CB130">
        <v>5.0000000000000001E-3</v>
      </c>
      <c r="CC130">
        <v>0</v>
      </c>
      <c r="CD130">
        <v>0.219</v>
      </c>
      <c r="CE130">
        <v>0.44012600000000002</v>
      </c>
      <c r="CF130">
        <v>0.44019999999999998</v>
      </c>
      <c r="CG130">
        <v>1.2999999999999999E-2</v>
      </c>
      <c r="CH130">
        <v>1.6</v>
      </c>
      <c r="CI130">
        <v>0.04</v>
      </c>
      <c r="CJ130">
        <v>3.5170000000000002E-3</v>
      </c>
      <c r="CK130">
        <v>0</v>
      </c>
      <c r="CL130">
        <v>1.48</v>
      </c>
      <c r="CM130">
        <v>0.05</v>
      </c>
      <c r="CN130">
        <v>6.332E-3</v>
      </c>
      <c r="CO130">
        <v>6.5000000000000002E-2</v>
      </c>
      <c r="CP130">
        <v>4.4999999999999998E-2</v>
      </c>
      <c r="CQ130">
        <v>7.1999999999999998E-3</v>
      </c>
      <c r="CR130">
        <v>6.2E-4</v>
      </c>
      <c r="CS130">
        <v>3.0200000000000001E-3</v>
      </c>
      <c r="CT130">
        <v>1.2E-2</v>
      </c>
      <c r="CU130">
        <v>1.2E-2</v>
      </c>
      <c r="CV130">
        <v>0</v>
      </c>
      <c r="CW130">
        <v>6.7000000000000004E-2</v>
      </c>
      <c r="CX130">
        <v>1.7000000000000001E-2</v>
      </c>
      <c r="CY130">
        <v>0.01</v>
      </c>
      <c r="CZ130">
        <v>1.6E-2</v>
      </c>
      <c r="DA130">
        <v>0.02</v>
      </c>
    </row>
    <row r="131" spans="1:105" x14ac:dyDescent="0.25">
      <c r="A131" s="1">
        <v>44135</v>
      </c>
      <c r="B131">
        <v>2.92E-2</v>
      </c>
      <c r="C131">
        <v>2.1000000000000001E-2</v>
      </c>
      <c r="D131">
        <v>2.29</v>
      </c>
      <c r="E131">
        <v>0.110946</v>
      </c>
      <c r="F131">
        <v>0.13900000000000001</v>
      </c>
      <c r="G131">
        <v>0.03</v>
      </c>
      <c r="H131">
        <v>0.26400000000000001</v>
      </c>
      <c r="I131">
        <v>0.161</v>
      </c>
      <c r="J131">
        <v>0.15</v>
      </c>
      <c r="K131">
        <v>0.112</v>
      </c>
      <c r="L131">
        <v>0.33500000000000002</v>
      </c>
      <c r="M131">
        <v>1.4</v>
      </c>
      <c r="N131">
        <v>0.95199999999999996</v>
      </c>
      <c r="O131">
        <v>0.64870000000000005</v>
      </c>
      <c r="P131">
        <v>4.0999999999999996</v>
      </c>
      <c r="Q131">
        <v>0</v>
      </c>
      <c r="R131">
        <v>8.5000000000000006E-2</v>
      </c>
      <c r="S131">
        <v>0.95899999999999996</v>
      </c>
      <c r="T131">
        <v>1.274</v>
      </c>
      <c r="U131">
        <v>1.4E-3</v>
      </c>
      <c r="V131">
        <v>3.8070000000000001E-3</v>
      </c>
      <c r="W131">
        <v>9.3200000000000005E-2</v>
      </c>
      <c r="X131">
        <v>1.08</v>
      </c>
      <c r="Y131">
        <v>3.81</v>
      </c>
      <c r="Z131">
        <v>1922</v>
      </c>
      <c r="AA131">
        <v>0.19</v>
      </c>
      <c r="AB131">
        <v>0.105</v>
      </c>
      <c r="AC131">
        <v>3.7480000000000002</v>
      </c>
      <c r="AD131">
        <v>7.0000000000000007E-2</v>
      </c>
      <c r="AE131">
        <v>0</v>
      </c>
      <c r="AF131">
        <v>0.154</v>
      </c>
      <c r="AG131">
        <v>0.57699999999999996</v>
      </c>
      <c r="AH131">
        <v>485.53</v>
      </c>
      <c r="AI131">
        <v>0.64</v>
      </c>
      <c r="AJ131">
        <v>707.92</v>
      </c>
      <c r="AK131">
        <v>0</v>
      </c>
      <c r="AL131">
        <v>579.79999999999995</v>
      </c>
      <c r="AM131">
        <v>8.508333333333333E-3</v>
      </c>
      <c r="AN131">
        <v>0.28199999999999997</v>
      </c>
      <c r="AO131">
        <v>0</v>
      </c>
      <c r="AP131">
        <v>0.3382</v>
      </c>
      <c r="AQ131">
        <v>0.98360000000000003</v>
      </c>
      <c r="AR131">
        <v>1.008</v>
      </c>
      <c r="AS131">
        <v>7.3999999999999996E-2</v>
      </c>
      <c r="AT131">
        <v>0.12</v>
      </c>
      <c r="AU131">
        <v>8.5000000000000006E-2</v>
      </c>
      <c r="AV131">
        <v>0</v>
      </c>
      <c r="AW131">
        <v>2.2749999999999999</v>
      </c>
      <c r="AX131">
        <v>537.12</v>
      </c>
      <c r="AY131">
        <v>2.6716111111111114</v>
      </c>
      <c r="AZ131">
        <v>0.156</v>
      </c>
      <c r="BA131">
        <v>0.88300000000000001</v>
      </c>
      <c r="BB131">
        <v>8.7999999999999995E-2</v>
      </c>
      <c r="BC131">
        <v>8.0000000000000002E-3</v>
      </c>
      <c r="BD131">
        <v>5.4539999999999997</v>
      </c>
      <c r="BE131">
        <v>0.79179533333333341</v>
      </c>
      <c r="BF131">
        <v>79.59</v>
      </c>
      <c r="BG131">
        <v>3.74</v>
      </c>
      <c r="BH131">
        <v>1.1599999999999999</v>
      </c>
      <c r="BI131">
        <v>0.69</v>
      </c>
      <c r="BJ131">
        <v>1.752</v>
      </c>
      <c r="BK131">
        <v>1.849</v>
      </c>
      <c r="BL131">
        <v>2.9000000000000001E-2</v>
      </c>
      <c r="BM131">
        <v>1.46</v>
      </c>
      <c r="BN131">
        <v>0.15</v>
      </c>
      <c r="BO131">
        <v>0.63200000000000001</v>
      </c>
      <c r="BP131">
        <v>0.11903</v>
      </c>
      <c r="BQ131">
        <v>0</v>
      </c>
      <c r="BR131">
        <v>0</v>
      </c>
      <c r="BS131">
        <v>0.33400000000000002</v>
      </c>
      <c r="BT131">
        <v>6.3E-2</v>
      </c>
      <c r="BU131">
        <v>7.672E-3</v>
      </c>
      <c r="BV131">
        <v>2.1530000000000001E-2</v>
      </c>
      <c r="BW131">
        <v>0.26400000000000001</v>
      </c>
      <c r="BX131">
        <v>0.26400000000000001</v>
      </c>
      <c r="BY131">
        <v>0.27</v>
      </c>
      <c r="BZ131">
        <v>1.0999999999999999E-2</v>
      </c>
      <c r="CA131">
        <v>0.01</v>
      </c>
      <c r="CB131">
        <v>7.0000000000000001E-3</v>
      </c>
      <c r="CC131">
        <v>0</v>
      </c>
      <c r="CD131">
        <v>0.19600000000000001</v>
      </c>
      <c r="CE131">
        <v>0.39707500000000001</v>
      </c>
      <c r="CF131">
        <v>0.4</v>
      </c>
      <c r="CG131">
        <v>1.0999999999999999E-2</v>
      </c>
      <c r="CH131">
        <v>1.363</v>
      </c>
      <c r="CI131">
        <v>0.04</v>
      </c>
      <c r="CJ131">
        <v>3.7000000000000002E-3</v>
      </c>
      <c r="CK131">
        <v>0</v>
      </c>
      <c r="CL131">
        <v>1.31</v>
      </c>
      <c r="CM131">
        <v>7.0000000000000007E-2</v>
      </c>
      <c r="CN131">
        <v>5.8739999999999999E-3</v>
      </c>
      <c r="CO131">
        <v>6.5000000000000002E-2</v>
      </c>
      <c r="CP131">
        <v>4.4999999999999998E-2</v>
      </c>
      <c r="CQ131">
        <v>6.4999999999999997E-3</v>
      </c>
      <c r="CR131">
        <v>6.9999999999999999E-4</v>
      </c>
      <c r="CS131">
        <v>3.6700000000000001E-3</v>
      </c>
      <c r="CT131">
        <v>1.0999999999999999E-2</v>
      </c>
      <c r="CU131">
        <v>9.9000000000000008E-3</v>
      </c>
      <c r="CV131">
        <v>0</v>
      </c>
      <c r="CW131">
        <v>6.4000000000000001E-2</v>
      </c>
      <c r="CX131">
        <v>0.02</v>
      </c>
      <c r="CY131">
        <v>8.9999999999999993E-3</v>
      </c>
      <c r="CZ131">
        <v>1.4999999999999999E-2</v>
      </c>
      <c r="DA131">
        <v>0.02</v>
      </c>
    </row>
    <row r="132" spans="1:105" x14ac:dyDescent="0.25">
      <c r="A132" s="1">
        <v>44165</v>
      </c>
      <c r="B132">
        <v>2.0500000000000001E-2</v>
      </c>
      <c r="C132">
        <v>0.02</v>
      </c>
      <c r="D132">
        <v>2.21</v>
      </c>
      <c r="E132">
        <v>0.11204500000000001</v>
      </c>
      <c r="F132">
        <v>0.14099999999999999</v>
      </c>
      <c r="G132">
        <v>0.03</v>
      </c>
      <c r="H132">
        <v>0.24099999999999999</v>
      </c>
      <c r="I132">
        <v>0.16400000000000001</v>
      </c>
      <c r="J132">
        <v>0.13</v>
      </c>
      <c r="K132">
        <v>0.12</v>
      </c>
      <c r="L132">
        <v>0.34</v>
      </c>
      <c r="M132">
        <v>1.4630000000000001</v>
      </c>
      <c r="N132">
        <v>0.98799999999999999</v>
      </c>
      <c r="O132">
        <v>0.61660000000000004</v>
      </c>
      <c r="P132">
        <v>4.0999999999999996</v>
      </c>
      <c r="Q132">
        <v>0</v>
      </c>
      <c r="R132">
        <v>7.8E-2</v>
      </c>
      <c r="S132">
        <v>1.26</v>
      </c>
      <c r="T132">
        <v>1.1950000000000001</v>
      </c>
      <c r="U132">
        <v>6.9999999999999999E-4</v>
      </c>
      <c r="V132">
        <v>2.8219999999999999E-3</v>
      </c>
      <c r="W132">
        <v>6.4399999999999999E-2</v>
      </c>
      <c r="X132">
        <v>1.08</v>
      </c>
      <c r="Y132">
        <v>3.73</v>
      </c>
      <c r="Z132">
        <v>19.690000000000001</v>
      </c>
      <c r="AA132">
        <v>2.2400000000000002</v>
      </c>
      <c r="AB132">
        <v>0.112</v>
      </c>
      <c r="AC132">
        <v>3.7759999999999998</v>
      </c>
      <c r="AD132">
        <v>7.0000000000000007E-2</v>
      </c>
      <c r="AE132">
        <v>0</v>
      </c>
      <c r="AF132">
        <v>0.151</v>
      </c>
      <c r="AG132">
        <v>0.55500000000000005</v>
      </c>
      <c r="AH132">
        <v>417.63</v>
      </c>
      <c r="AI132">
        <v>0.68600000000000005</v>
      </c>
      <c r="AJ132">
        <v>758.88</v>
      </c>
      <c r="AK132">
        <v>0</v>
      </c>
      <c r="AL132">
        <v>240.2</v>
      </c>
      <c r="AM132">
        <v>8.150000000000001E-3</v>
      </c>
      <c r="AN132">
        <v>0.49599999999999994</v>
      </c>
      <c r="AO132">
        <v>0</v>
      </c>
      <c r="AP132">
        <v>0.28539999999999999</v>
      </c>
      <c r="AQ132">
        <v>1.7072000000000001</v>
      </c>
      <c r="AR132">
        <v>1.008</v>
      </c>
      <c r="AS132">
        <v>7.3999999999999996E-2</v>
      </c>
      <c r="AT132">
        <v>0.12</v>
      </c>
      <c r="AU132">
        <v>7.0000000000000007E-2</v>
      </c>
      <c r="AV132">
        <v>0</v>
      </c>
      <c r="AW132">
        <v>2.5670000000000002</v>
      </c>
      <c r="AX132">
        <v>452.286</v>
      </c>
      <c r="AY132">
        <v>2.6878888888888888</v>
      </c>
      <c r="AZ132">
        <v>0.17380000000000001</v>
      </c>
      <c r="BA132">
        <v>0.93</v>
      </c>
      <c r="BB132">
        <v>9.0999999999999998E-2</v>
      </c>
      <c r="BC132">
        <v>5.0000000000000001E-3</v>
      </c>
      <c r="BD132">
        <v>5.1680000000000001</v>
      </c>
      <c r="BE132">
        <v>1.3993976666666668</v>
      </c>
      <c r="BF132">
        <v>77.790000000000006</v>
      </c>
      <c r="BG132">
        <v>3.81</v>
      </c>
      <c r="BH132">
        <v>0.81</v>
      </c>
      <c r="BI132">
        <v>0.44</v>
      </c>
      <c r="BJ132">
        <v>1.7210000000000001</v>
      </c>
      <c r="BK132">
        <v>1.9970000000000001</v>
      </c>
      <c r="BL132">
        <v>2.8000000000000001E-2</v>
      </c>
      <c r="BM132">
        <v>1.58</v>
      </c>
      <c r="BN132">
        <v>0.16</v>
      </c>
      <c r="BO132">
        <v>0.62829999999999997</v>
      </c>
      <c r="BP132">
        <v>0.140072</v>
      </c>
      <c r="BQ132">
        <v>0</v>
      </c>
      <c r="BR132">
        <v>0</v>
      </c>
      <c r="BS132">
        <v>0.34499999999999997</v>
      </c>
      <c r="BT132">
        <v>5.7000000000000002E-2</v>
      </c>
      <c r="BU132">
        <v>9.502E-3</v>
      </c>
      <c r="BV132">
        <v>1.9310000000000001E-2</v>
      </c>
      <c r="BW132">
        <v>0.28100000000000003</v>
      </c>
      <c r="BX132">
        <v>0.28100000000000003</v>
      </c>
      <c r="BY132">
        <v>0.254</v>
      </c>
      <c r="BZ132">
        <v>1.2E-2</v>
      </c>
      <c r="CA132">
        <v>1.2E-2</v>
      </c>
      <c r="CB132">
        <v>5.0000000000000001E-3</v>
      </c>
      <c r="CC132">
        <v>0</v>
      </c>
      <c r="CD132">
        <v>0.16600000000000001</v>
      </c>
      <c r="CE132">
        <v>0.42014499999999999</v>
      </c>
      <c r="CF132">
        <v>0.51749999999999996</v>
      </c>
      <c r="CG132">
        <v>4.0000000000000001E-3</v>
      </c>
      <c r="CH132">
        <v>1.45</v>
      </c>
      <c r="CI132">
        <v>0.04</v>
      </c>
      <c r="CJ132">
        <v>2.552E-3</v>
      </c>
      <c r="CK132">
        <v>0</v>
      </c>
      <c r="CL132">
        <v>1.3</v>
      </c>
      <c r="CM132">
        <v>7.0000000000000001E-3</v>
      </c>
      <c r="CN132">
        <v>5.4159999999999998E-3</v>
      </c>
      <c r="CO132">
        <v>6.5000000000000002E-2</v>
      </c>
      <c r="CP132">
        <v>4.5999999999999999E-2</v>
      </c>
      <c r="CQ132">
        <v>6.6E-3</v>
      </c>
      <c r="CR132">
        <v>5.9999999999999995E-4</v>
      </c>
      <c r="CS132">
        <v>2.4949999999999998E-3</v>
      </c>
      <c r="CT132">
        <v>1.0999999999999999E-2</v>
      </c>
      <c r="CU132">
        <v>1.0200000000000001E-2</v>
      </c>
      <c r="CV132">
        <v>0</v>
      </c>
      <c r="CW132">
        <v>7.5999999999999998E-2</v>
      </c>
      <c r="CX132">
        <v>2.3E-2</v>
      </c>
      <c r="CY132">
        <v>0.01</v>
      </c>
      <c r="CZ132">
        <v>1.4999999999999999E-2</v>
      </c>
      <c r="DA132">
        <v>0.02</v>
      </c>
    </row>
    <row r="133" spans="1:105" x14ac:dyDescent="0.25">
      <c r="A133" s="1">
        <v>44196</v>
      </c>
      <c r="B133">
        <v>1.7000000000000001E-2</v>
      </c>
      <c r="C133">
        <v>2.3E-2</v>
      </c>
      <c r="D133">
        <v>2.23</v>
      </c>
      <c r="E133">
        <v>0.110488</v>
      </c>
      <c r="F133">
        <v>0.14199999999999999</v>
      </c>
      <c r="G133">
        <v>0.03</v>
      </c>
      <c r="H133">
        <v>0.20699999999999999</v>
      </c>
      <c r="I133">
        <v>0.15</v>
      </c>
      <c r="J133">
        <v>0.13</v>
      </c>
      <c r="K133">
        <v>9.9000000000000005E-2</v>
      </c>
      <c r="L133">
        <v>0.35220000000000001</v>
      </c>
      <c r="M133">
        <v>1.262</v>
      </c>
      <c r="N133">
        <v>0.96899999999999997</v>
      </c>
      <c r="O133">
        <v>0.63170000000000004</v>
      </c>
      <c r="P133">
        <v>4.0410000000000004</v>
      </c>
      <c r="Q133">
        <v>0</v>
      </c>
      <c r="R133">
        <v>7.8E-2</v>
      </c>
      <c r="S133">
        <v>1.1000000000000001</v>
      </c>
      <c r="T133">
        <v>1.1599999999999999</v>
      </c>
      <c r="U133">
        <v>8.0000000000000004E-4</v>
      </c>
      <c r="V133">
        <v>1.5790000000000001E-3</v>
      </c>
      <c r="W133">
        <v>9.7600000000000006E-2</v>
      </c>
      <c r="X133">
        <v>1.04</v>
      </c>
      <c r="Y133">
        <v>4.05</v>
      </c>
      <c r="Z133">
        <v>20.79</v>
      </c>
      <c r="AA133">
        <v>4.22</v>
      </c>
      <c r="AB133">
        <v>0.104</v>
      </c>
      <c r="AC133">
        <v>3.6629999999999998</v>
      </c>
      <c r="AD133">
        <v>0.09</v>
      </c>
      <c r="AE133">
        <v>0</v>
      </c>
      <c r="AF133">
        <v>0.124</v>
      </c>
      <c r="AG133">
        <v>0.53500000000000003</v>
      </c>
      <c r="AH133">
        <v>155.66999999999999</v>
      </c>
      <c r="AI133">
        <v>0.71699999999999997</v>
      </c>
      <c r="AJ133">
        <v>1036.8</v>
      </c>
      <c r="AK133">
        <v>0</v>
      </c>
      <c r="AL133">
        <v>165.2</v>
      </c>
      <c r="AM133">
        <v>7.7916666666666672E-3</v>
      </c>
      <c r="AN133">
        <v>0.71</v>
      </c>
      <c r="AO133">
        <v>0</v>
      </c>
      <c r="AP133">
        <v>0.23260000000000003</v>
      </c>
      <c r="AQ133">
        <v>2.4307999999999996</v>
      </c>
      <c r="AR133">
        <v>1.008</v>
      </c>
      <c r="AS133">
        <v>7.3999999999999996E-2</v>
      </c>
      <c r="AT133">
        <v>0.12</v>
      </c>
      <c r="AU133">
        <v>8.5000000000000006E-2</v>
      </c>
      <c r="AV133">
        <v>0</v>
      </c>
      <c r="AW133">
        <v>2.31</v>
      </c>
      <c r="AX133">
        <v>277.92</v>
      </c>
      <c r="AY133">
        <v>2.7041666666666666</v>
      </c>
      <c r="AZ133">
        <v>0.154193</v>
      </c>
      <c r="BA133">
        <v>0.86</v>
      </c>
      <c r="BB133">
        <v>8.5999999999999993E-2</v>
      </c>
      <c r="BC133">
        <v>4.0000000000000001E-3</v>
      </c>
      <c r="BD133">
        <v>5.5789999999999997</v>
      </c>
      <c r="BE133">
        <v>2.0070000000000001</v>
      </c>
      <c r="BF133">
        <v>76.84</v>
      </c>
      <c r="BG133">
        <v>3.59</v>
      </c>
      <c r="BH133">
        <v>0.52</v>
      </c>
      <c r="BI133">
        <v>0.32</v>
      </c>
      <c r="BJ133">
        <v>1.6779999999999999</v>
      </c>
      <c r="BK133">
        <v>2.0019999999999998</v>
      </c>
      <c r="BL133">
        <v>3.2000000000000001E-2</v>
      </c>
      <c r="BM133">
        <v>1.74</v>
      </c>
      <c r="BN133">
        <v>0.14000000000000001</v>
      </c>
      <c r="BO133">
        <v>0.62960000000000005</v>
      </c>
      <c r="BP133">
        <v>0.13391400000000001</v>
      </c>
      <c r="BQ133">
        <v>0</v>
      </c>
      <c r="BR133">
        <v>0</v>
      </c>
      <c r="BS133">
        <v>0.34</v>
      </c>
      <c r="BT133">
        <v>4.3999999999999997E-2</v>
      </c>
      <c r="BU133">
        <v>9.8300000000000002E-3</v>
      </c>
      <c r="BV133">
        <v>1.8780000000000002E-2</v>
      </c>
      <c r="BW133">
        <v>0.31</v>
      </c>
      <c r="BX133">
        <v>0.31</v>
      </c>
      <c r="BY133">
        <v>0.22600000000000001</v>
      </c>
      <c r="BZ133">
        <v>0.01</v>
      </c>
      <c r="CA133">
        <v>1.2E-2</v>
      </c>
      <c r="CB133">
        <v>6.0000000000000001E-3</v>
      </c>
      <c r="CC133">
        <v>0</v>
      </c>
      <c r="CD133">
        <v>0.245</v>
      </c>
      <c r="CE133">
        <v>0.40631</v>
      </c>
      <c r="CF133">
        <v>0.60619999999999996</v>
      </c>
      <c r="CG133">
        <v>4.0000000000000001E-3</v>
      </c>
      <c r="CH133">
        <v>1.3939999999999999</v>
      </c>
      <c r="CI133">
        <v>4.7E-2</v>
      </c>
      <c r="CJ133">
        <v>2.5330000000000001E-3</v>
      </c>
      <c r="CK133">
        <v>0</v>
      </c>
      <c r="CL133">
        <v>1.35</v>
      </c>
      <c r="CM133">
        <v>8.0000000000000002E-3</v>
      </c>
      <c r="CN133">
        <v>4.9579999999999997E-3</v>
      </c>
      <c r="CO133">
        <v>6.9000000000000006E-2</v>
      </c>
      <c r="CP133">
        <v>4.7E-2</v>
      </c>
      <c r="CQ133">
        <v>6.7000000000000002E-3</v>
      </c>
      <c r="CR133">
        <v>5.9999999999999995E-4</v>
      </c>
      <c r="CS133">
        <v>2.3400000000000001E-3</v>
      </c>
      <c r="CT133">
        <v>1.0999999999999999E-2</v>
      </c>
      <c r="CU133">
        <v>1.0200000000000001E-2</v>
      </c>
      <c r="CV133">
        <v>0</v>
      </c>
      <c r="CW133">
        <v>8.7999999999999995E-2</v>
      </c>
      <c r="CX133">
        <v>1.4999999999999999E-2</v>
      </c>
      <c r="CY133">
        <v>7.0000000000000001E-3</v>
      </c>
      <c r="CZ133">
        <v>1.2999999999999999E-2</v>
      </c>
      <c r="DA133">
        <v>0.02</v>
      </c>
    </row>
    <row r="134" spans="1:105" x14ac:dyDescent="0.25">
      <c r="A134" s="1">
        <v>44227</v>
      </c>
      <c r="B134">
        <v>1.38E-2</v>
      </c>
      <c r="C134">
        <v>3.1E-2</v>
      </c>
      <c r="D134">
        <v>2.31</v>
      </c>
      <c r="E134">
        <v>0.110411</v>
      </c>
      <c r="F134">
        <v>0.13800000000000001</v>
      </c>
      <c r="G134">
        <v>0.04</v>
      </c>
      <c r="H134">
        <v>0.25600000000000001</v>
      </c>
      <c r="I134">
        <v>0.152</v>
      </c>
      <c r="J134">
        <v>0.16</v>
      </c>
      <c r="K134">
        <v>9.9000000000000005E-2</v>
      </c>
      <c r="L134">
        <v>0.33169999999999999</v>
      </c>
      <c r="M134">
        <v>1.4730000000000001</v>
      </c>
      <c r="N134">
        <v>0.98599999999999999</v>
      </c>
      <c r="O134">
        <v>0.68589999999999995</v>
      </c>
      <c r="P134">
        <v>3.85</v>
      </c>
      <c r="Q134">
        <v>0</v>
      </c>
      <c r="R134">
        <v>0.06</v>
      </c>
      <c r="S134">
        <v>1.21</v>
      </c>
      <c r="T134">
        <v>1.1000000000000001</v>
      </c>
      <c r="U134">
        <v>1E-3</v>
      </c>
      <c r="V134">
        <v>1.351E-3</v>
      </c>
      <c r="W134">
        <v>0.13519999999999999</v>
      </c>
      <c r="X134">
        <v>1.42</v>
      </c>
      <c r="Y134">
        <v>4.29</v>
      </c>
      <c r="Z134">
        <v>19.93</v>
      </c>
      <c r="AA134">
        <v>5.34</v>
      </c>
      <c r="AB134">
        <v>0.114</v>
      </c>
      <c r="AC134">
        <v>3.855</v>
      </c>
      <c r="AD134">
        <v>0.08</v>
      </c>
      <c r="AE134">
        <v>0</v>
      </c>
      <c r="AF134">
        <v>0.13600000000000001</v>
      </c>
      <c r="AG134">
        <v>0.53200000000000003</v>
      </c>
      <c r="AH134">
        <v>289.91000000000003</v>
      </c>
      <c r="AI134">
        <v>1.4630000000000001</v>
      </c>
      <c r="AJ134">
        <v>1036.8</v>
      </c>
      <c r="AK134">
        <v>0</v>
      </c>
      <c r="AL134">
        <v>130.30000000000001</v>
      </c>
      <c r="AM134">
        <v>7.4333333333333335E-3</v>
      </c>
      <c r="AN134">
        <v>0.92399999999999993</v>
      </c>
      <c r="AO134">
        <v>0</v>
      </c>
      <c r="AP134">
        <v>0.17980000000000002</v>
      </c>
      <c r="AQ134">
        <v>3.1543999999999999</v>
      </c>
      <c r="AR134">
        <v>1.008</v>
      </c>
      <c r="AS134">
        <v>7.3999999999999996E-2</v>
      </c>
      <c r="AT134">
        <v>0.12</v>
      </c>
      <c r="AU134">
        <v>9.5000000000000001E-2</v>
      </c>
      <c r="AV134">
        <v>0</v>
      </c>
      <c r="AW134">
        <v>2.9489999999999998</v>
      </c>
      <c r="AX134">
        <v>483.50299999999999</v>
      </c>
      <c r="AY134">
        <v>2.7204444444444444</v>
      </c>
      <c r="AZ134">
        <v>0.17616100000000001</v>
      </c>
      <c r="BA134">
        <v>0.87</v>
      </c>
      <c r="BB134">
        <v>9.6000000000000002E-2</v>
      </c>
      <c r="BC134">
        <v>5.0000000000000001E-3</v>
      </c>
      <c r="BD134">
        <v>5.9039999999999999</v>
      </c>
      <c r="BE134">
        <v>2.46E-2</v>
      </c>
      <c r="BF134">
        <v>77.180000000000007</v>
      </c>
      <c r="BG134">
        <v>3.74</v>
      </c>
      <c r="BH134">
        <v>0.51</v>
      </c>
      <c r="BI134">
        <v>0.99</v>
      </c>
      <c r="BJ134">
        <v>1.611</v>
      </c>
      <c r="BK134">
        <v>2.1320000000000001</v>
      </c>
      <c r="BL134">
        <v>2.7E-2</v>
      </c>
      <c r="BM134">
        <v>1.85</v>
      </c>
      <c r="BN134">
        <v>0.15</v>
      </c>
      <c r="BO134">
        <v>0.63870000000000005</v>
      </c>
      <c r="BP134">
        <v>0.13391400000000001</v>
      </c>
      <c r="BQ134">
        <v>0</v>
      </c>
      <c r="BR134">
        <v>0</v>
      </c>
      <c r="BS134">
        <v>0.33900000000000002</v>
      </c>
      <c r="BT134">
        <v>4.3999999999999997E-2</v>
      </c>
      <c r="BU134">
        <v>7.9349999999999993E-3</v>
      </c>
      <c r="BV134">
        <v>2.1499999999999998E-2</v>
      </c>
      <c r="BW134">
        <v>0.33500000000000002</v>
      </c>
      <c r="BX134">
        <v>0.33500000000000002</v>
      </c>
      <c r="BY134">
        <v>0.185</v>
      </c>
      <c r="BZ134">
        <v>0.01</v>
      </c>
      <c r="CA134">
        <v>1.2E-2</v>
      </c>
      <c r="CB134">
        <v>7.0000000000000001E-3</v>
      </c>
      <c r="CC134">
        <v>0</v>
      </c>
      <c r="CD134">
        <v>0.32900000000000001</v>
      </c>
      <c r="CE134">
        <v>0.40648699999999999</v>
      </c>
      <c r="CF134">
        <v>0.65110000000000001</v>
      </c>
      <c r="CG134">
        <v>8.9999999999999993E-3</v>
      </c>
      <c r="CH134">
        <v>1.31</v>
      </c>
      <c r="CI134">
        <v>0.05</v>
      </c>
      <c r="CJ134">
        <v>2.2399999999999998E-3</v>
      </c>
      <c r="CK134">
        <v>0</v>
      </c>
      <c r="CL134">
        <v>1.52</v>
      </c>
      <c r="CM134">
        <v>7.0000000000000001E-3</v>
      </c>
      <c r="CN134">
        <v>4.4999999999999997E-3</v>
      </c>
      <c r="CO134">
        <v>6.9000000000000006E-2</v>
      </c>
      <c r="CP134">
        <v>4.9000000000000002E-2</v>
      </c>
      <c r="CQ134">
        <v>6.7999999999999996E-3</v>
      </c>
      <c r="CR134">
        <v>6.9999999999999999E-4</v>
      </c>
      <c r="CS134">
        <v>2.3600000000000001E-3</v>
      </c>
      <c r="CT134">
        <v>1.2999999999999999E-2</v>
      </c>
      <c r="CU134">
        <v>1.21E-2</v>
      </c>
      <c r="CV134">
        <v>0</v>
      </c>
      <c r="CW134">
        <v>0.05</v>
      </c>
      <c r="CX134">
        <v>0.02</v>
      </c>
      <c r="CY134">
        <v>8.0000000000000002E-3</v>
      </c>
      <c r="CZ134">
        <v>1.2999999999999999E-2</v>
      </c>
      <c r="DA134">
        <v>0.02</v>
      </c>
    </row>
    <row r="135" spans="1:105" x14ac:dyDescent="0.25">
      <c r="A135" s="1">
        <v>44255</v>
      </c>
      <c r="B135">
        <v>2.4299999999999999E-2</v>
      </c>
      <c r="C135">
        <v>5.8000000000000003E-2</v>
      </c>
      <c r="D135">
        <v>2.4300000000000002</v>
      </c>
      <c r="E135">
        <v>0.13381299999999999</v>
      </c>
      <c r="F135">
        <v>0.16500000000000001</v>
      </c>
      <c r="G135">
        <v>0.05</v>
      </c>
      <c r="H135">
        <v>0.28999999999999998</v>
      </c>
      <c r="I135">
        <v>0.19900000000000001</v>
      </c>
      <c r="J135">
        <v>0.17</v>
      </c>
      <c r="K135">
        <v>0.113</v>
      </c>
      <c r="L135">
        <v>0.43020000000000003</v>
      </c>
      <c r="M135">
        <v>1.8959999999999999</v>
      </c>
      <c r="N135">
        <v>1.1639999999999999</v>
      </c>
      <c r="O135">
        <v>0.77100000000000002</v>
      </c>
      <c r="P135">
        <v>3.8</v>
      </c>
      <c r="Q135">
        <v>0</v>
      </c>
      <c r="R135">
        <v>6.3E-2</v>
      </c>
      <c r="S135">
        <v>1.34</v>
      </c>
      <c r="T135">
        <v>1.0680000000000001</v>
      </c>
      <c r="U135">
        <v>1.4E-3</v>
      </c>
      <c r="V135">
        <v>2.9199999999999999E-3</v>
      </c>
      <c r="W135">
        <v>8.43E-2</v>
      </c>
      <c r="X135">
        <v>2.04</v>
      </c>
      <c r="Y135">
        <v>4.67</v>
      </c>
      <c r="Z135">
        <v>27.78</v>
      </c>
      <c r="AA135">
        <v>0.62</v>
      </c>
      <c r="AB135">
        <v>0.126</v>
      </c>
      <c r="AC135">
        <v>4.3390000000000004</v>
      </c>
      <c r="AD135">
        <v>0.09</v>
      </c>
      <c r="AE135">
        <v>0</v>
      </c>
      <c r="AF135">
        <v>0.13800000000000001</v>
      </c>
      <c r="AG135">
        <v>0.63100000000000001</v>
      </c>
      <c r="AH135">
        <v>385.73</v>
      </c>
      <c r="AI135">
        <v>0.99299999999999999</v>
      </c>
      <c r="AJ135">
        <v>1029.45</v>
      </c>
      <c r="AK135">
        <v>0</v>
      </c>
      <c r="AL135">
        <v>323.39999999999998</v>
      </c>
      <c r="AM135">
        <v>7.0749999999999997E-3</v>
      </c>
      <c r="AN135">
        <v>1.1379999999999999</v>
      </c>
      <c r="AO135">
        <v>0</v>
      </c>
      <c r="AP135">
        <v>0.127</v>
      </c>
      <c r="AQ135">
        <v>3.8780000000000001</v>
      </c>
      <c r="AR135">
        <v>1.008</v>
      </c>
      <c r="AS135">
        <v>7.3999999999999996E-2</v>
      </c>
      <c r="AT135">
        <v>0.12</v>
      </c>
      <c r="AU135">
        <v>0.154</v>
      </c>
      <c r="AV135">
        <v>0</v>
      </c>
      <c r="AW135">
        <v>3.0649999999999999</v>
      </c>
      <c r="AX135">
        <v>537.12</v>
      </c>
      <c r="AY135">
        <v>2.7367222222222223</v>
      </c>
      <c r="AZ135">
        <v>0.19178500000000001</v>
      </c>
      <c r="BA135">
        <v>1</v>
      </c>
      <c r="BB135">
        <v>0.1</v>
      </c>
      <c r="BC135">
        <v>7.0000000000000001E-3</v>
      </c>
      <c r="BD135">
        <v>6.4059999999999997</v>
      </c>
      <c r="BE135">
        <v>0.02</v>
      </c>
      <c r="BF135">
        <v>89.34</v>
      </c>
      <c r="BG135">
        <v>4.38</v>
      </c>
      <c r="BH135">
        <v>0.62</v>
      </c>
      <c r="BI135">
        <v>0.45</v>
      </c>
      <c r="BJ135">
        <v>1.869</v>
      </c>
      <c r="BK135">
        <v>2.23</v>
      </c>
      <c r="BL135">
        <v>2.879E-2</v>
      </c>
      <c r="BM135">
        <v>1.91</v>
      </c>
      <c r="BN135">
        <v>0.17</v>
      </c>
      <c r="BO135">
        <v>0.6673</v>
      </c>
      <c r="BP135">
        <v>0.115441</v>
      </c>
      <c r="BQ135">
        <v>0</v>
      </c>
      <c r="BR135">
        <v>0</v>
      </c>
      <c r="BS135">
        <v>0.32400000000000001</v>
      </c>
      <c r="BT135">
        <v>3.7999999999999999E-2</v>
      </c>
      <c r="BU135">
        <v>7.306E-3</v>
      </c>
      <c r="BV135">
        <v>2.2710000000000001E-2</v>
      </c>
      <c r="BW135">
        <v>0.38300000000000001</v>
      </c>
      <c r="BX135">
        <v>0.38300000000000001</v>
      </c>
      <c r="BY135">
        <v>0.254</v>
      </c>
      <c r="BZ135">
        <v>1.2999999999999999E-2</v>
      </c>
      <c r="CA135">
        <v>8.0000000000000002E-3</v>
      </c>
      <c r="CB135">
        <v>5.0000000000000001E-3</v>
      </c>
      <c r="CC135">
        <v>0</v>
      </c>
      <c r="CD135">
        <v>0.38200000000000001</v>
      </c>
      <c r="CE135">
        <v>0.45172299999999999</v>
      </c>
      <c r="CF135">
        <v>0.64300000000000002</v>
      </c>
      <c r="CG135">
        <v>1.4E-2</v>
      </c>
      <c r="CH135">
        <v>1.4179999999999999</v>
      </c>
      <c r="CI135">
        <v>0.05</v>
      </c>
      <c r="CJ135">
        <v>2.1150000000000001E-3</v>
      </c>
      <c r="CK135">
        <v>0</v>
      </c>
      <c r="CL135">
        <v>1.53</v>
      </c>
      <c r="CM135">
        <v>0.08</v>
      </c>
      <c r="CN135">
        <v>3.4999999999999996E-3</v>
      </c>
      <c r="CO135">
        <v>8.2000000000000003E-2</v>
      </c>
      <c r="CP135">
        <v>4.2000000000000003E-2</v>
      </c>
      <c r="CQ135">
        <v>7.4000000000000003E-3</v>
      </c>
      <c r="CR135">
        <v>5.9999999999999995E-4</v>
      </c>
      <c r="CS135">
        <v>2.1900000000000001E-3</v>
      </c>
      <c r="CT135">
        <v>1.6E-2</v>
      </c>
      <c r="CU135">
        <v>1.0999999999999999E-2</v>
      </c>
      <c r="CV135">
        <v>0</v>
      </c>
      <c r="CW135">
        <v>8.2000000000000003E-2</v>
      </c>
      <c r="CX135">
        <v>0.02</v>
      </c>
      <c r="CY135">
        <v>0.03</v>
      </c>
      <c r="CZ135">
        <v>0.01</v>
      </c>
      <c r="DA135">
        <v>0.02</v>
      </c>
    </row>
    <row r="136" spans="1:105" x14ac:dyDescent="0.25">
      <c r="A136" s="1">
        <v>44286</v>
      </c>
      <c r="B136">
        <v>1.0500000000000001E-2</v>
      </c>
      <c r="C136">
        <v>4.65E-2</v>
      </c>
      <c r="D136">
        <v>2.4300000000000002</v>
      </c>
      <c r="E136">
        <v>0.116481</v>
      </c>
      <c r="F136">
        <v>0.13800000000000001</v>
      </c>
      <c r="G136">
        <v>0.03</v>
      </c>
      <c r="H136">
        <v>0.251</v>
      </c>
      <c r="I136">
        <v>0.157</v>
      </c>
      <c r="J136">
        <v>0.16</v>
      </c>
      <c r="K136">
        <v>0.113</v>
      </c>
      <c r="L136">
        <v>0.3427</v>
      </c>
      <c r="M136">
        <v>1.655</v>
      </c>
      <c r="N136">
        <v>0.99099999999999999</v>
      </c>
      <c r="O136">
        <v>0.70389999999999997</v>
      </c>
      <c r="P136">
        <v>3.7749999999999999</v>
      </c>
      <c r="Q136">
        <v>0</v>
      </c>
      <c r="R136">
        <v>5.5E-2</v>
      </c>
      <c r="S136">
        <v>1.32</v>
      </c>
      <c r="T136">
        <v>1.149</v>
      </c>
      <c r="U136">
        <v>8.0000000000000004E-4</v>
      </c>
      <c r="V136">
        <v>3.9319999999999997E-3</v>
      </c>
      <c r="W136">
        <v>9.7699999999999995E-2</v>
      </c>
      <c r="X136">
        <v>2.02</v>
      </c>
      <c r="Y136">
        <v>4.29</v>
      </c>
      <c r="Z136">
        <v>26.68</v>
      </c>
      <c r="AA136">
        <v>0.19</v>
      </c>
      <c r="AB136">
        <v>0.108</v>
      </c>
      <c r="AC136">
        <v>3.9750000000000001</v>
      </c>
      <c r="AD136">
        <v>0.09</v>
      </c>
      <c r="AE136">
        <v>0</v>
      </c>
      <c r="AF136">
        <v>0.13400000000000001</v>
      </c>
      <c r="AG136">
        <v>0.55000000000000004</v>
      </c>
      <c r="AH136">
        <v>90.8</v>
      </c>
      <c r="AI136">
        <v>1.163</v>
      </c>
      <c r="AJ136">
        <v>1064.4100000000001</v>
      </c>
      <c r="AK136">
        <v>0</v>
      </c>
      <c r="AL136">
        <v>162.1</v>
      </c>
      <c r="AM136">
        <v>6.7166666666666668E-3</v>
      </c>
      <c r="AN136">
        <v>0.87049999999999994</v>
      </c>
      <c r="AO136">
        <v>0</v>
      </c>
      <c r="AP136">
        <v>0.11125</v>
      </c>
      <c r="AQ136">
        <v>2.9735</v>
      </c>
      <c r="AR136">
        <v>1.008</v>
      </c>
      <c r="AS136">
        <v>7.4200000000000002E-2</v>
      </c>
      <c r="AT136">
        <v>0.1424</v>
      </c>
      <c r="AU136">
        <v>0.10100000000000001</v>
      </c>
      <c r="AV136">
        <v>0</v>
      </c>
      <c r="AW136">
        <v>2.8679999999999999</v>
      </c>
      <c r="AX136">
        <v>51.290999999999997</v>
      </c>
      <c r="AY136">
        <v>2.7530000000000001</v>
      </c>
      <c r="AZ136">
        <v>0.14838699999999999</v>
      </c>
      <c r="BA136">
        <v>0.87</v>
      </c>
      <c r="BB136">
        <v>8.7999999999999995E-2</v>
      </c>
      <c r="BC136">
        <v>5.0000000000000001E-3</v>
      </c>
      <c r="BD136">
        <v>5.5039999999999996</v>
      </c>
      <c r="BE136">
        <v>7.0190000000000002E-2</v>
      </c>
      <c r="BF136">
        <v>79.64</v>
      </c>
      <c r="BG136">
        <v>3.49</v>
      </c>
      <c r="BH136">
        <v>0.74</v>
      </c>
      <c r="BI136">
        <v>0.72</v>
      </c>
      <c r="BJ136">
        <v>1.641</v>
      </c>
      <c r="BK136">
        <v>2.0449999999999999</v>
      </c>
      <c r="BL136">
        <v>3.058E-2</v>
      </c>
      <c r="BM136">
        <v>1.54</v>
      </c>
      <c r="BN136">
        <v>0.15</v>
      </c>
      <c r="BO136">
        <v>0.58689999999999998</v>
      </c>
      <c r="BP136">
        <v>0.117883</v>
      </c>
      <c r="BQ136">
        <v>0</v>
      </c>
      <c r="BR136">
        <v>0</v>
      </c>
      <c r="BS136">
        <v>0.35199999999999998</v>
      </c>
      <c r="BT136">
        <v>4.9000000000000002E-2</v>
      </c>
      <c r="BU136">
        <v>6.9760000000000004E-3</v>
      </c>
      <c r="BV136">
        <v>2.3220000000000001E-2</v>
      </c>
      <c r="BW136">
        <v>0.32300000000000001</v>
      </c>
      <c r="BX136">
        <v>0.32300000000000001</v>
      </c>
      <c r="BY136">
        <v>0.33400000000000002</v>
      </c>
      <c r="BZ136">
        <v>1.4E-2</v>
      </c>
      <c r="CA136">
        <v>8.9999999999999993E-3</v>
      </c>
      <c r="CB136">
        <v>8.0000000000000002E-3</v>
      </c>
      <c r="CC136">
        <v>0</v>
      </c>
      <c r="CD136">
        <v>0.3</v>
      </c>
      <c r="CE136">
        <v>0.41253000000000001</v>
      </c>
      <c r="CF136">
        <v>0.54649999999999999</v>
      </c>
      <c r="CG136">
        <v>2.3E-2</v>
      </c>
      <c r="CH136">
        <v>1.325</v>
      </c>
      <c r="CI136">
        <v>0.05</v>
      </c>
      <c r="CJ136">
        <v>2.5040000000000001E-3</v>
      </c>
      <c r="CK136">
        <v>0</v>
      </c>
      <c r="CL136">
        <v>1.36</v>
      </c>
      <c r="CM136">
        <v>7.0000000000000007E-2</v>
      </c>
      <c r="CN136">
        <v>2.5000000000000001E-3</v>
      </c>
      <c r="CO136">
        <v>6.5000000000000002E-2</v>
      </c>
      <c r="CP136">
        <v>5.2999999999999999E-2</v>
      </c>
      <c r="CQ136">
        <v>5.5999999999999999E-3</v>
      </c>
      <c r="CR136">
        <v>1E-3</v>
      </c>
      <c r="CS136">
        <v>3.1099999999999999E-3</v>
      </c>
      <c r="CT136">
        <v>1.7000000000000001E-2</v>
      </c>
      <c r="CU136">
        <v>1.11E-2</v>
      </c>
      <c r="CV136">
        <v>2.6714000000000002E-2</v>
      </c>
      <c r="CW136">
        <v>7.8E-2</v>
      </c>
      <c r="CX136">
        <v>0.02</v>
      </c>
      <c r="CY136">
        <v>0</v>
      </c>
      <c r="CZ136">
        <v>1.2999999999999999E-2</v>
      </c>
      <c r="DA136">
        <v>0.02</v>
      </c>
    </row>
    <row r="137" spans="1:105" x14ac:dyDescent="0.25">
      <c r="A137" s="1">
        <v>44316</v>
      </c>
      <c r="B137">
        <v>2.5000000000000001E-2</v>
      </c>
      <c r="C137">
        <v>5.5E-2</v>
      </c>
      <c r="D137">
        <v>2.4</v>
      </c>
      <c r="E137">
        <v>0.11910900000000001</v>
      </c>
      <c r="F137">
        <v>0.14699999999999999</v>
      </c>
      <c r="G137">
        <v>0.03</v>
      </c>
      <c r="H137">
        <v>0.25</v>
      </c>
      <c r="I137">
        <v>0.16900000000000001</v>
      </c>
      <c r="J137">
        <v>0.13</v>
      </c>
      <c r="K137">
        <v>0.13300000000000001</v>
      </c>
      <c r="L137">
        <v>0.39229999999999998</v>
      </c>
      <c r="M137">
        <v>1.794</v>
      </c>
      <c r="N137">
        <v>0.96499999999999997</v>
      </c>
      <c r="O137">
        <v>0.70440000000000003</v>
      </c>
      <c r="P137">
        <v>3.88</v>
      </c>
      <c r="Q137">
        <v>0</v>
      </c>
      <c r="R137">
        <v>5.5E-2</v>
      </c>
      <c r="S137">
        <v>1.1499999999999999</v>
      </c>
      <c r="T137">
        <v>1.1970000000000001</v>
      </c>
      <c r="U137">
        <v>1E-4</v>
      </c>
      <c r="V137">
        <v>3.241E-3</v>
      </c>
      <c r="W137">
        <v>0.1014</v>
      </c>
      <c r="X137">
        <v>1.3</v>
      </c>
      <c r="Y137">
        <v>4.41</v>
      </c>
      <c r="Z137">
        <v>25.11</v>
      </c>
      <c r="AA137">
        <v>0.24</v>
      </c>
      <c r="AB137">
        <v>0.11</v>
      </c>
      <c r="AC137">
        <v>3.8140000000000001</v>
      </c>
      <c r="AD137">
        <v>0.05</v>
      </c>
      <c r="AE137">
        <v>0</v>
      </c>
      <c r="AF137">
        <v>0.15</v>
      </c>
      <c r="AG137">
        <v>0.59499999999999997</v>
      </c>
      <c r="AH137">
        <v>486.11</v>
      </c>
      <c r="AI137">
        <v>0.80400000000000005</v>
      </c>
      <c r="AJ137">
        <v>727.25</v>
      </c>
      <c r="AK137">
        <v>0</v>
      </c>
      <c r="AL137">
        <v>184.5</v>
      </c>
      <c r="AM137">
        <v>6.3583333333333339E-3</v>
      </c>
      <c r="AN137">
        <v>0.60299999999999998</v>
      </c>
      <c r="AO137">
        <v>0</v>
      </c>
      <c r="AP137">
        <v>9.5500000000000002E-2</v>
      </c>
      <c r="AQ137">
        <v>2.069</v>
      </c>
      <c r="AR137">
        <v>1.008</v>
      </c>
      <c r="AS137">
        <v>7.4399999999999994E-2</v>
      </c>
      <c r="AT137">
        <v>0.1648</v>
      </c>
      <c r="AU137">
        <v>0.108</v>
      </c>
      <c r="AV137">
        <v>0</v>
      </c>
      <c r="AW137">
        <v>2.9649999999999999</v>
      </c>
      <c r="AX137">
        <v>497.53800000000001</v>
      </c>
      <c r="AY137">
        <v>2.1150000000000002</v>
      </c>
      <c r="AZ137">
        <v>0.14186599999999999</v>
      </c>
      <c r="BA137">
        <v>0.92</v>
      </c>
      <c r="BB137">
        <v>8.8999999999999996E-2</v>
      </c>
      <c r="BC137">
        <v>8.9999999999999993E-3</v>
      </c>
      <c r="BD137">
        <v>5.343</v>
      </c>
      <c r="BE137">
        <v>0.19794999999999999</v>
      </c>
      <c r="BF137">
        <v>81.91</v>
      </c>
      <c r="BG137">
        <v>3.8</v>
      </c>
      <c r="BH137">
        <v>0.93</v>
      </c>
      <c r="BI137">
        <v>0.55000000000000004</v>
      </c>
      <c r="BJ137">
        <v>1.5169999999999999</v>
      </c>
      <c r="BK137">
        <v>2.012</v>
      </c>
      <c r="BL137">
        <v>2.5499999999999998E-2</v>
      </c>
      <c r="BM137">
        <v>1.99</v>
      </c>
      <c r="BN137">
        <v>0.16</v>
      </c>
      <c r="BO137">
        <v>0.68489999999999995</v>
      </c>
      <c r="BP137">
        <v>0.11927500000000001</v>
      </c>
      <c r="BQ137">
        <v>0</v>
      </c>
      <c r="BR137">
        <v>0</v>
      </c>
      <c r="BS137">
        <v>0.31900000000000001</v>
      </c>
      <c r="BT137">
        <v>5.8999999999999997E-2</v>
      </c>
      <c r="BU137">
        <v>7.2020000000000001E-3</v>
      </c>
      <c r="BV137">
        <v>2.121E-2</v>
      </c>
      <c r="BW137">
        <v>0.34100000000000003</v>
      </c>
      <c r="BX137">
        <v>0.34100000000000003</v>
      </c>
      <c r="BY137">
        <v>0.49299999999999999</v>
      </c>
      <c r="BZ137">
        <v>1.9E-2</v>
      </c>
      <c r="CA137">
        <v>8.0000000000000002E-3</v>
      </c>
      <c r="CB137">
        <v>6.0000000000000001E-3</v>
      </c>
      <c r="CC137">
        <v>0</v>
      </c>
      <c r="CD137">
        <v>0.27800000000000002</v>
      </c>
      <c r="CE137">
        <v>0.39618999999999999</v>
      </c>
      <c r="CF137">
        <v>0.46970000000000001</v>
      </c>
      <c r="CG137">
        <v>0.01</v>
      </c>
      <c r="CH137">
        <v>1.65</v>
      </c>
      <c r="CI137">
        <v>5.8000000000000003E-2</v>
      </c>
      <c r="CJ137">
        <v>2.111E-3</v>
      </c>
      <c r="CK137">
        <v>0</v>
      </c>
      <c r="CL137">
        <v>1.44</v>
      </c>
      <c r="CM137">
        <v>7.0000000000000007E-2</v>
      </c>
      <c r="CN137">
        <v>3.109090909090909E-3</v>
      </c>
      <c r="CO137">
        <v>7.1999999999999995E-2</v>
      </c>
      <c r="CP137">
        <v>5.2999999999999999E-2</v>
      </c>
      <c r="CQ137">
        <v>6.6E-3</v>
      </c>
      <c r="CR137">
        <v>1E-3</v>
      </c>
      <c r="CS137">
        <v>3.8600000000000001E-3</v>
      </c>
      <c r="CT137">
        <v>1.9E-2</v>
      </c>
      <c r="CU137">
        <v>1.1299999999999999E-2</v>
      </c>
      <c r="CV137">
        <v>3.2000000000000001E-2</v>
      </c>
      <c r="CW137">
        <v>8.4000000000000005E-2</v>
      </c>
      <c r="CX137">
        <v>1.7999999999999999E-2</v>
      </c>
      <c r="CY137">
        <v>0</v>
      </c>
      <c r="CZ137">
        <v>1.4E-2</v>
      </c>
      <c r="DA137">
        <v>0.02</v>
      </c>
    </row>
    <row r="138" spans="1:105" x14ac:dyDescent="0.25">
      <c r="A138" s="1">
        <v>44347</v>
      </c>
      <c r="B138">
        <v>2.3300000000000001E-2</v>
      </c>
      <c r="C138">
        <v>4.5999999999999999E-2</v>
      </c>
      <c r="D138">
        <v>2.64</v>
      </c>
      <c r="E138">
        <v>0.124612</v>
      </c>
      <c r="F138">
        <v>0.18</v>
      </c>
      <c r="G138">
        <v>0.01</v>
      </c>
      <c r="H138">
        <v>0.39300000000000002</v>
      </c>
      <c r="I138">
        <v>0.20300000000000001</v>
      </c>
      <c r="J138">
        <v>0.26</v>
      </c>
      <c r="K138">
        <v>0.17599999999999999</v>
      </c>
      <c r="L138">
        <v>0.52810000000000001</v>
      </c>
      <c r="M138">
        <v>1.69</v>
      </c>
      <c r="N138">
        <v>1.43</v>
      </c>
      <c r="O138">
        <v>1.1890000000000001</v>
      </c>
      <c r="P138">
        <v>6.56</v>
      </c>
      <c r="Q138">
        <v>0</v>
      </c>
      <c r="R138">
        <v>0.06</v>
      </c>
      <c r="S138">
        <v>1.75</v>
      </c>
      <c r="T138">
        <v>1.323</v>
      </c>
      <c r="U138">
        <v>2.3999999999999998E-3</v>
      </c>
      <c r="V138">
        <v>3.3219999999999999E-3</v>
      </c>
      <c r="W138">
        <v>0.14960000000000001</v>
      </c>
      <c r="X138">
        <v>2.2400000000000002</v>
      </c>
      <c r="Y138">
        <v>5.64</v>
      </c>
      <c r="Z138">
        <v>30.11</v>
      </c>
      <c r="AA138">
        <v>0.73</v>
      </c>
      <c r="AB138">
        <v>0.123</v>
      </c>
      <c r="AC138">
        <v>4.7990000000000004</v>
      </c>
      <c r="AD138">
        <v>0.1</v>
      </c>
      <c r="AE138">
        <v>0</v>
      </c>
      <c r="AF138">
        <v>0.20599999999999999</v>
      </c>
      <c r="AG138">
        <v>0.627</v>
      </c>
      <c r="AH138">
        <v>275</v>
      </c>
      <c r="AI138">
        <v>0.92300000000000004</v>
      </c>
      <c r="AJ138">
        <v>1209.5999999999999</v>
      </c>
      <c r="AK138">
        <v>0</v>
      </c>
      <c r="AL138">
        <v>417.5</v>
      </c>
      <c r="AM138">
        <v>6.0000000000000001E-3</v>
      </c>
      <c r="AN138">
        <v>0.33550000000000002</v>
      </c>
      <c r="AO138">
        <v>0</v>
      </c>
      <c r="AP138">
        <v>7.9750000000000001E-2</v>
      </c>
      <c r="AQ138">
        <v>1.1644999999999999</v>
      </c>
      <c r="AR138">
        <v>1.008</v>
      </c>
      <c r="AS138">
        <v>7.46E-2</v>
      </c>
      <c r="AT138">
        <v>0.18720000000000001</v>
      </c>
      <c r="AU138">
        <v>0.109</v>
      </c>
      <c r="AV138">
        <v>0</v>
      </c>
      <c r="AW138">
        <v>3.476</v>
      </c>
      <c r="AX138">
        <v>507.68099999999998</v>
      </c>
      <c r="AY138">
        <v>2.33</v>
      </c>
      <c r="AZ138">
        <v>0.27667700000000001</v>
      </c>
      <c r="BA138">
        <v>1.06</v>
      </c>
      <c r="BB138">
        <v>0.10199999999999999</v>
      </c>
      <c r="BC138">
        <v>8.0000000000000002E-3</v>
      </c>
      <c r="BD138">
        <v>6.9870000000000001</v>
      </c>
      <c r="BE138">
        <v>0.32571</v>
      </c>
      <c r="BF138">
        <v>99</v>
      </c>
      <c r="BG138">
        <v>3.57</v>
      </c>
      <c r="BH138">
        <v>1.08</v>
      </c>
      <c r="BI138">
        <v>0.64</v>
      </c>
      <c r="BJ138">
        <v>1.7450000000000001</v>
      </c>
      <c r="BK138">
        <v>2.8140000000000001</v>
      </c>
      <c r="BL138">
        <v>3.4000000000000002E-2</v>
      </c>
      <c r="BM138">
        <v>2.16</v>
      </c>
      <c r="BN138">
        <v>0.17</v>
      </c>
      <c r="BO138">
        <v>0.92610000000000003</v>
      </c>
      <c r="BP138">
        <v>8.6776000000000006E-2</v>
      </c>
      <c r="BQ138">
        <v>0</v>
      </c>
      <c r="BR138">
        <v>0</v>
      </c>
      <c r="BS138">
        <v>0.33800000000000002</v>
      </c>
      <c r="BT138">
        <v>8.4000000000000005E-2</v>
      </c>
      <c r="BU138">
        <v>1.4858E-2</v>
      </c>
      <c r="BV138">
        <v>2.2339999999999999E-2</v>
      </c>
      <c r="BW138">
        <v>0.42799999999999999</v>
      </c>
      <c r="BX138">
        <v>0.42799999999999999</v>
      </c>
      <c r="BY138">
        <v>0.43</v>
      </c>
      <c r="BZ138">
        <v>0.01</v>
      </c>
      <c r="CA138">
        <v>8.9999999999999993E-3</v>
      </c>
      <c r="CB138">
        <v>0.01</v>
      </c>
      <c r="CC138">
        <v>0</v>
      </c>
      <c r="CD138">
        <v>0.45200000000000001</v>
      </c>
      <c r="CE138">
        <v>0.44245099999999998</v>
      </c>
      <c r="CF138">
        <v>0.75660000000000005</v>
      </c>
      <c r="CG138">
        <v>1.0999999999999999E-2</v>
      </c>
      <c r="CH138">
        <v>3.51</v>
      </c>
      <c r="CI138">
        <v>0.06</v>
      </c>
      <c r="CJ138">
        <v>0</v>
      </c>
      <c r="CK138">
        <v>0</v>
      </c>
      <c r="CL138">
        <v>1.75</v>
      </c>
      <c r="CM138">
        <v>0.1</v>
      </c>
      <c r="CN138">
        <v>3.7181818181818184E-3</v>
      </c>
      <c r="CO138">
        <v>7.8E-2</v>
      </c>
      <c r="CP138">
        <v>5.2999999999999999E-2</v>
      </c>
      <c r="CQ138">
        <v>7.1000000000000004E-3</v>
      </c>
      <c r="CR138">
        <v>8.0000000000000004E-4</v>
      </c>
      <c r="CS138">
        <v>4.0099999999999997E-3</v>
      </c>
      <c r="CT138">
        <v>2.4E-2</v>
      </c>
      <c r="CU138">
        <v>1.17E-2</v>
      </c>
      <c r="CV138">
        <v>3.2031999999999998E-2</v>
      </c>
      <c r="CW138">
        <v>0.111</v>
      </c>
      <c r="CX138">
        <v>1.7999999999999999E-2</v>
      </c>
      <c r="CY138">
        <v>0</v>
      </c>
      <c r="CZ138">
        <v>1.4999999999999999E-2</v>
      </c>
      <c r="DA138">
        <v>0.02</v>
      </c>
    </row>
    <row r="139" spans="1:105" x14ac:dyDescent="0.25">
      <c r="A139" s="1">
        <v>44377</v>
      </c>
      <c r="B139">
        <v>5.0099999999999999E-2</v>
      </c>
      <c r="C139">
        <v>5.6000000000000001E-2</v>
      </c>
      <c r="D139">
        <v>2.74</v>
      </c>
      <c r="E139">
        <v>0.117368</v>
      </c>
      <c r="F139">
        <v>0.161</v>
      </c>
      <c r="G139">
        <v>0.04</v>
      </c>
      <c r="H139">
        <v>0.34300000000000003</v>
      </c>
      <c r="I139">
        <v>0.183</v>
      </c>
      <c r="J139">
        <v>0.2</v>
      </c>
      <c r="K139">
        <v>0.17699999999999999</v>
      </c>
      <c r="L139">
        <v>0.40429999999999999</v>
      </c>
      <c r="M139">
        <v>1.6</v>
      </c>
      <c r="N139">
        <v>1.196</v>
      </c>
      <c r="O139">
        <v>1.3681000000000001</v>
      </c>
      <c r="P139">
        <v>5.76</v>
      </c>
      <c r="Q139">
        <v>0</v>
      </c>
      <c r="R139">
        <v>7.6999999999999999E-2</v>
      </c>
      <c r="S139">
        <v>1.53</v>
      </c>
      <c r="T139">
        <v>1.1200000000000001</v>
      </c>
      <c r="U139">
        <v>8.0000000000000004E-4</v>
      </c>
      <c r="V139">
        <v>6.1040000000000001E-3</v>
      </c>
      <c r="W139">
        <v>0.28699999999999998</v>
      </c>
      <c r="X139">
        <v>2.17</v>
      </c>
      <c r="Y139">
        <v>4.75</v>
      </c>
      <c r="Z139">
        <v>26.42</v>
      </c>
      <c r="AA139">
        <v>2.9</v>
      </c>
      <c r="AB139">
        <v>0.13700000000000001</v>
      </c>
      <c r="AC139">
        <v>4.6479999999999997</v>
      </c>
      <c r="AD139">
        <v>0.1</v>
      </c>
      <c r="AE139">
        <v>0</v>
      </c>
      <c r="AF139">
        <v>0.23</v>
      </c>
      <c r="AG139">
        <v>0.64300000000000002</v>
      </c>
      <c r="AH139">
        <v>540.41</v>
      </c>
      <c r="AI139">
        <v>1.4359999999999999</v>
      </c>
      <c r="AJ139">
        <v>1209.5999999999999</v>
      </c>
      <c r="AK139">
        <v>0</v>
      </c>
      <c r="AL139">
        <v>646.9</v>
      </c>
      <c r="AM139">
        <v>5.6999999999999995E-2</v>
      </c>
      <c r="AN139">
        <v>6.8000000000000005E-2</v>
      </c>
      <c r="AO139">
        <v>0</v>
      </c>
      <c r="AP139">
        <v>6.4000000000000001E-2</v>
      </c>
      <c r="AQ139">
        <v>0.26</v>
      </c>
      <c r="AR139">
        <v>1.008</v>
      </c>
      <c r="AS139">
        <v>7.4799999999999991E-2</v>
      </c>
      <c r="AT139">
        <v>0.20960000000000001</v>
      </c>
      <c r="AU139">
        <v>9.0999999999999998E-2</v>
      </c>
      <c r="AV139">
        <v>0</v>
      </c>
      <c r="AW139">
        <v>3.246</v>
      </c>
      <c r="AX139">
        <v>537.12</v>
      </c>
      <c r="AY139">
        <v>2.5449999999999999</v>
      </c>
      <c r="AZ139">
        <v>0.25336599999999998</v>
      </c>
      <c r="BA139">
        <v>1.02</v>
      </c>
      <c r="BB139">
        <v>0.107</v>
      </c>
      <c r="BC139">
        <v>8.0000000000000002E-3</v>
      </c>
      <c r="BD139">
        <v>6.452</v>
      </c>
      <c r="BE139">
        <v>1.15567</v>
      </c>
      <c r="BF139">
        <v>96.01</v>
      </c>
      <c r="BG139">
        <v>3.82</v>
      </c>
      <c r="BH139">
        <v>0.52</v>
      </c>
      <c r="BI139">
        <v>0.85</v>
      </c>
      <c r="BJ139">
        <v>1.8640000000000001</v>
      </c>
      <c r="BK139">
        <v>2.952</v>
      </c>
      <c r="BL139">
        <v>3.0200000000000001E-2</v>
      </c>
      <c r="BM139">
        <v>2.0499999999999998</v>
      </c>
      <c r="BN139">
        <v>0.16</v>
      </c>
      <c r="BO139">
        <v>0.76829999999999998</v>
      </c>
      <c r="BP139">
        <v>8.6776000000000006E-2</v>
      </c>
      <c r="BQ139">
        <v>0</v>
      </c>
      <c r="BR139">
        <v>0</v>
      </c>
      <c r="BS139">
        <v>0.32500000000000001</v>
      </c>
      <c r="BT139">
        <v>8.7999999999999995E-2</v>
      </c>
      <c r="BU139">
        <v>1.6324999999999999E-2</v>
      </c>
      <c r="BV139">
        <v>1.9910000000000001E-2</v>
      </c>
      <c r="BW139">
        <v>0.42199999999999999</v>
      </c>
      <c r="BX139">
        <v>0.42199999999999999</v>
      </c>
      <c r="BY139">
        <v>0.34</v>
      </c>
      <c r="BZ139">
        <v>0.02</v>
      </c>
      <c r="CA139">
        <v>0.01</v>
      </c>
      <c r="CB139">
        <v>0.01</v>
      </c>
      <c r="CC139">
        <v>0</v>
      </c>
      <c r="CD139">
        <v>0.53500000000000003</v>
      </c>
      <c r="CE139">
        <v>0.49970199999999998</v>
      </c>
      <c r="CF139">
        <v>0.55689999999999995</v>
      </c>
      <c r="CG139">
        <v>1.2999999999999999E-2</v>
      </c>
      <c r="CH139">
        <v>2.0249999999999999</v>
      </c>
      <c r="CI139">
        <v>0.08</v>
      </c>
      <c r="CJ139">
        <v>0</v>
      </c>
      <c r="CK139">
        <v>0</v>
      </c>
      <c r="CL139">
        <v>1.63</v>
      </c>
      <c r="CM139">
        <v>0.05</v>
      </c>
      <c r="CN139">
        <v>4.3272727272727273E-3</v>
      </c>
      <c r="CO139">
        <v>0</v>
      </c>
      <c r="CP139">
        <v>5.2999999999999999E-2</v>
      </c>
      <c r="CQ139">
        <v>6.7000000000000002E-3</v>
      </c>
      <c r="CR139">
        <v>6.9999999999999999E-4</v>
      </c>
      <c r="CS139">
        <v>2.5000000000000001E-3</v>
      </c>
      <c r="CT139">
        <v>2.3E-2</v>
      </c>
      <c r="CU139">
        <v>1.17E-2</v>
      </c>
      <c r="CV139">
        <v>3.4067E-2</v>
      </c>
      <c r="CW139">
        <v>0.1</v>
      </c>
      <c r="CX139">
        <v>1.9E-2</v>
      </c>
      <c r="CY139">
        <v>0</v>
      </c>
      <c r="CZ139">
        <v>1.4E-2</v>
      </c>
      <c r="DA139">
        <v>0.02</v>
      </c>
    </row>
    <row r="140" spans="1:105" x14ac:dyDescent="0.25">
      <c r="A140" s="1">
        <v>44408</v>
      </c>
      <c r="B140">
        <v>8.5400000000000004E-2</v>
      </c>
      <c r="C140">
        <v>6.7000000000000004E-2</v>
      </c>
      <c r="D140">
        <v>2.7</v>
      </c>
      <c r="E140">
        <v>0.123762</v>
      </c>
      <c r="F140">
        <v>0.19900000000000001</v>
      </c>
      <c r="G140">
        <v>0.05</v>
      </c>
      <c r="H140">
        <v>0.33900000000000002</v>
      </c>
      <c r="I140">
        <v>0.17499999999999999</v>
      </c>
      <c r="J140">
        <v>0.22</v>
      </c>
      <c r="K140">
        <v>0.19700000000000001</v>
      </c>
      <c r="L140">
        <v>0.47120000000000001</v>
      </c>
      <c r="M140">
        <v>2.1320000000000001</v>
      </c>
      <c r="N140">
        <v>1.1439999999999999</v>
      </c>
      <c r="O140">
        <v>1.2150000000000001</v>
      </c>
      <c r="P140">
        <v>6.37</v>
      </c>
      <c r="Q140">
        <v>0</v>
      </c>
      <c r="R140">
        <v>8.7999999999999995E-2</v>
      </c>
      <c r="S140">
        <v>1.55</v>
      </c>
      <c r="T140">
        <v>1.29</v>
      </c>
      <c r="U140">
        <v>3.8E-3</v>
      </c>
      <c r="V140">
        <v>6.9360000000000003E-3</v>
      </c>
      <c r="W140">
        <v>0.13769999999999999</v>
      </c>
      <c r="X140">
        <v>1.58</v>
      </c>
      <c r="Y140">
        <v>4.4000000000000004</v>
      </c>
      <c r="Z140">
        <v>29.59</v>
      </c>
      <c r="AA140">
        <v>2.15</v>
      </c>
      <c r="AB140">
        <v>0.129</v>
      </c>
      <c r="AC140">
        <v>4.7119999999999997</v>
      </c>
      <c r="AD140">
        <v>0.08</v>
      </c>
      <c r="AE140">
        <v>0</v>
      </c>
      <c r="AF140">
        <v>0.22900000000000001</v>
      </c>
      <c r="AG140">
        <v>0.65800000000000003</v>
      </c>
      <c r="AH140">
        <v>680.15</v>
      </c>
      <c r="AI140">
        <v>1.091</v>
      </c>
      <c r="AJ140">
        <v>1209.5999999999999</v>
      </c>
      <c r="AK140">
        <v>0</v>
      </c>
      <c r="AL140">
        <v>909</v>
      </c>
      <c r="AM140">
        <v>0.108</v>
      </c>
      <c r="AN140">
        <v>6.8000000000000005E-2</v>
      </c>
      <c r="AO140">
        <v>0</v>
      </c>
      <c r="AP140">
        <v>6.4000000000000001E-2</v>
      </c>
      <c r="AQ140">
        <v>0.26</v>
      </c>
      <c r="AR140">
        <v>1.008</v>
      </c>
      <c r="AS140">
        <v>7.4999999999999997E-2</v>
      </c>
      <c r="AT140">
        <v>0.23200000000000001</v>
      </c>
      <c r="AU140">
        <v>0.11700000000000001</v>
      </c>
      <c r="AV140">
        <v>0</v>
      </c>
      <c r="AW140">
        <v>3.5510000000000002</v>
      </c>
      <c r="AX140">
        <v>537.12</v>
      </c>
      <c r="AY140">
        <v>2.76</v>
      </c>
      <c r="AZ140">
        <v>0.26164500000000002</v>
      </c>
      <c r="BA140">
        <v>1.02</v>
      </c>
      <c r="BB140">
        <v>9.7000000000000003E-2</v>
      </c>
      <c r="BC140">
        <v>4.0000000000000001E-3</v>
      </c>
      <c r="BD140">
        <v>6.5919999999999996</v>
      </c>
      <c r="BE140">
        <v>0.37985000000000002</v>
      </c>
      <c r="BF140">
        <v>100.49</v>
      </c>
      <c r="BG140">
        <v>3.72</v>
      </c>
      <c r="BH140">
        <v>0.79500000000000004</v>
      </c>
      <c r="BI140">
        <v>1.25</v>
      </c>
      <c r="BJ140">
        <v>1.925</v>
      </c>
      <c r="BK140">
        <v>2.4279999999999999</v>
      </c>
      <c r="BL140">
        <v>3.78E-2</v>
      </c>
      <c r="BM140">
        <v>2.0699999999999998</v>
      </c>
      <c r="BN140">
        <v>0.17</v>
      </c>
      <c r="BO140">
        <v>0.91110000000000002</v>
      </c>
      <c r="BP140">
        <v>7.5052999999999995E-2</v>
      </c>
      <c r="BQ140">
        <v>0</v>
      </c>
      <c r="BR140">
        <v>0</v>
      </c>
      <c r="BS140">
        <v>0.33300000000000002</v>
      </c>
      <c r="BT140">
        <v>7.6999999999999999E-2</v>
      </c>
      <c r="BU140">
        <v>2.5239999999999999E-2</v>
      </c>
      <c r="BV140">
        <v>1.9460000000000002E-2</v>
      </c>
      <c r="BW140">
        <v>0.39200000000000002</v>
      </c>
      <c r="BX140">
        <v>0.39200000000000002</v>
      </c>
      <c r="BY140">
        <v>0.40400000000000003</v>
      </c>
      <c r="BZ140">
        <v>0.02</v>
      </c>
      <c r="CA140">
        <v>8.0000000000000002E-3</v>
      </c>
      <c r="CB140">
        <v>1.2999999999999999E-2</v>
      </c>
      <c r="CC140">
        <v>0</v>
      </c>
      <c r="CD140">
        <v>0.59499999999999997</v>
      </c>
      <c r="CE140">
        <v>0.46846100000000002</v>
      </c>
      <c r="CF140">
        <v>0.48120000000000002</v>
      </c>
      <c r="CG140">
        <v>1.4E-2</v>
      </c>
      <c r="CH140">
        <v>3.09</v>
      </c>
      <c r="CI140">
        <v>7.0000000000000007E-2</v>
      </c>
      <c r="CJ140">
        <v>0</v>
      </c>
      <c r="CK140">
        <v>0</v>
      </c>
      <c r="CL140">
        <v>1.62</v>
      </c>
      <c r="CM140">
        <v>0.08</v>
      </c>
      <c r="CN140">
        <v>4.9363636363636363E-3</v>
      </c>
      <c r="CO140">
        <v>0</v>
      </c>
      <c r="CP140">
        <v>5.0999999999999997E-2</v>
      </c>
      <c r="CQ140">
        <v>7.7000000000000002E-3</v>
      </c>
      <c r="CR140">
        <v>5.9999999999999995E-4</v>
      </c>
      <c r="CS140">
        <v>2.2300000000000002E-3</v>
      </c>
      <c r="CT140">
        <v>2.3E-2</v>
      </c>
      <c r="CU140">
        <v>1.12E-2</v>
      </c>
      <c r="CV140">
        <v>3.8199999999999998E-2</v>
      </c>
      <c r="CW140">
        <v>9.9000000000000005E-2</v>
      </c>
      <c r="CX140">
        <v>0.02</v>
      </c>
      <c r="CY140">
        <v>0</v>
      </c>
      <c r="CZ140">
        <v>1.4999999999999999E-2</v>
      </c>
      <c r="DA140">
        <v>0.02</v>
      </c>
    </row>
    <row r="141" spans="1:105" x14ac:dyDescent="0.25">
      <c r="A141" s="1">
        <v>44439</v>
      </c>
      <c r="B141">
        <v>8.4699999999999998E-2</v>
      </c>
      <c r="C141">
        <v>8.7999999999999995E-2</v>
      </c>
      <c r="D141">
        <v>2.73</v>
      </c>
      <c r="E141">
        <v>0.106404</v>
      </c>
      <c r="F141">
        <v>0.13500000000000001</v>
      </c>
      <c r="G141">
        <v>0.03</v>
      </c>
      <c r="H141">
        <v>0.28199999999999997</v>
      </c>
      <c r="I141">
        <v>0.17599999999999999</v>
      </c>
      <c r="J141">
        <v>0.15</v>
      </c>
      <c r="K141">
        <v>0.126</v>
      </c>
      <c r="L141">
        <v>0.36570000000000003</v>
      </c>
      <c r="M141">
        <v>1.54</v>
      </c>
      <c r="N141">
        <v>1.071</v>
      </c>
      <c r="O141">
        <v>1.0286999999999999</v>
      </c>
      <c r="P141">
        <v>4.3630000000000004</v>
      </c>
      <c r="Q141">
        <v>0</v>
      </c>
      <c r="R141">
        <v>6.4000000000000001E-2</v>
      </c>
      <c r="S141">
        <v>1.27</v>
      </c>
      <c r="T141">
        <v>1.1279999999999999</v>
      </c>
      <c r="U141">
        <v>1.1999999999999999E-3</v>
      </c>
      <c r="V141">
        <v>4.96E-3</v>
      </c>
      <c r="W141">
        <v>8.77E-2</v>
      </c>
      <c r="X141">
        <v>1.52</v>
      </c>
      <c r="Y141">
        <v>4.42</v>
      </c>
      <c r="Z141">
        <v>25.15</v>
      </c>
      <c r="AA141">
        <v>1.56</v>
      </c>
      <c r="AB141">
        <v>0.13</v>
      </c>
      <c r="AC141">
        <v>4.0250000000000004</v>
      </c>
      <c r="AD141">
        <v>7.0000000000000007E-2</v>
      </c>
      <c r="AE141">
        <v>0</v>
      </c>
      <c r="AF141">
        <v>0.16800000000000001</v>
      </c>
      <c r="AG141">
        <v>0.63200000000000001</v>
      </c>
      <c r="AH141">
        <v>673.92</v>
      </c>
      <c r="AI141">
        <v>0.95599999999999996</v>
      </c>
      <c r="AJ141">
        <v>1209.5999999999999</v>
      </c>
      <c r="AK141">
        <v>0</v>
      </c>
      <c r="AL141">
        <v>948.9</v>
      </c>
      <c r="AM141">
        <v>8.5999999999999993E-2</v>
      </c>
      <c r="AN141">
        <v>6.8000000000000005E-2</v>
      </c>
      <c r="AO141">
        <v>0</v>
      </c>
      <c r="AP141">
        <v>6.4000000000000001E-2</v>
      </c>
      <c r="AQ141">
        <v>0.26</v>
      </c>
      <c r="AR141">
        <v>1.008</v>
      </c>
      <c r="AS141">
        <v>7.4499999999999997E-2</v>
      </c>
      <c r="AT141">
        <v>0.17599999999999999</v>
      </c>
      <c r="AU141">
        <v>0.107</v>
      </c>
      <c r="AV141">
        <v>0</v>
      </c>
      <c r="AW141">
        <v>3.11</v>
      </c>
      <c r="AX141">
        <v>547.79399999999998</v>
      </c>
      <c r="AY141">
        <v>2.6480000000000001</v>
      </c>
      <c r="AZ141">
        <v>0.16667699999999999</v>
      </c>
      <c r="BA141">
        <v>0.98</v>
      </c>
      <c r="BB141">
        <v>9.7000000000000003E-2</v>
      </c>
      <c r="BC141">
        <v>0.01</v>
      </c>
      <c r="BD141">
        <v>5.383</v>
      </c>
      <c r="BE141">
        <v>0.22103999999999999</v>
      </c>
      <c r="BF141">
        <v>90.76</v>
      </c>
      <c r="BG141">
        <v>3.7</v>
      </c>
      <c r="BH141">
        <v>1.07</v>
      </c>
      <c r="BI141">
        <v>1.01</v>
      </c>
      <c r="BJ141">
        <v>1.8140000000000001</v>
      </c>
      <c r="BK141">
        <v>2.2629999999999999</v>
      </c>
      <c r="BL141">
        <v>3.7699999999999997E-2</v>
      </c>
      <c r="BM141">
        <v>1.99</v>
      </c>
      <c r="BN141">
        <v>0.16</v>
      </c>
      <c r="BO141">
        <v>0.67410000000000003</v>
      </c>
      <c r="BP141">
        <v>0.118032</v>
      </c>
      <c r="BQ141">
        <v>0</v>
      </c>
      <c r="BR141">
        <v>0</v>
      </c>
      <c r="BS141">
        <v>0.33100000000000002</v>
      </c>
      <c r="BT141">
        <v>7.9000000000000001E-2</v>
      </c>
      <c r="BU141">
        <v>8.3309999999999999E-3</v>
      </c>
      <c r="BV141">
        <v>1.7979999999999999E-2</v>
      </c>
      <c r="BW141">
        <v>0.38500000000000001</v>
      </c>
      <c r="BX141">
        <v>0.38500000000000001</v>
      </c>
      <c r="BY141">
        <v>0.48099999999999998</v>
      </c>
      <c r="BZ141">
        <v>1.9E-2</v>
      </c>
      <c r="CA141">
        <v>8.6999999999999994E-3</v>
      </c>
      <c r="CB141">
        <v>1.0999999999999999E-2</v>
      </c>
      <c r="CC141">
        <v>0</v>
      </c>
      <c r="CD141">
        <v>0.46800000000000003</v>
      </c>
      <c r="CE141">
        <v>0.442494</v>
      </c>
      <c r="CF141">
        <v>0.38529999999999998</v>
      </c>
      <c r="CG141">
        <v>0.01</v>
      </c>
      <c r="CH141">
        <v>1.663</v>
      </c>
      <c r="CI141">
        <v>7.0000000000000007E-2</v>
      </c>
      <c r="CJ141">
        <v>0</v>
      </c>
      <c r="CK141">
        <v>0</v>
      </c>
      <c r="CL141">
        <v>1.58</v>
      </c>
      <c r="CM141">
        <v>7.0000000000000007E-2</v>
      </c>
      <c r="CN141">
        <v>5.5454545454545453E-3</v>
      </c>
      <c r="CO141">
        <v>0</v>
      </c>
      <c r="CP141">
        <v>5.5E-2</v>
      </c>
      <c r="CQ141">
        <v>7.4000000000000003E-3</v>
      </c>
      <c r="CR141">
        <v>5.0000000000000001E-4</v>
      </c>
      <c r="CS141">
        <v>5.7000000000000002E-3</v>
      </c>
      <c r="CT141">
        <v>2.5000000000000001E-2</v>
      </c>
      <c r="CU141">
        <v>1.14E-2</v>
      </c>
      <c r="CV141">
        <v>4.1258000000000003E-2</v>
      </c>
      <c r="CW141">
        <v>7.6999999999999999E-2</v>
      </c>
      <c r="CX141">
        <v>1.7999999999999999E-2</v>
      </c>
      <c r="CY141">
        <v>0</v>
      </c>
      <c r="CZ141">
        <v>1.4E-2</v>
      </c>
      <c r="DA141">
        <v>0.02</v>
      </c>
    </row>
    <row r="142" spans="1:105" x14ac:dyDescent="0.25">
      <c r="A142" s="1">
        <v>44469</v>
      </c>
      <c r="B142">
        <v>6.4000000000000001E-2</v>
      </c>
      <c r="C142">
        <v>0.113</v>
      </c>
      <c r="D142">
        <v>2.71</v>
      </c>
      <c r="E142">
        <v>0.11172700000000001</v>
      </c>
      <c r="F142">
        <v>0.13400000000000001</v>
      </c>
      <c r="G142">
        <v>0.03</v>
      </c>
      <c r="H142">
        <v>0.27500000000000002</v>
      </c>
      <c r="I142">
        <v>0.17299999999999999</v>
      </c>
      <c r="J142">
        <v>0.15</v>
      </c>
      <c r="K142">
        <v>0.12</v>
      </c>
      <c r="L142">
        <v>0.35049999999999998</v>
      </c>
      <c r="M142">
        <v>1.4279999999999999</v>
      </c>
      <c r="N142">
        <v>0.997</v>
      </c>
      <c r="O142">
        <v>0.82989999999999997</v>
      </c>
      <c r="P142">
        <v>4.2699999999999996</v>
      </c>
      <c r="Q142">
        <v>0</v>
      </c>
      <c r="R142">
        <v>5.8000000000000003E-2</v>
      </c>
      <c r="S142">
        <v>1.22</v>
      </c>
      <c r="T142">
        <v>1.0129999999999999</v>
      </c>
      <c r="U142">
        <v>1.6999999999999999E-3</v>
      </c>
      <c r="V142">
        <v>4.6290000000000003E-3</v>
      </c>
      <c r="W142">
        <v>8.7300000000000003E-2</v>
      </c>
      <c r="X142">
        <v>0</v>
      </c>
      <c r="Y142">
        <v>4.5599999999999996</v>
      </c>
      <c r="Z142">
        <v>23.75</v>
      </c>
      <c r="AA142">
        <v>1.25</v>
      </c>
      <c r="AB142">
        <v>0.12</v>
      </c>
      <c r="AC142">
        <v>4.0270000000000001</v>
      </c>
      <c r="AD142">
        <v>0.05</v>
      </c>
      <c r="AE142">
        <v>0</v>
      </c>
      <c r="AF142">
        <v>0.17399999999999999</v>
      </c>
      <c r="AG142">
        <v>0.58499999999999996</v>
      </c>
      <c r="AH142">
        <v>617.29999999999995</v>
      </c>
      <c r="AI142">
        <v>0.93200000000000005</v>
      </c>
      <c r="AJ142">
        <v>1272.5999999999999</v>
      </c>
      <c r="AK142">
        <v>0</v>
      </c>
      <c r="AL142">
        <v>746</v>
      </c>
      <c r="AM142">
        <v>0</v>
      </c>
      <c r="AN142">
        <v>6.8000000000000005E-2</v>
      </c>
      <c r="AO142">
        <v>0</v>
      </c>
      <c r="AP142">
        <v>6.4000000000000001E-2</v>
      </c>
      <c r="AQ142">
        <v>0.26</v>
      </c>
      <c r="AR142">
        <v>1.008</v>
      </c>
      <c r="AS142">
        <v>7.3999999999999996E-2</v>
      </c>
      <c r="AT142">
        <v>0.12</v>
      </c>
      <c r="AU142">
        <v>9.8000000000000004E-2</v>
      </c>
      <c r="AV142">
        <v>0</v>
      </c>
      <c r="AW142">
        <v>2.8759999999999999</v>
      </c>
      <c r="AX142">
        <v>474.00599999999997</v>
      </c>
      <c r="AY142">
        <v>2.1320000000000001</v>
      </c>
      <c r="AZ142">
        <v>0.16106599999999999</v>
      </c>
      <c r="BA142">
        <v>0.94</v>
      </c>
      <c r="BB142">
        <v>9.4E-2</v>
      </c>
      <c r="BC142">
        <v>1.4999999999999999E-2</v>
      </c>
      <c r="BD142">
        <v>5.2080000000000002</v>
      </c>
      <c r="BE142">
        <v>0.95365999999999995</v>
      </c>
      <c r="BF142">
        <v>84.83</v>
      </c>
      <c r="BG142">
        <v>3.81</v>
      </c>
      <c r="BH142">
        <v>1.3450000000000002</v>
      </c>
      <c r="BI142">
        <v>0.72</v>
      </c>
      <c r="BJ142">
        <v>1.647</v>
      </c>
      <c r="BK142">
        <v>2.2559999999999998</v>
      </c>
      <c r="BL142">
        <v>3.7100000000000001E-2</v>
      </c>
      <c r="BM142">
        <v>1.81</v>
      </c>
      <c r="BN142">
        <v>0.13</v>
      </c>
      <c r="BO142">
        <v>0.69520000000000004</v>
      </c>
      <c r="BP142">
        <v>7.9908000000000007E-2</v>
      </c>
      <c r="BQ142">
        <v>0</v>
      </c>
      <c r="BR142">
        <v>0</v>
      </c>
      <c r="BS142">
        <v>0.34300000000000003</v>
      </c>
      <c r="BT142">
        <v>7.0000000000000007E-2</v>
      </c>
      <c r="BU142">
        <v>8.4829999999999992E-3</v>
      </c>
      <c r="BV142">
        <v>2.0559999999999998E-2</v>
      </c>
      <c r="BW142">
        <v>0.39100000000000001</v>
      </c>
      <c r="BX142">
        <v>0.39100000000000001</v>
      </c>
      <c r="BY142">
        <v>0</v>
      </c>
      <c r="BZ142">
        <v>1.7000000000000001E-2</v>
      </c>
      <c r="CA142">
        <v>8.0000000000000002E-3</v>
      </c>
      <c r="CB142">
        <v>1.0999999999999999E-2</v>
      </c>
      <c r="CC142">
        <v>0</v>
      </c>
      <c r="CD142">
        <v>0.44400000000000001</v>
      </c>
      <c r="CE142">
        <v>0.39099699999999998</v>
      </c>
      <c r="CF142">
        <v>0.32</v>
      </c>
      <c r="CG142">
        <v>1.4999999999999999E-2</v>
      </c>
      <c r="CH142">
        <v>1.37</v>
      </c>
      <c r="CI142">
        <v>6.8000000000000005E-2</v>
      </c>
      <c r="CJ142">
        <v>0</v>
      </c>
      <c r="CK142">
        <v>0</v>
      </c>
      <c r="CL142">
        <v>1.51</v>
      </c>
      <c r="CM142">
        <v>0.06</v>
      </c>
      <c r="CN142">
        <v>6.1545454545454542E-3</v>
      </c>
      <c r="CO142">
        <v>0</v>
      </c>
      <c r="CP142">
        <v>5.1999999999999998E-2</v>
      </c>
      <c r="CQ142">
        <v>6.8999999999999999E-3</v>
      </c>
      <c r="CR142">
        <v>5.0000000000000001E-4</v>
      </c>
      <c r="CS142">
        <v>6.7000000000000002E-3</v>
      </c>
      <c r="CT142">
        <v>2.3E-2</v>
      </c>
      <c r="CU142">
        <v>1.2999999999999999E-2</v>
      </c>
      <c r="CV142">
        <v>4.1533E-2</v>
      </c>
      <c r="CW142">
        <v>7.0000000000000007E-2</v>
      </c>
      <c r="CX142">
        <v>1.9E-2</v>
      </c>
      <c r="CY142">
        <v>0</v>
      </c>
      <c r="CZ142">
        <v>1.2E-2</v>
      </c>
      <c r="DA142">
        <v>0.02</v>
      </c>
    </row>
    <row r="143" spans="1:105" x14ac:dyDescent="0.25">
      <c r="A143" s="1">
        <v>44500</v>
      </c>
      <c r="B143">
        <v>4.0300000000000002E-2</v>
      </c>
      <c r="C143">
        <v>8.2000000000000003E-2</v>
      </c>
      <c r="D143">
        <v>2.88</v>
      </c>
      <c r="E143">
        <v>0.124485</v>
      </c>
      <c r="F143">
        <v>0.14699999999999999</v>
      </c>
      <c r="G143">
        <v>0.04</v>
      </c>
      <c r="H143">
        <v>0.35599999999999998</v>
      </c>
      <c r="I143">
        <v>0.182</v>
      </c>
      <c r="J143">
        <v>0.26</v>
      </c>
      <c r="K143">
        <v>0.123</v>
      </c>
      <c r="L143">
        <v>0.40670000000000001</v>
      </c>
      <c r="M143">
        <v>1.6619999999999999</v>
      </c>
      <c r="N143">
        <v>1.2230000000000001</v>
      </c>
      <c r="O143">
        <v>0.90190000000000003</v>
      </c>
      <c r="P143">
        <v>4.6920000000000002</v>
      </c>
      <c r="Q143">
        <v>0</v>
      </c>
      <c r="R143">
        <v>6.8000000000000005E-2</v>
      </c>
      <c r="S143">
        <v>1.44</v>
      </c>
      <c r="T143">
        <v>1.087</v>
      </c>
      <c r="U143">
        <v>2.7E-2</v>
      </c>
      <c r="V143">
        <v>4.6629999999999996E-3</v>
      </c>
      <c r="W143">
        <v>0.14069999999999999</v>
      </c>
      <c r="X143">
        <v>0</v>
      </c>
      <c r="Y143">
        <v>5.53</v>
      </c>
      <c r="Z143">
        <v>29.13</v>
      </c>
      <c r="AA143">
        <v>0.64</v>
      </c>
      <c r="AB143">
        <v>0.115</v>
      </c>
      <c r="AC143">
        <v>4.8639999999999999</v>
      </c>
      <c r="AD143">
        <v>0.09</v>
      </c>
      <c r="AE143">
        <v>0</v>
      </c>
      <c r="AF143">
        <v>0.16900000000000001</v>
      </c>
      <c r="AG143">
        <v>0.64400000000000002</v>
      </c>
      <c r="AH143">
        <v>513.9</v>
      </c>
      <c r="AI143">
        <v>0.78</v>
      </c>
      <c r="AJ143">
        <v>973.4</v>
      </c>
      <c r="AK143">
        <v>0</v>
      </c>
      <c r="AL143">
        <v>812.1</v>
      </c>
      <c r="AM143">
        <v>0</v>
      </c>
      <c r="AN143">
        <v>6.8000000000000005E-2</v>
      </c>
      <c r="AO143">
        <v>0</v>
      </c>
      <c r="AP143">
        <v>6.4000000000000001E-2</v>
      </c>
      <c r="AQ143">
        <v>0.26</v>
      </c>
      <c r="AR143">
        <v>1.008</v>
      </c>
      <c r="AS143">
        <v>0</v>
      </c>
      <c r="AT143">
        <v>0</v>
      </c>
      <c r="AU143">
        <v>0.106</v>
      </c>
      <c r="AV143">
        <v>0</v>
      </c>
      <c r="AW143">
        <v>3.16</v>
      </c>
      <c r="AX143">
        <v>537.12</v>
      </c>
      <c r="AY143">
        <v>2.5446666666666666</v>
      </c>
      <c r="AZ143">
        <v>0.238483</v>
      </c>
      <c r="BA143">
        <v>1.01</v>
      </c>
      <c r="BB143">
        <v>9.4E-2</v>
      </c>
      <c r="BC143">
        <v>1.4E-2</v>
      </c>
      <c r="BD143">
        <v>6.8550000000000004</v>
      </c>
      <c r="BE143">
        <v>1.01935</v>
      </c>
      <c r="BF143">
        <v>91.68</v>
      </c>
      <c r="BG143">
        <v>3.54</v>
      </c>
      <c r="BH143">
        <v>1.62</v>
      </c>
      <c r="BI143">
        <v>0.66</v>
      </c>
      <c r="BJ143">
        <v>1.609</v>
      </c>
      <c r="BK143">
        <v>2.9449999999999998</v>
      </c>
      <c r="BL143">
        <v>3.925E-2</v>
      </c>
      <c r="BM143">
        <v>1.43</v>
      </c>
      <c r="BN143">
        <v>0.16</v>
      </c>
      <c r="BO143">
        <v>0.80359999999999998</v>
      </c>
      <c r="BP143">
        <v>8.6230000000000001E-2</v>
      </c>
      <c r="BQ143">
        <v>0</v>
      </c>
      <c r="BR143">
        <v>0</v>
      </c>
      <c r="BS143">
        <v>0.34599999999999997</v>
      </c>
      <c r="BT143">
        <v>7.2000000000000002E-5</v>
      </c>
      <c r="BU143">
        <v>1.0354E-2</v>
      </c>
      <c r="BV143">
        <v>1.883E-2</v>
      </c>
      <c r="BW143">
        <v>0.42699999999999999</v>
      </c>
      <c r="BX143">
        <v>0.42699999999999999</v>
      </c>
      <c r="BY143">
        <v>0</v>
      </c>
      <c r="BZ143">
        <v>0.02</v>
      </c>
      <c r="CA143">
        <v>8.0000000000000002E-3</v>
      </c>
      <c r="CB143">
        <v>8.0000000000000002E-3</v>
      </c>
      <c r="CC143">
        <v>0</v>
      </c>
      <c r="CD143">
        <v>0.66700000000000004</v>
      </c>
      <c r="CE143">
        <v>0.39911099999999999</v>
      </c>
      <c r="CF143">
        <v>0.4249</v>
      </c>
      <c r="CG143">
        <v>2.1999999999999999E-2</v>
      </c>
      <c r="CH143">
        <v>2.1840000000000002</v>
      </c>
      <c r="CI143">
        <v>0.09</v>
      </c>
      <c r="CJ143">
        <v>0</v>
      </c>
      <c r="CK143">
        <v>0</v>
      </c>
      <c r="CL143">
        <v>1.71</v>
      </c>
      <c r="CM143">
        <v>7.0000000000000007E-2</v>
      </c>
      <c r="CN143">
        <v>6.763636363636364E-3</v>
      </c>
      <c r="CO143">
        <v>0</v>
      </c>
      <c r="CP143">
        <v>7.0999999999999994E-2</v>
      </c>
      <c r="CQ143">
        <v>5.7999999999999996E-3</v>
      </c>
      <c r="CR143">
        <v>6.9999999999999999E-4</v>
      </c>
      <c r="CS143">
        <v>9.5440000000000004E-3</v>
      </c>
      <c r="CT143">
        <v>2.5000000000000001E-2</v>
      </c>
      <c r="CU143">
        <v>1.3299999999999999E-2</v>
      </c>
      <c r="CV143">
        <v>4.2323E-2</v>
      </c>
      <c r="CW143">
        <v>8.8999999999999996E-2</v>
      </c>
      <c r="CX143">
        <v>1.9E-2</v>
      </c>
      <c r="CY143">
        <v>0</v>
      </c>
      <c r="CZ143">
        <v>1.4999999999999999E-2</v>
      </c>
      <c r="DA143">
        <v>0.02</v>
      </c>
    </row>
    <row r="144" spans="1:105" x14ac:dyDescent="0.25">
      <c r="A144" s="1">
        <v>44530</v>
      </c>
      <c r="B144">
        <v>1.1999999999999999E-3</v>
      </c>
      <c r="C144">
        <v>0.05</v>
      </c>
      <c r="D144">
        <v>2.52</v>
      </c>
      <c r="E144">
        <v>0.12259299999999999</v>
      </c>
      <c r="F144">
        <v>0.13300000000000001</v>
      </c>
      <c r="G144">
        <v>2.3E-2</v>
      </c>
      <c r="H144">
        <v>0.28499999999999998</v>
      </c>
      <c r="I144">
        <v>0.154</v>
      </c>
      <c r="J144">
        <v>0.15</v>
      </c>
      <c r="K144">
        <v>0.112</v>
      </c>
      <c r="L144">
        <v>0.36399999999999999</v>
      </c>
      <c r="M144">
        <v>1.478</v>
      </c>
      <c r="N144">
        <v>1.014</v>
      </c>
      <c r="O144">
        <v>0.88560000000000005</v>
      </c>
      <c r="P144">
        <v>4.1669999999999998</v>
      </c>
      <c r="Q144">
        <v>0</v>
      </c>
      <c r="R144">
        <v>0.05</v>
      </c>
      <c r="S144">
        <v>1.05</v>
      </c>
      <c r="T144">
        <v>1.024</v>
      </c>
      <c r="U144">
        <v>1.6000000000000001E-3</v>
      </c>
      <c r="V144">
        <v>3.6840000000000002E-3</v>
      </c>
      <c r="W144">
        <v>0.13830000000000001</v>
      </c>
      <c r="X144">
        <v>0</v>
      </c>
      <c r="Y144">
        <v>4.79</v>
      </c>
      <c r="Z144">
        <v>28.55</v>
      </c>
      <c r="AA144">
        <v>0.19</v>
      </c>
      <c r="AB144">
        <v>0.106</v>
      </c>
      <c r="AC144">
        <v>4.343</v>
      </c>
      <c r="AD144">
        <v>0.08</v>
      </c>
      <c r="AE144">
        <v>0</v>
      </c>
      <c r="AF144">
        <v>0.14599999999999999</v>
      </c>
      <c r="AG144">
        <v>0.63400000000000001</v>
      </c>
      <c r="AH144">
        <v>363</v>
      </c>
      <c r="AI144">
        <v>0.71699999999999997</v>
      </c>
      <c r="AJ144">
        <v>691</v>
      </c>
      <c r="AK144">
        <v>0</v>
      </c>
      <c r="AL144">
        <v>478.7</v>
      </c>
      <c r="AM144">
        <v>0</v>
      </c>
      <c r="AN144">
        <v>6.8000000000000005E-2</v>
      </c>
      <c r="AO144">
        <v>0</v>
      </c>
      <c r="AP144">
        <v>6.4000000000000001E-2</v>
      </c>
      <c r="AQ144">
        <v>0.26</v>
      </c>
      <c r="AR144">
        <v>1.008</v>
      </c>
      <c r="AS144">
        <v>0</v>
      </c>
      <c r="AT144">
        <v>0</v>
      </c>
      <c r="AU144">
        <v>9.4E-2</v>
      </c>
      <c r="AV144">
        <v>0</v>
      </c>
      <c r="AW144">
        <v>2.8919999999999999</v>
      </c>
      <c r="AX144">
        <v>537.12</v>
      </c>
      <c r="AY144">
        <v>2.9573333333333336</v>
      </c>
      <c r="AZ144">
        <v>0.17796600000000001</v>
      </c>
      <c r="BA144">
        <v>0.92</v>
      </c>
      <c r="BB144">
        <v>8.7999999999999995E-2</v>
      </c>
      <c r="BC144">
        <v>8.9999999999999993E-3</v>
      </c>
      <c r="BD144">
        <v>6.12</v>
      </c>
      <c r="BE144">
        <v>0.11051999999999999</v>
      </c>
      <c r="BF144">
        <v>82.6</v>
      </c>
      <c r="BG144">
        <v>3.77</v>
      </c>
      <c r="BH144">
        <v>0.76</v>
      </c>
      <c r="BI144">
        <v>0.47</v>
      </c>
      <c r="BJ144">
        <v>1.552</v>
      </c>
      <c r="BK144">
        <v>2.363</v>
      </c>
      <c r="BL144">
        <v>3.8699999999999998E-2</v>
      </c>
      <c r="BM144">
        <v>1.37</v>
      </c>
      <c r="BN144">
        <v>0.17</v>
      </c>
      <c r="BO144">
        <v>0.65500000000000003</v>
      </c>
      <c r="BP144">
        <v>8.6605000000000001E-2</v>
      </c>
      <c r="BQ144">
        <v>0</v>
      </c>
      <c r="BR144">
        <v>0</v>
      </c>
      <c r="BS144">
        <v>0.34499999999999997</v>
      </c>
      <c r="BT144">
        <v>5.3000000000000001E-5</v>
      </c>
      <c r="BU144">
        <v>9.2049999999999996E-3</v>
      </c>
      <c r="BV144">
        <v>1.9779999999999999E-2</v>
      </c>
      <c r="BW144">
        <v>0.42299999999999999</v>
      </c>
      <c r="BX144">
        <v>0.42299999999999999</v>
      </c>
      <c r="BY144">
        <v>0</v>
      </c>
      <c r="BZ144">
        <v>1.7000000000000001E-2</v>
      </c>
      <c r="CA144">
        <v>8.0000000000000002E-3</v>
      </c>
      <c r="CB144">
        <v>0.01</v>
      </c>
      <c r="CC144">
        <v>0</v>
      </c>
      <c r="CD144">
        <v>0.51400000000000001</v>
      </c>
      <c r="CE144">
        <v>0.41348499999999999</v>
      </c>
      <c r="CF144">
        <v>0.38119999999999998</v>
      </c>
      <c r="CG144">
        <v>1.4E-2</v>
      </c>
      <c r="CH144">
        <v>1.7</v>
      </c>
      <c r="CI144">
        <v>0.08</v>
      </c>
      <c r="CJ144">
        <v>0</v>
      </c>
      <c r="CK144">
        <v>0</v>
      </c>
      <c r="CL144">
        <v>1.57</v>
      </c>
      <c r="CM144">
        <v>7.5999999999999998E-2</v>
      </c>
      <c r="CN144">
        <v>7.3727272727272721E-3</v>
      </c>
      <c r="CO144">
        <v>0</v>
      </c>
      <c r="CP144">
        <v>0.08</v>
      </c>
      <c r="CQ144">
        <v>6.8999999999999999E-3</v>
      </c>
      <c r="CR144">
        <v>6.9999999999999999E-4</v>
      </c>
      <c r="CS144">
        <v>5.0213999999999996E-3</v>
      </c>
      <c r="CT144">
        <v>2.7E-2</v>
      </c>
      <c r="CU144">
        <v>0.02</v>
      </c>
      <c r="CV144">
        <v>4.2200000000000001E-2</v>
      </c>
      <c r="CW144">
        <v>8.5000000000000006E-2</v>
      </c>
      <c r="CX144">
        <v>1.7999999999999999E-2</v>
      </c>
      <c r="CY144">
        <v>0</v>
      </c>
      <c r="CZ144">
        <v>1.4E-2</v>
      </c>
      <c r="DA144">
        <v>0.02</v>
      </c>
    </row>
    <row r="145" spans="1:105" x14ac:dyDescent="0.25">
      <c r="A145" s="1">
        <v>44561</v>
      </c>
      <c r="B145">
        <v>3.5999999999999999E-3</v>
      </c>
      <c r="C145">
        <v>3.5000000000000003E-2</v>
      </c>
      <c r="D145">
        <v>2.4500000000000002</v>
      </c>
      <c r="E145">
        <v>0.108528</v>
      </c>
      <c r="F145">
        <v>0.126</v>
      </c>
      <c r="G145">
        <v>2.3E-2</v>
      </c>
      <c r="H145">
        <v>0.27100000000000002</v>
      </c>
      <c r="I145">
        <v>1.3899999999999999E-2</v>
      </c>
      <c r="J145">
        <v>0.17</v>
      </c>
      <c r="K145">
        <v>0.111</v>
      </c>
      <c r="L145">
        <v>0.34210000000000002</v>
      </c>
      <c r="M145">
        <v>1.508</v>
      </c>
      <c r="N145">
        <v>0.96699999999999997</v>
      </c>
      <c r="O145">
        <v>0.80779999999999996</v>
      </c>
      <c r="P145">
        <v>3.8260000000000001</v>
      </c>
      <c r="Q145">
        <v>0</v>
      </c>
      <c r="R145">
        <v>5.0999999999999997E-2</v>
      </c>
      <c r="S145">
        <v>1.1100000000000001</v>
      </c>
      <c r="T145">
        <v>0.95</v>
      </c>
      <c r="U145">
        <v>2E-3</v>
      </c>
      <c r="V145">
        <v>4.156E-3</v>
      </c>
      <c r="W145">
        <v>0.11890000000000001</v>
      </c>
      <c r="X145">
        <v>0</v>
      </c>
      <c r="Y145">
        <v>4.6500000000000004</v>
      </c>
      <c r="Z145">
        <v>28.32</v>
      </c>
      <c r="AA145">
        <v>0.21</v>
      </c>
      <c r="AB145">
        <v>0.10199999999999999</v>
      </c>
      <c r="AC145">
        <v>4.1769999999999996</v>
      </c>
      <c r="AD145">
        <v>0.08</v>
      </c>
      <c r="AE145">
        <v>0</v>
      </c>
      <c r="AF145">
        <v>0.14499999999999999</v>
      </c>
      <c r="AG145">
        <v>0.56999999999999995</v>
      </c>
      <c r="AH145">
        <v>198.26</v>
      </c>
      <c r="AI145">
        <v>1.026</v>
      </c>
      <c r="AJ145">
        <v>1068.1199999999999</v>
      </c>
      <c r="AK145">
        <v>0</v>
      </c>
      <c r="AL145">
        <v>336.2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8.8999999999999996E-2</v>
      </c>
      <c r="AV145">
        <v>0</v>
      </c>
      <c r="AW145">
        <v>2.8149999999999999</v>
      </c>
      <c r="AX145">
        <v>537.12</v>
      </c>
      <c r="AY145">
        <v>3.37</v>
      </c>
      <c r="AZ145">
        <v>0.14299999999999999</v>
      </c>
      <c r="BA145">
        <v>0.91</v>
      </c>
      <c r="BB145">
        <v>8.7999999999999995E-2</v>
      </c>
      <c r="BC145">
        <v>0.01</v>
      </c>
      <c r="BD145">
        <v>6.1059999999999999</v>
      </c>
      <c r="BE145">
        <v>0.13262399999999999</v>
      </c>
      <c r="BF145">
        <v>83.63</v>
      </c>
      <c r="BG145">
        <v>3.7</v>
      </c>
      <c r="BH145">
        <v>0.52</v>
      </c>
      <c r="BI145">
        <v>0.3</v>
      </c>
      <c r="BJ145">
        <v>1.431</v>
      </c>
      <c r="BK145">
        <v>2.109</v>
      </c>
      <c r="BL145">
        <v>2.7900000000000001E-2</v>
      </c>
      <c r="BM145">
        <v>1.75</v>
      </c>
      <c r="BN145">
        <v>0.16</v>
      </c>
      <c r="BO145">
        <v>0.63439999999999996</v>
      </c>
      <c r="BP145">
        <v>8.7228E-2</v>
      </c>
      <c r="BQ145">
        <v>0</v>
      </c>
      <c r="BR145">
        <v>0</v>
      </c>
      <c r="BS145">
        <v>0.26600000000000001</v>
      </c>
      <c r="BT145">
        <v>8.5000000000000006E-5</v>
      </c>
      <c r="BU145">
        <v>8.4419999999999999E-3</v>
      </c>
      <c r="BV145">
        <v>1.6930000000000001E-2</v>
      </c>
      <c r="BW145">
        <v>0.435</v>
      </c>
      <c r="BX145">
        <v>0.435</v>
      </c>
      <c r="BY145">
        <v>0</v>
      </c>
      <c r="BZ145">
        <v>2.5999999999999999E-2</v>
      </c>
      <c r="CA145">
        <v>6.7999999999999996E-3</v>
      </c>
      <c r="CB145">
        <v>0.01</v>
      </c>
      <c r="CC145">
        <v>0</v>
      </c>
      <c r="CD145">
        <v>0.52900000000000003</v>
      </c>
      <c r="CE145">
        <v>0.38439899999999999</v>
      </c>
      <c r="CF145">
        <v>0.47</v>
      </c>
      <c r="CG145">
        <v>1.7000000000000001E-2</v>
      </c>
      <c r="CH145">
        <v>1.46</v>
      </c>
      <c r="CI145">
        <v>0.09</v>
      </c>
      <c r="CJ145">
        <v>0</v>
      </c>
      <c r="CK145">
        <v>0</v>
      </c>
      <c r="CL145">
        <v>1.56</v>
      </c>
      <c r="CM145">
        <v>7.0000000000000007E-2</v>
      </c>
      <c r="CN145">
        <v>7.9818181818181819E-3</v>
      </c>
      <c r="CO145">
        <v>0</v>
      </c>
      <c r="CP145">
        <v>8.8999999999999996E-2</v>
      </c>
      <c r="CQ145">
        <v>7.1999999999999998E-3</v>
      </c>
      <c r="CR145">
        <v>5.9999999999999995E-4</v>
      </c>
      <c r="CS145">
        <v>4.1082999999999996E-3</v>
      </c>
      <c r="CT145">
        <v>0.03</v>
      </c>
      <c r="CU145">
        <v>2.5700000000000001E-2</v>
      </c>
      <c r="CV145">
        <v>4.2200000000000001E-2</v>
      </c>
      <c r="CW145">
        <v>9.4E-2</v>
      </c>
      <c r="CX145">
        <v>1.7999999999999999E-2</v>
      </c>
      <c r="CY145">
        <v>0</v>
      </c>
      <c r="CZ145">
        <v>1.4E-2</v>
      </c>
      <c r="DA145">
        <v>0.02</v>
      </c>
    </row>
    <row r="146" spans="1:105" x14ac:dyDescent="0.25">
      <c r="A146" s="1">
        <v>44592</v>
      </c>
      <c r="B146">
        <v>1.8100000000000002E-2</v>
      </c>
      <c r="C146">
        <v>4.9000000000000002E-2</v>
      </c>
      <c r="D146">
        <v>2.41</v>
      </c>
      <c r="E146">
        <v>0.115157</v>
      </c>
      <c r="F146">
        <v>0.121</v>
      </c>
      <c r="G146">
        <v>0.02</v>
      </c>
      <c r="H146">
        <v>0.28899999999999998</v>
      </c>
      <c r="I146">
        <v>0.15</v>
      </c>
      <c r="J146">
        <v>0.13</v>
      </c>
      <c r="K146">
        <v>9.8000000000000004E-2</v>
      </c>
      <c r="L146">
        <v>0.32690000000000002</v>
      </c>
      <c r="M146">
        <v>1.4690000000000001</v>
      </c>
      <c r="N146">
        <v>1.0609999999999999</v>
      </c>
      <c r="O146">
        <v>0.75229999999999997</v>
      </c>
      <c r="P146">
        <v>3.7280000000000002</v>
      </c>
      <c r="Q146">
        <v>0</v>
      </c>
      <c r="R146">
        <v>5.5E-2</v>
      </c>
      <c r="S146">
        <v>1.17</v>
      </c>
      <c r="T146">
        <v>0.94</v>
      </c>
      <c r="U146">
        <v>5.9999999999999995E-4</v>
      </c>
      <c r="V146">
        <v>2.2959999999999999E-3</v>
      </c>
      <c r="W146">
        <v>7.4999999999999997E-2</v>
      </c>
      <c r="X146">
        <v>0</v>
      </c>
      <c r="Y146">
        <v>4.3499999999999996</v>
      </c>
      <c r="Z146">
        <v>28.12</v>
      </c>
      <c r="AA146">
        <v>0.31</v>
      </c>
      <c r="AB146">
        <v>0.10100000000000001</v>
      </c>
      <c r="AC146">
        <v>3.992</v>
      </c>
      <c r="AD146">
        <v>0.06</v>
      </c>
      <c r="AE146">
        <v>0</v>
      </c>
      <c r="AF146">
        <v>0.11700000000000001</v>
      </c>
      <c r="AG146">
        <v>0.55300000000000005</v>
      </c>
      <c r="AH146">
        <v>304.52999999999997</v>
      </c>
      <c r="AI146">
        <v>1.2110000000000001</v>
      </c>
      <c r="AJ146">
        <v>1209.1400000000001</v>
      </c>
      <c r="AK146">
        <v>0</v>
      </c>
      <c r="AL146">
        <v>592.79999999999995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0.08</v>
      </c>
      <c r="AV146">
        <v>0</v>
      </c>
      <c r="AW146">
        <v>2.7090000000000001</v>
      </c>
      <c r="AX146">
        <v>537.12</v>
      </c>
      <c r="AY146">
        <v>3.089</v>
      </c>
      <c r="AZ146">
        <v>0.14099999999999999</v>
      </c>
      <c r="BA146">
        <v>0.9</v>
      </c>
      <c r="BB146">
        <v>8.4000000000000005E-2</v>
      </c>
      <c r="BC146">
        <v>1.2E-2</v>
      </c>
      <c r="BD146">
        <v>5.9509999999999996</v>
      </c>
      <c r="BE146">
        <v>0.15472799999999998</v>
      </c>
      <c r="BF146">
        <v>79.099999999999994</v>
      </c>
      <c r="BG146">
        <v>3.51</v>
      </c>
      <c r="BH146">
        <v>0.59000000000000008</v>
      </c>
      <c r="BI146">
        <v>0.49</v>
      </c>
      <c r="BJ146">
        <v>1.3759999999999999</v>
      </c>
      <c r="BK146">
        <v>1.968</v>
      </c>
      <c r="BL146">
        <v>2.4400000000000002E-2</v>
      </c>
      <c r="BM146">
        <v>1.7</v>
      </c>
      <c r="BN146">
        <v>0.16</v>
      </c>
      <c r="BO146">
        <v>0.67349999999999999</v>
      </c>
      <c r="BP146">
        <v>8.4582000000000004E-2</v>
      </c>
      <c r="BQ146">
        <v>0</v>
      </c>
      <c r="BR146">
        <v>0</v>
      </c>
      <c r="BS146">
        <v>0.26800000000000002</v>
      </c>
      <c r="BT146">
        <v>8.5000000000000006E-2</v>
      </c>
      <c r="BU146">
        <v>1.2004000000000001E-2</v>
      </c>
      <c r="BV146">
        <v>1.6760000000000001E-2</v>
      </c>
      <c r="BW146">
        <v>0.437</v>
      </c>
      <c r="BX146">
        <v>0.437</v>
      </c>
      <c r="BY146">
        <v>0</v>
      </c>
      <c r="BZ146">
        <v>0.02</v>
      </c>
      <c r="CA146">
        <v>1.0999999999999999E-2</v>
      </c>
      <c r="CB146">
        <v>8.0000000000000002E-3</v>
      </c>
      <c r="CC146">
        <v>0</v>
      </c>
      <c r="CD146">
        <v>0.54800000000000004</v>
      </c>
      <c r="CE146">
        <v>0.41261500000000001</v>
      </c>
      <c r="CF146">
        <v>0.57950000000000002</v>
      </c>
      <c r="CG146">
        <v>1.2999999999999999E-2</v>
      </c>
      <c r="CH146">
        <v>1.5</v>
      </c>
      <c r="CI146">
        <v>0.09</v>
      </c>
      <c r="CJ146">
        <v>0</v>
      </c>
      <c r="CK146">
        <v>0</v>
      </c>
      <c r="CL146">
        <v>1.79</v>
      </c>
      <c r="CM146">
        <v>0.08</v>
      </c>
      <c r="CN146">
        <v>8.59090909090909E-3</v>
      </c>
      <c r="CO146">
        <v>0</v>
      </c>
      <c r="CP146">
        <v>7.9000000000000001E-2</v>
      </c>
      <c r="CQ146">
        <v>6.7000000000000002E-3</v>
      </c>
      <c r="CR146">
        <v>1.72E-3</v>
      </c>
      <c r="CS146">
        <v>4.3353000000000003E-3</v>
      </c>
      <c r="CT146">
        <v>2.7E-2</v>
      </c>
      <c r="CU146">
        <v>2.92E-2</v>
      </c>
      <c r="CV146">
        <v>4.2839000000000002E-2</v>
      </c>
      <c r="CW146">
        <v>9.7000000000000003E-2</v>
      </c>
      <c r="CX146">
        <v>2.1000000000000001E-2</v>
      </c>
      <c r="CY146">
        <v>0</v>
      </c>
      <c r="CZ146">
        <v>1.4999999999999999E-2</v>
      </c>
      <c r="DA146">
        <v>0.02</v>
      </c>
    </row>
    <row r="147" spans="1:105" x14ac:dyDescent="0.25">
      <c r="A147" s="1">
        <v>44620</v>
      </c>
      <c r="B147">
        <v>2.5000000000000001E-2</v>
      </c>
      <c r="C147">
        <v>4.7E-2</v>
      </c>
      <c r="D147">
        <v>2.42</v>
      </c>
      <c r="E147">
        <v>0.122715</v>
      </c>
      <c r="F147">
        <v>0.128</v>
      </c>
      <c r="G147">
        <v>0.03</v>
      </c>
      <c r="H147">
        <v>0.29499999999999998</v>
      </c>
      <c r="I147">
        <v>0.16800000000000001</v>
      </c>
      <c r="J147">
        <v>0.19</v>
      </c>
      <c r="K147">
        <v>9.2999999999999999E-2</v>
      </c>
      <c r="L147">
        <v>0.37680000000000002</v>
      </c>
      <c r="M147">
        <v>1.506</v>
      </c>
      <c r="N147">
        <v>1.2330000000000001</v>
      </c>
      <c r="O147">
        <v>0.77900000000000003</v>
      </c>
      <c r="P147">
        <v>3.8260000000000001</v>
      </c>
      <c r="Q147">
        <v>0</v>
      </c>
      <c r="R147">
        <v>6.4000000000000001E-2</v>
      </c>
      <c r="S147">
        <v>1.2</v>
      </c>
      <c r="T147">
        <v>0.94</v>
      </c>
      <c r="U147">
        <v>1.1000000000000001E-3</v>
      </c>
      <c r="V147">
        <v>2.4169999999999999E-3</v>
      </c>
      <c r="W147">
        <v>0.1004</v>
      </c>
      <c r="X147">
        <v>0</v>
      </c>
      <c r="Y147">
        <v>5.85</v>
      </c>
      <c r="Z147">
        <v>30.5</v>
      </c>
      <c r="AA147">
        <v>0.7</v>
      </c>
      <c r="AB147">
        <v>0.10199999999999999</v>
      </c>
      <c r="AC147">
        <v>4.4009999999999998</v>
      </c>
      <c r="AD147">
        <v>0.04</v>
      </c>
      <c r="AE147">
        <v>0</v>
      </c>
      <c r="AF147">
        <v>0.13100000000000001</v>
      </c>
      <c r="AG147">
        <v>0.56100000000000005</v>
      </c>
      <c r="AH147">
        <v>351.72</v>
      </c>
      <c r="AI147">
        <v>0.98199999999999998</v>
      </c>
      <c r="AJ147">
        <v>1209.5999999999999</v>
      </c>
      <c r="AK147">
        <v>0</v>
      </c>
      <c r="AL147">
        <v>571.29999999999995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0.08</v>
      </c>
      <c r="AV147">
        <v>0</v>
      </c>
      <c r="AW147">
        <v>2.9239999999999999</v>
      </c>
      <c r="AX147">
        <v>519.46100000000001</v>
      </c>
      <c r="AY147">
        <v>1.504</v>
      </c>
      <c r="AZ147">
        <v>0.16800000000000001</v>
      </c>
      <c r="BA147">
        <v>0.96</v>
      </c>
      <c r="BB147">
        <v>8.7999999999999995E-2</v>
      </c>
      <c r="BC147">
        <v>1.2E-2</v>
      </c>
      <c r="BD147">
        <v>5.6664999999999992</v>
      </c>
      <c r="BE147">
        <v>0.17683199999999999</v>
      </c>
      <c r="BF147">
        <v>82.46</v>
      </c>
      <c r="BG147">
        <v>4.03</v>
      </c>
      <c r="BH147">
        <v>0.66</v>
      </c>
      <c r="BI147">
        <v>0.41</v>
      </c>
      <c r="BJ147">
        <v>1.4870000000000001</v>
      </c>
      <c r="BK147">
        <v>2.2400000000000002</v>
      </c>
      <c r="BL147">
        <v>2.46E-2</v>
      </c>
      <c r="BM147">
        <v>1.88</v>
      </c>
      <c r="BN147">
        <v>0.15</v>
      </c>
      <c r="BO147">
        <v>0.73480000000000001</v>
      </c>
      <c r="BP147">
        <v>5.5167000000000001E-2</v>
      </c>
      <c r="BQ147">
        <v>0</v>
      </c>
      <c r="BR147">
        <v>0</v>
      </c>
      <c r="BS147">
        <v>0.30399999999999999</v>
      </c>
      <c r="BT147">
        <v>9.5000000000000001E-2</v>
      </c>
      <c r="BU147">
        <v>9.7970000000000002E-3</v>
      </c>
      <c r="BV147">
        <v>1.9310000000000001E-2</v>
      </c>
      <c r="BW147">
        <v>0.49199999999999999</v>
      </c>
      <c r="BX147">
        <v>0.49199999999999999</v>
      </c>
      <c r="BY147">
        <v>0</v>
      </c>
      <c r="BZ147">
        <v>2.7E-2</v>
      </c>
      <c r="CA147">
        <v>8.9999999999999993E-3</v>
      </c>
      <c r="CB147">
        <v>0.01</v>
      </c>
      <c r="CC147">
        <v>0</v>
      </c>
      <c r="CD147">
        <v>0.65700000000000003</v>
      </c>
      <c r="CE147">
        <v>0.41083999999999998</v>
      </c>
      <c r="CF147">
        <v>0.71689999999999998</v>
      </c>
      <c r="CG147">
        <v>1.2999999999999999E-2</v>
      </c>
      <c r="CH147">
        <v>1.4970000000000001</v>
      </c>
      <c r="CI147">
        <v>0</v>
      </c>
      <c r="CJ147">
        <v>0</v>
      </c>
      <c r="CK147">
        <v>0</v>
      </c>
      <c r="CL147">
        <v>1.67</v>
      </c>
      <c r="CM147">
        <v>0.08</v>
      </c>
      <c r="CN147">
        <v>9.1999999999999998E-3</v>
      </c>
      <c r="CO147">
        <v>0</v>
      </c>
      <c r="CP147">
        <v>8.3000000000000004E-2</v>
      </c>
      <c r="CQ147">
        <v>6.8999999999999999E-3</v>
      </c>
      <c r="CR147">
        <v>1.8E-3</v>
      </c>
      <c r="CS147">
        <v>6.3533000000000001E-3</v>
      </c>
      <c r="CT147">
        <v>0.03</v>
      </c>
      <c r="CU147">
        <v>2.7400000000000001E-2</v>
      </c>
      <c r="CV147">
        <v>5.1035999999999998E-2</v>
      </c>
      <c r="CW147">
        <v>9.2999999999999999E-2</v>
      </c>
      <c r="CX147">
        <v>0.02</v>
      </c>
      <c r="CY147">
        <v>0</v>
      </c>
      <c r="CZ147">
        <v>1.4E-2</v>
      </c>
      <c r="DA147">
        <v>0.02</v>
      </c>
    </row>
    <row r="148" spans="1:105" x14ac:dyDescent="0.25">
      <c r="A148" s="1">
        <v>44651</v>
      </c>
      <c r="B148">
        <v>8.6999999999999994E-3</v>
      </c>
      <c r="C148">
        <v>5.8999999999999997E-2</v>
      </c>
      <c r="D148">
        <v>2.48</v>
      </c>
      <c r="E148">
        <v>0.117685</v>
      </c>
      <c r="F148">
        <v>0.11600000000000001</v>
      </c>
      <c r="G148">
        <v>0.03</v>
      </c>
      <c r="H148">
        <v>0.27300000000000002</v>
      </c>
      <c r="I148">
        <v>0.158</v>
      </c>
      <c r="J148">
        <v>0.13</v>
      </c>
      <c r="K148">
        <v>0.10100000000000001</v>
      </c>
      <c r="L148">
        <v>0.40720000000000001</v>
      </c>
      <c r="M148">
        <v>1.349</v>
      </c>
      <c r="N148">
        <v>1.0329999999999999</v>
      </c>
      <c r="O148">
        <v>0.70720000000000005</v>
      </c>
      <c r="P148">
        <v>3.6</v>
      </c>
      <c r="Q148">
        <v>0</v>
      </c>
      <c r="R148">
        <v>6.4000000000000001E-2</v>
      </c>
      <c r="S148">
        <v>1.04</v>
      </c>
      <c r="T148">
        <v>0.92900000000000005</v>
      </c>
      <c r="U148">
        <v>2.0000000000000001E-4</v>
      </c>
      <c r="V148">
        <v>3.7200000000000002E-3</v>
      </c>
      <c r="W148">
        <v>7.1199999999999999E-2</v>
      </c>
      <c r="X148">
        <v>0</v>
      </c>
      <c r="Y148">
        <v>4.82</v>
      </c>
      <c r="Z148">
        <v>24.04</v>
      </c>
      <c r="AA148">
        <v>6.62</v>
      </c>
      <c r="AB148">
        <v>0.10199999999999999</v>
      </c>
      <c r="AC148">
        <v>4.0640000000000001</v>
      </c>
      <c r="AD148">
        <v>0.04</v>
      </c>
      <c r="AE148">
        <v>0</v>
      </c>
      <c r="AF148">
        <v>0.13</v>
      </c>
      <c r="AG148">
        <v>0.54</v>
      </c>
      <c r="AH148">
        <v>166.24</v>
      </c>
      <c r="AI148">
        <v>0.27300000000000002</v>
      </c>
      <c r="AJ148">
        <v>1194.74</v>
      </c>
      <c r="AK148">
        <v>0</v>
      </c>
      <c r="AL148">
        <v>386.8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6.3E-2</v>
      </c>
      <c r="AV148">
        <v>0</v>
      </c>
      <c r="AW148">
        <v>2.7349999999999999</v>
      </c>
      <c r="AX148">
        <v>425.77</v>
      </c>
      <c r="AY148">
        <v>0</v>
      </c>
      <c r="AZ148">
        <v>0.14499999999999999</v>
      </c>
      <c r="BA148">
        <v>0.91</v>
      </c>
      <c r="BB148">
        <v>7.9000000000000001E-2</v>
      </c>
      <c r="BC148">
        <v>1.2E-2</v>
      </c>
      <c r="BD148">
        <v>5.3819999999999997</v>
      </c>
      <c r="BE148">
        <v>0.198936</v>
      </c>
      <c r="BF148">
        <v>77.23</v>
      </c>
      <c r="BG148">
        <v>3.7</v>
      </c>
      <c r="BH148">
        <v>0.75</v>
      </c>
      <c r="BI148">
        <v>0.47</v>
      </c>
      <c r="BJ148">
        <v>1.355</v>
      </c>
      <c r="BK148">
        <v>1.9970000000000001</v>
      </c>
      <c r="BL148">
        <v>2.46E-2</v>
      </c>
      <c r="BM148">
        <v>1.41</v>
      </c>
      <c r="BN148">
        <v>0.16</v>
      </c>
      <c r="BO148">
        <v>0.71750000000000003</v>
      </c>
      <c r="BP148">
        <v>0.11388</v>
      </c>
      <c r="BQ148">
        <v>0</v>
      </c>
      <c r="BR148">
        <v>0</v>
      </c>
      <c r="BS148">
        <v>0.34</v>
      </c>
      <c r="BT148">
        <v>8.8999999999999996E-2</v>
      </c>
      <c r="BU148">
        <v>9.4409999999999997E-3</v>
      </c>
      <c r="BV148">
        <v>1.6240000000000001E-2</v>
      </c>
      <c r="BW148">
        <v>0.47499999999999998</v>
      </c>
      <c r="BX148">
        <v>0.47499999999999998</v>
      </c>
      <c r="BY148">
        <v>0</v>
      </c>
      <c r="BZ148">
        <v>0.03</v>
      </c>
      <c r="CA148">
        <v>8.0000000000000002E-3</v>
      </c>
      <c r="CB148">
        <v>1.2E-2</v>
      </c>
      <c r="CC148">
        <v>0</v>
      </c>
      <c r="CD148">
        <v>0.61499999999999999</v>
      </c>
      <c r="CE148">
        <v>0.39934500000000001</v>
      </c>
      <c r="CF148">
        <v>0.57420000000000004</v>
      </c>
      <c r="CG148">
        <v>8.9999999999999993E-3</v>
      </c>
      <c r="CH148">
        <v>1.4590000000000001</v>
      </c>
      <c r="CI148">
        <v>0</v>
      </c>
      <c r="CJ148">
        <v>0</v>
      </c>
      <c r="CK148">
        <v>0</v>
      </c>
      <c r="CL148">
        <v>1.53</v>
      </c>
      <c r="CM148">
        <v>9.2999999999999999E-2</v>
      </c>
      <c r="CN148">
        <v>0</v>
      </c>
      <c r="CO148">
        <v>0</v>
      </c>
      <c r="CP148">
        <v>8.3000000000000004E-2</v>
      </c>
      <c r="CQ148">
        <v>5.7000000000000002E-3</v>
      </c>
      <c r="CR148">
        <v>1.6299999999999999E-3</v>
      </c>
      <c r="CS148">
        <v>4.8852000000000001E-3</v>
      </c>
      <c r="CT148">
        <v>2.9000000000000001E-2</v>
      </c>
      <c r="CU148">
        <v>2.76E-2</v>
      </c>
      <c r="CV148">
        <v>4.9097000000000002E-2</v>
      </c>
      <c r="CW148">
        <v>8.6999999999999994E-2</v>
      </c>
      <c r="CX148">
        <v>1.9E-2</v>
      </c>
      <c r="CY148">
        <v>0</v>
      </c>
      <c r="CZ148">
        <v>1.2999999999999999E-2</v>
      </c>
      <c r="DA148">
        <v>0.02</v>
      </c>
    </row>
    <row r="149" spans="1:105" x14ac:dyDescent="0.25">
      <c r="A149" s="1">
        <v>44681</v>
      </c>
      <c r="B149">
        <v>1.1299999999999999E-2</v>
      </c>
      <c r="C149">
        <v>6.9000000000000006E-2</v>
      </c>
      <c r="D149">
        <v>2.46</v>
      </c>
      <c r="E149">
        <v>0.11927599999999999</v>
      </c>
      <c r="F149">
        <v>0.11899999999999999</v>
      </c>
      <c r="G149">
        <v>3.2000000000000001E-2</v>
      </c>
      <c r="H149">
        <v>0.26500000000000001</v>
      </c>
      <c r="I149">
        <v>0.154</v>
      </c>
      <c r="J149">
        <v>0.16</v>
      </c>
      <c r="K149">
        <v>0.115</v>
      </c>
      <c r="L149">
        <v>0.39589999999999997</v>
      </c>
      <c r="M149">
        <v>1.323</v>
      </c>
      <c r="N149">
        <v>1.012</v>
      </c>
      <c r="O149">
        <v>0.69920000000000004</v>
      </c>
      <c r="P149">
        <v>3.6539999999999999</v>
      </c>
      <c r="Q149">
        <v>0</v>
      </c>
      <c r="R149">
        <v>6.5000000000000002E-2</v>
      </c>
      <c r="S149">
        <v>1.19</v>
      </c>
      <c r="T149">
        <v>0.91900000000000004</v>
      </c>
      <c r="U149">
        <v>5.0000000000000001E-4</v>
      </c>
      <c r="V149">
        <v>4.7920000000000003E-3</v>
      </c>
      <c r="W149">
        <v>7.9100000000000004E-2</v>
      </c>
      <c r="X149">
        <v>0</v>
      </c>
      <c r="Y149">
        <v>4.7300000000000004</v>
      </c>
      <c r="Z149">
        <v>24.38</v>
      </c>
      <c r="AA149">
        <v>6.77</v>
      </c>
      <c r="AB149">
        <v>0.11600000000000001</v>
      </c>
      <c r="AC149">
        <v>4.1269999999999998</v>
      </c>
      <c r="AD149">
        <v>0.05</v>
      </c>
      <c r="AE149">
        <v>0</v>
      </c>
      <c r="AF149">
        <v>0.14799999999999999</v>
      </c>
      <c r="AG149">
        <v>0.56100000000000005</v>
      </c>
      <c r="AH149">
        <v>292.43</v>
      </c>
      <c r="AI149">
        <v>0.183</v>
      </c>
      <c r="AJ149">
        <v>624</v>
      </c>
      <c r="AK149">
        <v>0</v>
      </c>
      <c r="AL149">
        <v>405.2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9.6000000000000002E-2</v>
      </c>
      <c r="AV149">
        <v>0</v>
      </c>
      <c r="AW149">
        <v>2.8809999999999998</v>
      </c>
      <c r="AX149">
        <v>537.12</v>
      </c>
      <c r="AY149">
        <v>0</v>
      </c>
      <c r="AZ149">
        <v>0.17199999999999999</v>
      </c>
      <c r="BA149">
        <v>0.95</v>
      </c>
      <c r="BB149">
        <v>8.5999999999999993E-2</v>
      </c>
      <c r="BC149">
        <v>1.2999999999999999E-2</v>
      </c>
      <c r="BD149">
        <v>5.9240000000000004</v>
      </c>
      <c r="BE149">
        <v>0.22103999999999999</v>
      </c>
      <c r="BF149">
        <v>77.77</v>
      </c>
      <c r="BG149">
        <v>3.78</v>
      </c>
      <c r="BH149">
        <v>0.93</v>
      </c>
      <c r="BI149">
        <v>0.54</v>
      </c>
      <c r="BJ149">
        <v>1.4550000000000001</v>
      </c>
      <c r="BK149">
        <v>2.0329999999999999</v>
      </c>
      <c r="BL149">
        <v>2.46E-2</v>
      </c>
      <c r="BM149">
        <v>1.59</v>
      </c>
      <c r="BN149">
        <v>0.15</v>
      </c>
      <c r="BO149">
        <v>0.61209999999999998</v>
      </c>
      <c r="BP149">
        <v>0.10319200000000001</v>
      </c>
      <c r="BQ149">
        <v>0</v>
      </c>
      <c r="BR149">
        <v>0</v>
      </c>
      <c r="BS149">
        <v>0.3</v>
      </c>
      <c r="BT149">
        <v>0.11</v>
      </c>
      <c r="BU149">
        <v>7.8840000000000004E-3</v>
      </c>
      <c r="BV149">
        <v>1.453E-2</v>
      </c>
      <c r="BW149">
        <v>0.51500000000000001</v>
      </c>
      <c r="BX149">
        <v>0.51500000000000001</v>
      </c>
      <c r="BY149">
        <v>0</v>
      </c>
      <c r="BZ149">
        <v>2.8000000000000001E-2</v>
      </c>
      <c r="CA149">
        <v>8.0000000000000002E-3</v>
      </c>
      <c r="CB149">
        <v>0.01</v>
      </c>
      <c r="CC149">
        <v>0</v>
      </c>
      <c r="CD149">
        <v>0.69199999999999995</v>
      </c>
      <c r="CE149">
        <v>0.37753799999999998</v>
      </c>
      <c r="CF149">
        <v>0.45450000000000002</v>
      </c>
      <c r="CG149">
        <v>1.2E-2</v>
      </c>
      <c r="CH149">
        <v>1.371</v>
      </c>
      <c r="CI149">
        <v>0</v>
      </c>
      <c r="CJ149">
        <v>0</v>
      </c>
      <c r="CK149">
        <v>0</v>
      </c>
      <c r="CL149">
        <v>1.6</v>
      </c>
      <c r="CM149">
        <v>8.8999999999999996E-2</v>
      </c>
      <c r="CN149">
        <v>0</v>
      </c>
      <c r="CO149">
        <v>0</v>
      </c>
      <c r="CP149">
        <v>9.5000000000000001E-2</v>
      </c>
      <c r="CQ149">
        <v>5.0000000000000001E-3</v>
      </c>
      <c r="CR149">
        <v>1.2999999999999999E-3</v>
      </c>
      <c r="CS149">
        <v>6.1663999999999998E-3</v>
      </c>
      <c r="CT149">
        <v>0.03</v>
      </c>
      <c r="CU149">
        <v>2.8500000000000001E-2</v>
      </c>
      <c r="CV149">
        <v>5.0767E-2</v>
      </c>
      <c r="CW149">
        <v>9.2999999999999999E-2</v>
      </c>
      <c r="CX149">
        <v>1.9E-2</v>
      </c>
      <c r="CY149">
        <v>0</v>
      </c>
      <c r="CZ149">
        <v>1.2999999999999999E-2</v>
      </c>
      <c r="DA149">
        <v>0.02</v>
      </c>
    </row>
    <row r="150" spans="1:105" x14ac:dyDescent="0.25">
      <c r="A150" s="1">
        <v>44712</v>
      </c>
      <c r="B150">
        <v>4.2599999999999999E-2</v>
      </c>
      <c r="C150">
        <v>0.13300000000000001</v>
      </c>
      <c r="D150">
        <v>2.46</v>
      </c>
      <c r="E150">
        <v>0.10947</v>
      </c>
      <c r="F150">
        <v>0.11799999999999999</v>
      </c>
      <c r="G150">
        <v>0.03</v>
      </c>
      <c r="H150">
        <v>0.248</v>
      </c>
      <c r="I150">
        <v>0.152</v>
      </c>
      <c r="J150">
        <v>0.13</v>
      </c>
      <c r="K150">
        <v>0.12</v>
      </c>
      <c r="L150">
        <v>0.39539999999999997</v>
      </c>
      <c r="M150">
        <v>1.3029999999999999</v>
      </c>
      <c r="N150">
        <v>1.04</v>
      </c>
      <c r="O150">
        <v>0.73629999999999995</v>
      </c>
      <c r="P150">
        <v>3.7730000000000001</v>
      </c>
      <c r="Q150">
        <v>0</v>
      </c>
      <c r="R150">
        <v>6.6000000000000003E-2</v>
      </c>
      <c r="S150">
        <v>1.31</v>
      </c>
      <c r="T150">
        <v>0.96599999999999997</v>
      </c>
      <c r="U150">
        <v>6.9999999999999999E-4</v>
      </c>
      <c r="V150">
        <v>5.6800000000000002E-3</v>
      </c>
      <c r="W150">
        <v>0.1027</v>
      </c>
      <c r="X150">
        <v>0</v>
      </c>
      <c r="Y150">
        <v>4.16</v>
      </c>
      <c r="Z150">
        <v>22.52</v>
      </c>
      <c r="AA150">
        <v>3.82</v>
      </c>
      <c r="AB150">
        <v>0.13</v>
      </c>
      <c r="AC150">
        <v>4.1139999999999999</v>
      </c>
      <c r="AD150">
        <v>0.06</v>
      </c>
      <c r="AE150">
        <v>0</v>
      </c>
      <c r="AF150">
        <v>0.158</v>
      </c>
      <c r="AG150">
        <v>0.57699999999999996</v>
      </c>
      <c r="AH150">
        <v>335.7</v>
      </c>
      <c r="AI150">
        <v>0.34100000000000003</v>
      </c>
      <c r="AJ150">
        <v>1205.42</v>
      </c>
      <c r="AK150">
        <v>0</v>
      </c>
      <c r="AL150">
        <v>647.1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0.10199999999999999</v>
      </c>
      <c r="AV150">
        <v>0</v>
      </c>
      <c r="AW150">
        <v>2.8069999999999999</v>
      </c>
      <c r="AX150">
        <v>537.12</v>
      </c>
      <c r="AY150">
        <v>0</v>
      </c>
      <c r="AZ150">
        <v>0.17699999999999999</v>
      </c>
      <c r="BA150">
        <v>0.98</v>
      </c>
      <c r="BB150">
        <v>0.09</v>
      </c>
      <c r="BC150">
        <v>1.2E-2</v>
      </c>
      <c r="BD150">
        <v>5.4829999999999997</v>
      </c>
      <c r="BE150">
        <v>1.5922019999999999</v>
      </c>
      <c r="BF150">
        <v>86.13</v>
      </c>
      <c r="BG150">
        <v>3.66</v>
      </c>
      <c r="BH150">
        <v>1.1200000000000001</v>
      </c>
      <c r="BI150">
        <v>0.67</v>
      </c>
      <c r="BJ150">
        <v>1.4790000000000001</v>
      </c>
      <c r="BK150">
        <v>2.1179999999999999</v>
      </c>
      <c r="BL150">
        <v>2.06E-2</v>
      </c>
      <c r="BM150">
        <v>1.84</v>
      </c>
      <c r="BN150">
        <v>0.13500000000000001</v>
      </c>
      <c r="BO150">
        <v>0.59340000000000004</v>
      </c>
      <c r="BP150">
        <v>0.12442499999999999</v>
      </c>
      <c r="BQ150">
        <v>0</v>
      </c>
      <c r="BR150">
        <v>0</v>
      </c>
      <c r="BS150">
        <v>0.33200000000000002</v>
      </c>
      <c r="BT150">
        <v>0.11899999999999999</v>
      </c>
      <c r="BU150">
        <v>9.7429999999999999E-3</v>
      </c>
      <c r="BV150">
        <v>1.738E-2</v>
      </c>
      <c r="BW150">
        <v>0.52500000000000002</v>
      </c>
      <c r="BX150">
        <v>0.52500000000000002</v>
      </c>
      <c r="BY150">
        <v>0</v>
      </c>
      <c r="BZ150">
        <v>3.1E-2</v>
      </c>
      <c r="CA150">
        <v>1.0999999999999999E-2</v>
      </c>
      <c r="CB150">
        <v>0.01</v>
      </c>
      <c r="CC150">
        <v>0</v>
      </c>
      <c r="CD150">
        <v>0.66600000000000004</v>
      </c>
      <c r="CE150">
        <v>0.41875299999999999</v>
      </c>
      <c r="CF150">
        <v>0.42580000000000001</v>
      </c>
      <c r="CG150">
        <v>1.2E-2</v>
      </c>
      <c r="CH150">
        <v>1.351</v>
      </c>
      <c r="CI150">
        <v>0</v>
      </c>
      <c r="CJ150">
        <v>0</v>
      </c>
      <c r="CK150">
        <v>0</v>
      </c>
      <c r="CL150">
        <v>1.66</v>
      </c>
      <c r="CM150">
        <v>8.2000000000000003E-2</v>
      </c>
      <c r="CN150">
        <v>0</v>
      </c>
      <c r="CO150">
        <v>0</v>
      </c>
      <c r="CP150">
        <v>9.0999999999999998E-2</v>
      </c>
      <c r="CQ150">
        <v>4.7999999999999996E-3</v>
      </c>
      <c r="CR150">
        <v>1.1900000000000001E-3</v>
      </c>
      <c r="CS150">
        <v>6.8100000000000001E-3</v>
      </c>
      <c r="CT150">
        <v>3.1E-2</v>
      </c>
      <c r="CU150">
        <v>2.8500000000000001E-2</v>
      </c>
      <c r="CV150">
        <v>5.9193999999999997E-2</v>
      </c>
      <c r="CW150">
        <v>9.0999999999999998E-2</v>
      </c>
      <c r="CX150">
        <v>0.02</v>
      </c>
      <c r="CY150">
        <v>0</v>
      </c>
      <c r="CZ150">
        <v>1.4999999999999999E-2</v>
      </c>
      <c r="DA150">
        <v>0.02</v>
      </c>
    </row>
    <row r="151" spans="1:105" x14ac:dyDescent="0.25">
      <c r="A151" s="1">
        <v>44742</v>
      </c>
      <c r="B151">
        <v>7.2700000000000001E-2</v>
      </c>
      <c r="C151">
        <v>0.157</v>
      </c>
      <c r="D151">
        <v>2.59</v>
      </c>
      <c r="E151">
        <v>0.105477</v>
      </c>
      <c r="F151">
        <v>0.121</v>
      </c>
      <c r="G151">
        <v>2.4E-2</v>
      </c>
      <c r="H151">
        <v>0.23699999999999999</v>
      </c>
      <c r="I151">
        <v>0.14000000000000001</v>
      </c>
      <c r="J151">
        <v>0.09</v>
      </c>
      <c r="K151">
        <v>0.11700000000000001</v>
      </c>
      <c r="L151">
        <v>0.41860000000000003</v>
      </c>
      <c r="M151">
        <v>1.3120000000000001</v>
      </c>
      <c r="N151">
        <v>1.123</v>
      </c>
      <c r="O151">
        <v>0.62560000000000004</v>
      </c>
      <c r="P151">
        <v>3.8359999999999999</v>
      </c>
      <c r="Q151">
        <v>0</v>
      </c>
      <c r="R151">
        <v>8.2000000000000003E-2</v>
      </c>
      <c r="S151">
        <v>1.05</v>
      </c>
      <c r="T151">
        <v>0.97699999999999998</v>
      </c>
      <c r="U151">
        <v>2.3E-3</v>
      </c>
      <c r="V151">
        <v>6.1529999999999996E-3</v>
      </c>
      <c r="W151">
        <v>7.0599999999999996E-2</v>
      </c>
      <c r="X151">
        <v>0</v>
      </c>
      <c r="Y151">
        <v>3.33</v>
      </c>
      <c r="Z151">
        <v>16.420000000000002</v>
      </c>
      <c r="AA151">
        <v>4</v>
      </c>
      <c r="AB151">
        <v>0.126</v>
      </c>
      <c r="AC151">
        <v>3.9249999999999998</v>
      </c>
      <c r="AD151">
        <v>0.04</v>
      </c>
      <c r="AE151">
        <v>0</v>
      </c>
      <c r="AF151">
        <v>0.161</v>
      </c>
      <c r="AG151">
        <v>0.57099999999999995</v>
      </c>
      <c r="AH151">
        <v>700.11</v>
      </c>
      <c r="AI151">
        <v>1.226</v>
      </c>
      <c r="AJ151">
        <v>1209.5999999999999</v>
      </c>
      <c r="AK151">
        <v>0</v>
      </c>
      <c r="AL151">
        <v>823.6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9.8000000000000004E-2</v>
      </c>
      <c r="AV151">
        <v>0</v>
      </c>
      <c r="AW151">
        <v>2.6629999999999998</v>
      </c>
      <c r="AX151">
        <v>495.65</v>
      </c>
      <c r="AY151">
        <v>0</v>
      </c>
      <c r="AZ151">
        <v>0.183</v>
      </c>
      <c r="BA151">
        <v>1</v>
      </c>
      <c r="BB151">
        <v>7.3999999999999996E-2</v>
      </c>
      <c r="BC151">
        <v>5.0000000000000001E-3</v>
      </c>
      <c r="BD151">
        <v>4.2859999999999996</v>
      </c>
      <c r="BE151">
        <v>0</v>
      </c>
      <c r="BF151">
        <v>86.09</v>
      </c>
      <c r="BG151">
        <v>3.74</v>
      </c>
      <c r="BH151">
        <v>1.41</v>
      </c>
      <c r="BI151">
        <v>0.85</v>
      </c>
      <c r="BJ151">
        <v>1.605</v>
      </c>
      <c r="BK151">
        <v>2.0419999999999998</v>
      </c>
      <c r="BL151">
        <v>1.8700000000000001E-2</v>
      </c>
      <c r="BM151">
        <v>1.53</v>
      </c>
      <c r="BN151">
        <v>0.14130000000000001</v>
      </c>
      <c r="BO151">
        <v>0.61370000000000002</v>
      </c>
      <c r="BP151">
        <v>0.100191</v>
      </c>
      <c r="BQ151">
        <v>0</v>
      </c>
      <c r="BR151">
        <v>0</v>
      </c>
      <c r="BS151">
        <v>0.34</v>
      </c>
      <c r="BT151">
        <v>0.125</v>
      </c>
      <c r="BU151">
        <v>1.0070000000000001E-2</v>
      </c>
      <c r="BV151">
        <v>2.1870000000000001E-2</v>
      </c>
      <c r="BW151">
        <v>0.47799999999999998</v>
      </c>
      <c r="BX151">
        <v>0.47799999999999998</v>
      </c>
      <c r="BY151">
        <v>0</v>
      </c>
      <c r="BZ151">
        <v>0.03</v>
      </c>
      <c r="CA151">
        <v>0.01</v>
      </c>
      <c r="CB151">
        <v>5.0000000000000001E-3</v>
      </c>
      <c r="CC151">
        <v>0</v>
      </c>
      <c r="CD151">
        <v>0.68700000000000006</v>
      </c>
      <c r="CE151">
        <v>0.39678099999999999</v>
      </c>
      <c r="CF151">
        <v>0.1729</v>
      </c>
      <c r="CG151">
        <v>1.0999999999999999E-2</v>
      </c>
      <c r="CH151">
        <v>1.4610000000000001</v>
      </c>
      <c r="CI151">
        <v>0</v>
      </c>
      <c r="CJ151">
        <v>0</v>
      </c>
      <c r="CK151">
        <v>0</v>
      </c>
      <c r="CL151">
        <v>1.6</v>
      </c>
      <c r="CM151">
        <v>2.5999999999999999E-2</v>
      </c>
      <c r="CN151">
        <v>0</v>
      </c>
      <c r="CO151">
        <v>0</v>
      </c>
      <c r="CP151">
        <v>8.5999999999999993E-2</v>
      </c>
      <c r="CQ151">
        <v>5.8999999999999999E-3</v>
      </c>
      <c r="CR151">
        <v>1.3699999999999999E-3</v>
      </c>
      <c r="CS151">
        <v>2.1819999999999999E-3</v>
      </c>
      <c r="CT151">
        <v>3.3000000000000002E-2</v>
      </c>
      <c r="CU151">
        <v>2.63E-2</v>
      </c>
      <c r="CV151">
        <v>5.6232999999999998E-2</v>
      </c>
      <c r="CW151">
        <v>7.9000000000000001E-2</v>
      </c>
      <c r="CX151">
        <v>0.02</v>
      </c>
      <c r="CY151">
        <v>0</v>
      </c>
      <c r="CZ151">
        <v>1.4E-2</v>
      </c>
      <c r="DA151">
        <v>0.02</v>
      </c>
    </row>
    <row r="152" spans="1:105" x14ac:dyDescent="0.25">
      <c r="A152" s="1">
        <v>44773</v>
      </c>
      <c r="B152">
        <v>7.4899999999999994E-2</v>
      </c>
      <c r="C152">
        <v>0.19</v>
      </c>
      <c r="D152">
        <v>2.46</v>
      </c>
      <c r="E152">
        <v>0.10344100000000001</v>
      </c>
      <c r="F152">
        <v>0.12</v>
      </c>
      <c r="G152">
        <v>0.02</v>
      </c>
      <c r="H152">
        <v>0.255</v>
      </c>
      <c r="I152">
        <v>0.13500000000000001</v>
      </c>
      <c r="J152">
        <v>0.06</v>
      </c>
      <c r="K152">
        <v>0.121</v>
      </c>
      <c r="L152">
        <v>0.3745</v>
      </c>
      <c r="M152">
        <v>1.1950000000000001</v>
      </c>
      <c r="N152">
        <v>1.157</v>
      </c>
      <c r="O152">
        <v>0.62419999999999998</v>
      </c>
      <c r="P152">
        <v>4.1420000000000003</v>
      </c>
      <c r="Q152">
        <v>0</v>
      </c>
      <c r="R152">
        <v>9.7000000000000003E-2</v>
      </c>
      <c r="S152">
        <v>0.82499999999999996</v>
      </c>
      <c r="T152">
        <v>1.06</v>
      </c>
      <c r="U152">
        <v>1.5E-3</v>
      </c>
      <c r="V152">
        <v>5.7619999999999998E-3</v>
      </c>
      <c r="W152">
        <v>6.4600000000000005E-2</v>
      </c>
      <c r="X152">
        <v>0</v>
      </c>
      <c r="Y152">
        <v>3.4</v>
      </c>
      <c r="Z152">
        <v>19.3</v>
      </c>
      <c r="AA152">
        <v>6.13</v>
      </c>
      <c r="AB152">
        <v>0.111</v>
      </c>
      <c r="AC152">
        <v>3.8940000000000001</v>
      </c>
      <c r="AD152">
        <v>0.04</v>
      </c>
      <c r="AE152">
        <v>0</v>
      </c>
      <c r="AF152">
        <v>0.17399999999999999</v>
      </c>
      <c r="AG152">
        <v>0.56799999999999995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2.5790000000000002</v>
      </c>
      <c r="AX152">
        <v>0</v>
      </c>
      <c r="AY152">
        <v>0</v>
      </c>
      <c r="AZ152">
        <v>0.15287000000000001</v>
      </c>
      <c r="BA152">
        <v>1.01</v>
      </c>
      <c r="BB152">
        <v>7.0999999999999994E-2</v>
      </c>
      <c r="BC152">
        <v>3.0000000000000001E-3</v>
      </c>
      <c r="BD152">
        <v>4.0430000000000001</v>
      </c>
      <c r="BE152">
        <v>0</v>
      </c>
      <c r="BF152">
        <v>80.8</v>
      </c>
      <c r="BG152">
        <v>4.83</v>
      </c>
      <c r="BH152">
        <v>1.1499999999999999</v>
      </c>
      <c r="BI152">
        <v>0.76</v>
      </c>
      <c r="BJ152">
        <v>1.7</v>
      </c>
      <c r="BK152">
        <v>2.0750000000000002</v>
      </c>
      <c r="BL152">
        <v>2.1399999999999999E-2</v>
      </c>
      <c r="BM152">
        <v>1.42</v>
      </c>
      <c r="BN152">
        <v>0.115</v>
      </c>
      <c r="BO152">
        <v>0.60819999999999996</v>
      </c>
      <c r="BP152">
        <v>0.100191</v>
      </c>
      <c r="BQ152">
        <v>0</v>
      </c>
      <c r="BR152">
        <v>0</v>
      </c>
      <c r="BS152">
        <v>0.35099999999999998</v>
      </c>
      <c r="BT152">
        <v>0.12</v>
      </c>
      <c r="BU152">
        <v>9.6430000000000005E-3</v>
      </c>
      <c r="BV152">
        <v>2.545E-2</v>
      </c>
      <c r="BW152">
        <v>0</v>
      </c>
      <c r="BX152">
        <v>0</v>
      </c>
      <c r="BY152">
        <v>0</v>
      </c>
      <c r="BZ152">
        <v>3.1E-2</v>
      </c>
      <c r="CA152">
        <v>1.0999999999999999E-2</v>
      </c>
      <c r="CB152">
        <v>4.0000000000000001E-3</v>
      </c>
      <c r="CC152">
        <v>0</v>
      </c>
      <c r="CD152">
        <v>0.68100000000000005</v>
      </c>
      <c r="CE152">
        <v>0.39763199999999999</v>
      </c>
      <c r="CF152">
        <v>0.17180000000000001</v>
      </c>
      <c r="CG152">
        <v>1.2999999999999999E-2</v>
      </c>
      <c r="CH152">
        <v>1.4890000000000001</v>
      </c>
      <c r="CI152">
        <v>0</v>
      </c>
      <c r="CJ152">
        <v>0</v>
      </c>
      <c r="CK152">
        <v>0</v>
      </c>
      <c r="CL152">
        <v>1.63</v>
      </c>
      <c r="CM152">
        <v>8.3000000000000004E-2</v>
      </c>
      <c r="CN152">
        <v>0</v>
      </c>
      <c r="CO152">
        <v>0</v>
      </c>
      <c r="CP152">
        <v>8.5000000000000006E-2</v>
      </c>
      <c r="CQ152">
        <v>4.8999999999999998E-3</v>
      </c>
      <c r="CR152">
        <v>1.98E-3</v>
      </c>
      <c r="CS152">
        <v>0</v>
      </c>
      <c r="CT152">
        <v>3.5000000000000003E-2</v>
      </c>
      <c r="CU152">
        <v>2.7400000000000001E-2</v>
      </c>
      <c r="CV152">
        <v>5.5839E-2</v>
      </c>
      <c r="CW152">
        <v>7.9000000000000001E-2</v>
      </c>
      <c r="CX152">
        <v>0.02</v>
      </c>
      <c r="CY152">
        <v>0</v>
      </c>
      <c r="CZ152">
        <v>1.2E-2</v>
      </c>
      <c r="DA152">
        <v>0.02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919"/>
  <sheetViews>
    <sheetView tabSelected="1" workbookViewId="0">
      <pane ySplit="1" topLeftCell="A29" activePane="bottomLeft" state="frozen"/>
      <selection pane="bottomLeft" activeCell="A54" sqref="A54"/>
    </sheetView>
  </sheetViews>
  <sheetFormatPr defaultRowHeight="15" x14ac:dyDescent="0.25"/>
  <cols>
    <col min="1" max="1" width="17" customWidth="1"/>
    <col min="2" max="2" width="11" bestFit="1" customWidth="1"/>
  </cols>
  <sheetData>
    <row r="1" spans="1:4" x14ac:dyDescent="0.25">
      <c r="B1">
        <v>0</v>
      </c>
      <c r="C1">
        <v>1</v>
      </c>
      <c r="D1">
        <v>2</v>
      </c>
    </row>
    <row r="2" spans="1:4" x14ac:dyDescent="0.25">
      <c r="A2" t="s">
        <v>640</v>
      </c>
      <c r="B2">
        <v>8.5400000000000004E-2</v>
      </c>
      <c r="C2">
        <v>0</v>
      </c>
      <c r="D2">
        <v>3.2260397350993383E-2</v>
      </c>
    </row>
    <row r="3" spans="1:4" x14ac:dyDescent="0.25">
      <c r="A3" t="s">
        <v>641</v>
      </c>
      <c r="B3">
        <v>19.794</v>
      </c>
      <c r="C3">
        <v>8.0000000000000002E-3</v>
      </c>
      <c r="D3">
        <v>1.142423841059603</v>
      </c>
    </row>
    <row r="4" spans="1:4" x14ac:dyDescent="0.25">
      <c r="A4" t="s">
        <v>628</v>
      </c>
      <c r="B4">
        <v>3.88</v>
      </c>
      <c r="C4">
        <v>1.29</v>
      </c>
      <c r="D4">
        <v>2.7158543046357613</v>
      </c>
    </row>
    <row r="5" spans="1:4" x14ac:dyDescent="0.25">
      <c r="A5" t="s">
        <v>1488</v>
      </c>
      <c r="B5">
        <v>0.26153999999999999</v>
      </c>
      <c r="C5">
        <v>9.1212000000000001E-2</v>
      </c>
      <c r="D5">
        <v>0.13444009271523177</v>
      </c>
    </row>
    <row r="6" spans="1:4" x14ac:dyDescent="0.25">
      <c r="A6" t="s">
        <v>1524</v>
      </c>
      <c r="B6">
        <v>0.38190000000000002</v>
      </c>
      <c r="C6">
        <v>0.11600000000000001</v>
      </c>
      <c r="D6">
        <v>0.16171530463576159</v>
      </c>
    </row>
    <row r="7" spans="1:4" x14ac:dyDescent="0.25">
      <c r="A7" t="s">
        <v>1525</v>
      </c>
      <c r="B7">
        <v>0.17</v>
      </c>
      <c r="C7">
        <v>0.01</v>
      </c>
      <c r="D7">
        <v>5.1278145695364236E-2</v>
      </c>
    </row>
    <row r="8" spans="1:4" x14ac:dyDescent="0.25">
      <c r="A8" t="s">
        <v>603</v>
      </c>
      <c r="B8">
        <v>0.435</v>
      </c>
      <c r="C8">
        <v>0.17100000000000001</v>
      </c>
      <c r="D8">
        <v>0.26248344370860932</v>
      </c>
    </row>
    <row r="9" spans="1:4" x14ac:dyDescent="0.25">
      <c r="A9" t="s">
        <v>604</v>
      </c>
      <c r="B9">
        <v>4</v>
      </c>
      <c r="C9">
        <v>1.3899999999999999E-2</v>
      </c>
      <c r="D9">
        <v>0.19675430463576149</v>
      </c>
    </row>
    <row r="10" spans="1:4" x14ac:dyDescent="0.25">
      <c r="A10" t="s">
        <v>619</v>
      </c>
      <c r="B10">
        <v>0.26</v>
      </c>
      <c r="C10">
        <v>0.06</v>
      </c>
      <c r="D10">
        <v>0.13103443708609269</v>
      </c>
    </row>
    <row r="11" spans="1:4" x14ac:dyDescent="0.25">
      <c r="A11" t="s">
        <v>644</v>
      </c>
      <c r="B11">
        <v>0.97</v>
      </c>
      <c r="C11">
        <v>6.7000000000000004E-2</v>
      </c>
      <c r="D11">
        <v>0.11355629139072847</v>
      </c>
    </row>
    <row r="12" spans="1:4" x14ac:dyDescent="0.25">
      <c r="A12" t="s">
        <v>605</v>
      </c>
      <c r="B12">
        <v>1.1000000000000001</v>
      </c>
      <c r="C12">
        <v>0.05</v>
      </c>
      <c r="D12">
        <v>0.44876291390728446</v>
      </c>
    </row>
    <row r="13" spans="1:4" x14ac:dyDescent="0.25">
      <c r="A13" t="s">
        <v>1489</v>
      </c>
      <c r="B13">
        <v>2.3170000000000002</v>
      </c>
      <c r="C13">
        <v>1.1950000000000001</v>
      </c>
      <c r="D13">
        <v>1.5892781456953642</v>
      </c>
    </row>
    <row r="14" spans="1:4" x14ac:dyDescent="0.25">
      <c r="A14" t="s">
        <v>617</v>
      </c>
      <c r="B14">
        <v>1.7509999999999999</v>
      </c>
      <c r="C14">
        <v>0.93200000000000005</v>
      </c>
      <c r="D14">
        <v>1.0762781456953645</v>
      </c>
    </row>
    <row r="15" spans="1:4" x14ac:dyDescent="0.25">
      <c r="A15" t="s">
        <v>1529</v>
      </c>
      <c r="B15">
        <v>2.1667000000000001</v>
      </c>
      <c r="C15">
        <v>0.5998</v>
      </c>
      <c r="D15">
        <v>0.89588476821192076</v>
      </c>
    </row>
    <row r="16" spans="1:4" x14ac:dyDescent="0.25">
      <c r="A16" t="s">
        <v>645</v>
      </c>
      <c r="B16">
        <v>9.3000000000000007</v>
      </c>
      <c r="C16">
        <v>3.6</v>
      </c>
      <c r="D16">
        <v>5.0735960264900681</v>
      </c>
    </row>
    <row r="17" spans="1:4" x14ac:dyDescent="0.25">
      <c r="A17" t="s">
        <v>629</v>
      </c>
      <c r="B17">
        <v>0.63</v>
      </c>
      <c r="C17">
        <v>0</v>
      </c>
      <c r="D17">
        <v>0.18607880794701984</v>
      </c>
    </row>
    <row r="18" spans="1:4" x14ac:dyDescent="0.25">
      <c r="A18" t="s">
        <v>630</v>
      </c>
      <c r="B18">
        <v>0.14599999999999999</v>
      </c>
      <c r="C18">
        <v>3.9E-2</v>
      </c>
      <c r="D18">
        <v>8.6642384105960271E-2</v>
      </c>
    </row>
    <row r="19" spans="1:4" x14ac:dyDescent="0.25">
      <c r="A19" t="s">
        <v>622</v>
      </c>
      <c r="B19">
        <v>43.99</v>
      </c>
      <c r="C19">
        <v>0.64838700000000005</v>
      </c>
      <c r="D19">
        <v>1.5516103509933776</v>
      </c>
    </row>
    <row r="20" spans="1:4" x14ac:dyDescent="0.25">
      <c r="A20" t="s">
        <v>1526</v>
      </c>
      <c r="B20">
        <v>1.5580000000000001</v>
      </c>
      <c r="C20">
        <v>0</v>
      </c>
      <c r="D20">
        <v>1.1452516556291388</v>
      </c>
    </row>
    <row r="21" spans="1:4" x14ac:dyDescent="0.25">
      <c r="A21" t="s">
        <v>606</v>
      </c>
      <c r="B21">
        <v>3.0200000000000001E-2</v>
      </c>
      <c r="C21">
        <v>1E-4</v>
      </c>
      <c r="D21">
        <v>6.1056291390728474E-3</v>
      </c>
    </row>
    <row r="22" spans="1:4" x14ac:dyDescent="0.25">
      <c r="A22" t="s">
        <v>1246</v>
      </c>
      <c r="B22">
        <v>0.38779999999999998</v>
      </c>
      <c r="C22">
        <v>8.0000000000000007E-5</v>
      </c>
      <c r="D22">
        <v>7.2362317880794716E-3</v>
      </c>
    </row>
    <row r="23" spans="1:4" x14ac:dyDescent="0.25">
      <c r="A23" t="s">
        <v>623</v>
      </c>
      <c r="B23">
        <v>0.28699999999999998</v>
      </c>
      <c r="C23">
        <v>5.0799999999999998E-2</v>
      </c>
      <c r="D23">
        <v>8.9218543046357637E-2</v>
      </c>
    </row>
    <row r="24" spans="1:4" x14ac:dyDescent="0.25">
      <c r="A24" t="s">
        <v>639</v>
      </c>
      <c r="B24">
        <v>3.04</v>
      </c>
      <c r="C24">
        <v>0</v>
      </c>
      <c r="D24">
        <v>1.4476821192052984</v>
      </c>
    </row>
    <row r="25" spans="1:4" x14ac:dyDescent="0.25">
      <c r="A25" t="s">
        <v>633</v>
      </c>
      <c r="B25">
        <v>6.88</v>
      </c>
      <c r="C25">
        <v>2.98</v>
      </c>
      <c r="D25">
        <v>4.580324503311255</v>
      </c>
    </row>
    <row r="26" spans="1:4" x14ac:dyDescent="0.25">
      <c r="A26" t="s">
        <v>1491</v>
      </c>
      <c r="B26">
        <v>1922</v>
      </c>
      <c r="C26">
        <v>14.65</v>
      </c>
      <c r="D26">
        <v>42.005364238410593</v>
      </c>
    </row>
    <row r="27" spans="1:4" x14ac:dyDescent="0.25">
      <c r="A27" t="s">
        <v>1492</v>
      </c>
      <c r="B27">
        <v>6.94</v>
      </c>
      <c r="C27">
        <v>1.1000000000000001E-3</v>
      </c>
      <c r="D27">
        <v>1.6862814569536426</v>
      </c>
    </row>
    <row r="28" spans="1:4" x14ac:dyDescent="0.25">
      <c r="A28" t="s">
        <v>1533</v>
      </c>
      <c r="B28">
        <v>0.14799999999999999</v>
      </c>
      <c r="C28">
        <v>8.1000000000000003E-2</v>
      </c>
      <c r="D28">
        <v>0.1092582781456954</v>
      </c>
    </row>
    <row r="29" spans="1:4" x14ac:dyDescent="0.25">
      <c r="A29" t="s">
        <v>1493</v>
      </c>
      <c r="B29">
        <v>6.1139999999999999</v>
      </c>
      <c r="C29">
        <v>3.4630000000000001</v>
      </c>
      <c r="D29">
        <v>4.2945629139072832</v>
      </c>
    </row>
    <row r="30" spans="1:4" x14ac:dyDescent="0.25">
      <c r="A30" t="s">
        <v>1534</v>
      </c>
      <c r="B30">
        <v>0.29499999999999998</v>
      </c>
      <c r="C30">
        <v>1.4E-3</v>
      </c>
      <c r="D30">
        <v>5.9386754966887383E-2</v>
      </c>
    </row>
    <row r="31" spans="1:4" x14ac:dyDescent="0.25">
      <c r="A31" t="s">
        <v>602</v>
      </c>
      <c r="B31">
        <v>0.23499999999999999</v>
      </c>
      <c r="C31">
        <v>0</v>
      </c>
      <c r="D31">
        <v>0.11615894039735103</v>
      </c>
    </row>
    <row r="32" spans="1:4" x14ac:dyDescent="0.25">
      <c r="A32" t="s">
        <v>618</v>
      </c>
      <c r="B32">
        <v>1.5</v>
      </c>
      <c r="C32">
        <v>8.5000000000000006E-2</v>
      </c>
      <c r="D32">
        <v>0.17148344370860921</v>
      </c>
    </row>
    <row r="33" spans="1:4" x14ac:dyDescent="0.25">
      <c r="A33" t="s">
        <v>1535</v>
      </c>
      <c r="B33">
        <v>0.78400000000000003</v>
      </c>
      <c r="C33">
        <v>0.49099999999999999</v>
      </c>
      <c r="D33">
        <v>0.59145430463576154</v>
      </c>
    </row>
    <row r="34" spans="1:4" x14ac:dyDescent="0.25">
      <c r="A34" t="s">
        <v>1494</v>
      </c>
      <c r="B34">
        <v>1309</v>
      </c>
      <c r="C34">
        <v>0</v>
      </c>
      <c r="D34">
        <v>789.43543046357604</v>
      </c>
    </row>
    <row r="35" spans="1:4" x14ac:dyDescent="0.25">
      <c r="A35" t="s">
        <v>1495</v>
      </c>
      <c r="B35">
        <v>9.9390000000000001</v>
      </c>
      <c r="C35">
        <v>0</v>
      </c>
      <c r="D35">
        <v>1.6171456953642391</v>
      </c>
    </row>
    <row r="36" spans="1:4" x14ac:dyDescent="0.25">
      <c r="A36" t="s">
        <v>1496</v>
      </c>
      <c r="B36">
        <v>1302</v>
      </c>
      <c r="C36">
        <v>0</v>
      </c>
      <c r="D36">
        <v>993.36377483443766</v>
      </c>
    </row>
    <row r="37" spans="1:4" x14ac:dyDescent="0.25">
      <c r="A37" t="s">
        <v>1497</v>
      </c>
      <c r="B37">
        <v>3.1680000000000001</v>
      </c>
      <c r="C37">
        <v>0</v>
      </c>
      <c r="D37">
        <v>0.14714205298013247</v>
      </c>
    </row>
    <row r="38" spans="1:4" x14ac:dyDescent="0.25">
      <c r="A38" t="s">
        <v>1498</v>
      </c>
      <c r="B38">
        <v>1205</v>
      </c>
      <c r="C38">
        <v>0</v>
      </c>
      <c r="D38">
        <v>460.39470198675508</v>
      </c>
    </row>
    <row r="39" spans="1:4" x14ac:dyDescent="0.25">
      <c r="A39" t="s">
        <v>1499</v>
      </c>
      <c r="B39">
        <v>876</v>
      </c>
      <c r="C39">
        <v>0</v>
      </c>
      <c r="D39">
        <v>8.9312387417218577</v>
      </c>
    </row>
    <row r="40" spans="1:4" x14ac:dyDescent="0.25">
      <c r="A40" t="s">
        <v>1500</v>
      </c>
      <c r="B40">
        <v>5.17</v>
      </c>
      <c r="C40">
        <v>0</v>
      </c>
      <c r="D40">
        <v>0.20575894039735132</v>
      </c>
    </row>
    <row r="41" spans="1:4" x14ac:dyDescent="0.25">
      <c r="A41" t="s">
        <v>1501</v>
      </c>
      <c r="B41">
        <v>2.3239999999999998</v>
      </c>
      <c r="C41">
        <v>0</v>
      </c>
      <c r="D41">
        <v>2.76609271523179E-2</v>
      </c>
    </row>
    <row r="42" spans="1:4" x14ac:dyDescent="0.25">
      <c r="A42" t="s">
        <v>1502</v>
      </c>
      <c r="B42">
        <v>1.246</v>
      </c>
      <c r="C42">
        <v>0</v>
      </c>
      <c r="D42">
        <v>7.3933112582781471E-2</v>
      </c>
    </row>
    <row r="43" spans="1:4" x14ac:dyDescent="0.25">
      <c r="A43" t="s">
        <v>1503</v>
      </c>
      <c r="B43">
        <v>3.8780000000000001</v>
      </c>
      <c r="C43">
        <v>0</v>
      </c>
      <c r="D43">
        <v>0.17829801324503314</v>
      </c>
    </row>
    <row r="44" spans="1:4" x14ac:dyDescent="0.25">
      <c r="A44" t="s">
        <v>1504</v>
      </c>
      <c r="B44">
        <v>1.008</v>
      </c>
      <c r="C44">
        <v>0</v>
      </c>
      <c r="D44">
        <v>0.39057417218543078</v>
      </c>
    </row>
    <row r="45" spans="1:4" x14ac:dyDescent="0.25">
      <c r="A45" t="s">
        <v>1505</v>
      </c>
      <c r="B45">
        <v>1.4144000000000001</v>
      </c>
      <c r="C45">
        <v>0</v>
      </c>
      <c r="D45">
        <v>8.8287086092715197E-2</v>
      </c>
    </row>
    <row r="46" spans="1:4" x14ac:dyDescent="0.25">
      <c r="A46" t="s">
        <v>1506</v>
      </c>
      <c r="B46">
        <v>0.62</v>
      </c>
      <c r="C46">
        <v>0</v>
      </c>
      <c r="D46">
        <v>5.3738410596026513E-2</v>
      </c>
    </row>
    <row r="47" spans="1:4" x14ac:dyDescent="0.25">
      <c r="A47" t="s">
        <v>1507</v>
      </c>
      <c r="B47">
        <v>0.54500000000000004</v>
      </c>
      <c r="C47">
        <v>0</v>
      </c>
      <c r="D47">
        <v>6.0913907284768212E-2</v>
      </c>
    </row>
    <row r="48" spans="1:4" x14ac:dyDescent="0.25">
      <c r="A48" t="s">
        <v>1508</v>
      </c>
      <c r="B48">
        <v>32.619999999999997</v>
      </c>
      <c r="C48">
        <v>0</v>
      </c>
      <c r="D48">
        <v>3.6683894039735105</v>
      </c>
    </row>
    <row r="49" spans="1:4" x14ac:dyDescent="0.25">
      <c r="A49" t="s">
        <v>610</v>
      </c>
      <c r="B49">
        <v>5.5407000000000002</v>
      </c>
      <c r="C49">
        <v>1.9239999999999999</v>
      </c>
      <c r="D49">
        <v>2.7988264900662254</v>
      </c>
    </row>
    <row r="50" spans="1:4" x14ac:dyDescent="0.25">
      <c r="A50" t="s">
        <v>620</v>
      </c>
      <c r="B50">
        <v>555.09</v>
      </c>
      <c r="C50">
        <v>0</v>
      </c>
      <c r="D50">
        <v>396.70780132450329</v>
      </c>
    </row>
    <row r="51" spans="1:4" x14ac:dyDescent="0.25">
      <c r="A51" t="s">
        <v>621</v>
      </c>
      <c r="B51">
        <v>7.83</v>
      </c>
      <c r="C51">
        <v>0</v>
      </c>
      <c r="D51">
        <v>4.0653211920529806</v>
      </c>
    </row>
    <row r="52" spans="1:4" x14ac:dyDescent="0.25">
      <c r="A52" t="s">
        <v>624</v>
      </c>
      <c r="B52">
        <v>0.29132200000000003</v>
      </c>
      <c r="C52">
        <v>0.101967</v>
      </c>
      <c r="D52">
        <v>0.16621849668874164</v>
      </c>
    </row>
    <row r="53" spans="1:4" x14ac:dyDescent="0.25">
      <c r="A53" t="s">
        <v>611</v>
      </c>
      <c r="B53">
        <v>1.06</v>
      </c>
      <c r="C53">
        <v>9.2799999999999994E-2</v>
      </c>
      <c r="D53">
        <v>0.66121523178807984</v>
      </c>
    </row>
    <row r="54" spans="1:4" x14ac:dyDescent="0.25">
      <c r="A54" t="s">
        <v>1509</v>
      </c>
      <c r="B54">
        <v>0.15</v>
      </c>
      <c r="C54">
        <v>4.8000000000000001E-2</v>
      </c>
      <c r="D54">
        <v>0.10476158940397351</v>
      </c>
    </row>
    <row r="55" spans="1:4" x14ac:dyDescent="0.25">
      <c r="A55" t="s">
        <v>1510</v>
      </c>
      <c r="B55">
        <v>0.06</v>
      </c>
      <c r="C55">
        <v>5.0000000000000001E-4</v>
      </c>
      <c r="D55">
        <v>1.3406201986754955E-2</v>
      </c>
    </row>
    <row r="56" spans="1:4" x14ac:dyDescent="0.25">
      <c r="A56" t="s">
        <v>1511</v>
      </c>
      <c r="B56">
        <v>7.59</v>
      </c>
      <c r="C56">
        <v>2.4420000000000002</v>
      </c>
      <c r="D56">
        <v>5.1550761589403962</v>
      </c>
    </row>
    <row r="57" spans="1:4" x14ac:dyDescent="0.25">
      <c r="A57" t="s">
        <v>2037</v>
      </c>
      <c r="B57">
        <v>5831526</v>
      </c>
      <c r="C57">
        <v>0</v>
      </c>
      <c r="D57">
        <v>156878.73047069542</v>
      </c>
    </row>
    <row r="58" spans="1:4" x14ac:dyDescent="0.25">
      <c r="A58" t="s">
        <v>1512</v>
      </c>
      <c r="B58">
        <v>113.33</v>
      </c>
      <c r="C58">
        <v>63.56</v>
      </c>
      <c r="D58">
        <v>82.642715231788102</v>
      </c>
    </row>
    <row r="59" spans="1:4" x14ac:dyDescent="0.25">
      <c r="A59" t="s">
        <v>1513</v>
      </c>
      <c r="B59">
        <v>6.33</v>
      </c>
      <c r="C59">
        <v>0.09</v>
      </c>
      <c r="D59">
        <v>3.7770529801324506</v>
      </c>
    </row>
    <row r="60" spans="1:4" x14ac:dyDescent="0.25">
      <c r="A60" t="s">
        <v>1514</v>
      </c>
      <c r="B60">
        <v>105</v>
      </c>
      <c r="C60">
        <v>7.0000000000000007E-2</v>
      </c>
      <c r="D60">
        <v>1.3543708609271532</v>
      </c>
    </row>
    <row r="61" spans="1:4" x14ac:dyDescent="0.25">
      <c r="A61" t="s">
        <v>1515</v>
      </c>
      <c r="B61">
        <v>1.46</v>
      </c>
      <c r="C61">
        <v>0.03</v>
      </c>
      <c r="D61">
        <v>0.65014569536423816</v>
      </c>
    </row>
    <row r="62" spans="1:4" x14ac:dyDescent="0.25">
      <c r="A62" t="s">
        <v>612</v>
      </c>
      <c r="B62">
        <v>3.4683000000000002</v>
      </c>
      <c r="C62">
        <v>0.95209999999999995</v>
      </c>
      <c r="D62">
        <v>2.0540185430463569</v>
      </c>
    </row>
    <row r="63" spans="1:4" x14ac:dyDescent="0.25">
      <c r="A63" t="s">
        <v>1516</v>
      </c>
      <c r="B63">
        <v>3.6819999999999999</v>
      </c>
      <c r="C63">
        <v>1.349</v>
      </c>
      <c r="D63">
        <v>2.0693509933774834</v>
      </c>
    </row>
    <row r="64" spans="1:4" x14ac:dyDescent="0.25">
      <c r="A64" t="s">
        <v>695</v>
      </c>
      <c r="B64">
        <v>0.3</v>
      </c>
      <c r="C64">
        <v>2.4350000000000001E-3</v>
      </c>
      <c r="D64">
        <v>2.8976721854304638E-2</v>
      </c>
    </row>
    <row r="65" spans="1:4" x14ac:dyDescent="0.25">
      <c r="A65" t="s">
        <v>631</v>
      </c>
      <c r="B65">
        <v>2.2799999999999998</v>
      </c>
      <c r="C65">
        <v>0.59</v>
      </c>
      <c r="D65">
        <v>1.4957814569536423</v>
      </c>
    </row>
    <row r="66" spans="1:4" x14ac:dyDescent="0.25">
      <c r="A66" t="s">
        <v>1531</v>
      </c>
      <c r="B66">
        <v>0.3</v>
      </c>
      <c r="C66">
        <v>6.4066999999999999E-2</v>
      </c>
      <c r="D66">
        <v>0.13776044370860921</v>
      </c>
    </row>
    <row r="67" spans="1:4" x14ac:dyDescent="0.25">
      <c r="A67" t="s">
        <v>607</v>
      </c>
      <c r="B67">
        <v>1.25</v>
      </c>
      <c r="C67">
        <v>0.44600000000000001</v>
      </c>
      <c r="D67">
        <v>0.70698278145695381</v>
      </c>
    </row>
    <row r="68" spans="1:4" x14ac:dyDescent="0.25">
      <c r="A68" t="s">
        <v>1249</v>
      </c>
      <c r="B68">
        <v>0.337561</v>
      </c>
      <c r="C68">
        <v>5.5167000000000001E-2</v>
      </c>
      <c r="D68">
        <v>0.16101088079470183</v>
      </c>
    </row>
    <row r="69" spans="1:4" x14ac:dyDescent="0.25">
      <c r="A69" t="s">
        <v>8136</v>
      </c>
      <c r="B69">
        <v>0.18096300000000001</v>
      </c>
      <c r="C69">
        <v>0</v>
      </c>
      <c r="D69">
        <v>2.7930880794701983E-2</v>
      </c>
    </row>
    <row r="70" spans="1:4" x14ac:dyDescent="0.25">
      <c r="A70" t="s">
        <v>1517</v>
      </c>
      <c r="B70">
        <v>0.108</v>
      </c>
      <c r="C70">
        <v>0</v>
      </c>
      <c r="D70">
        <v>2.3735099337748353E-2</v>
      </c>
    </row>
    <row r="71" spans="1:4" x14ac:dyDescent="0.25">
      <c r="A71" t="s">
        <v>1527</v>
      </c>
      <c r="B71">
        <v>0.42699999999999999</v>
      </c>
      <c r="C71">
        <v>0</v>
      </c>
      <c r="D71">
        <v>0.31523841059602659</v>
      </c>
    </row>
    <row r="72" spans="1:4" x14ac:dyDescent="0.25">
      <c r="A72" t="s">
        <v>634</v>
      </c>
      <c r="B72">
        <v>0.17380000000000001</v>
      </c>
      <c r="C72">
        <v>5.3000000000000001E-5</v>
      </c>
      <c r="D72">
        <v>4.578139072847684E-2</v>
      </c>
    </row>
    <row r="73" spans="1:4" x14ac:dyDescent="0.25">
      <c r="A73" t="s">
        <v>632</v>
      </c>
      <c r="B73">
        <v>2.5239999999999999E-2</v>
      </c>
      <c r="C73">
        <v>7.7329999999999999E-4</v>
      </c>
      <c r="D73">
        <v>7.640664238410597E-3</v>
      </c>
    </row>
    <row r="74" spans="1:4" x14ac:dyDescent="0.25">
      <c r="A74" t="s">
        <v>463</v>
      </c>
      <c r="B74">
        <v>3.8870000000000002E-2</v>
      </c>
      <c r="C74">
        <v>1.308E-2</v>
      </c>
      <c r="D74">
        <v>2.081119205298014E-2</v>
      </c>
    </row>
    <row r="75" spans="1:4" x14ac:dyDescent="0.25">
      <c r="A75" t="s">
        <v>635</v>
      </c>
      <c r="B75">
        <v>0.52500000000000002</v>
      </c>
      <c r="C75">
        <v>0</v>
      </c>
      <c r="D75">
        <v>0.15851456953642393</v>
      </c>
    </row>
    <row r="76" spans="1:4" x14ac:dyDescent="0.25">
      <c r="A76" t="s">
        <v>636</v>
      </c>
      <c r="B76">
        <v>0.52500000000000002</v>
      </c>
      <c r="C76">
        <v>0</v>
      </c>
      <c r="D76">
        <v>0.15893178807947025</v>
      </c>
    </row>
    <row r="77" spans="1:4" x14ac:dyDescent="0.25">
      <c r="A77" t="s">
        <v>625</v>
      </c>
      <c r="B77">
        <v>0.71</v>
      </c>
      <c r="C77">
        <v>0</v>
      </c>
      <c r="D77">
        <v>0.25732317880794703</v>
      </c>
    </row>
    <row r="78" spans="1:4" x14ac:dyDescent="0.25">
      <c r="A78" t="s">
        <v>1518</v>
      </c>
      <c r="B78">
        <v>3.1E-2</v>
      </c>
      <c r="C78">
        <v>0</v>
      </c>
      <c r="D78">
        <v>5.7685562913907321E-3</v>
      </c>
    </row>
    <row r="79" spans="1:4" x14ac:dyDescent="0.25">
      <c r="A79" t="s">
        <v>2326</v>
      </c>
      <c r="B79">
        <v>4.3299999999999998E-2</v>
      </c>
      <c r="C79">
        <v>6.7999999999999996E-3</v>
      </c>
      <c r="D79">
        <v>2.4530463576158918E-2</v>
      </c>
    </row>
    <row r="80" spans="1:4" x14ac:dyDescent="0.25">
      <c r="A80" t="s">
        <v>2486</v>
      </c>
      <c r="B80">
        <v>0.06</v>
      </c>
      <c r="C80">
        <v>0</v>
      </c>
      <c r="D80">
        <v>1.0788615894039719E-2</v>
      </c>
    </row>
    <row r="81" spans="1:4" x14ac:dyDescent="0.25">
      <c r="A81" t="s">
        <v>8137</v>
      </c>
      <c r="B81">
        <v>6.7279999999999996E-3</v>
      </c>
      <c r="C81">
        <v>0</v>
      </c>
      <c r="D81">
        <v>1.9630529801324503E-3</v>
      </c>
    </row>
    <row r="82" spans="1:4" x14ac:dyDescent="0.25">
      <c r="A82" t="s">
        <v>1519</v>
      </c>
      <c r="B82">
        <v>0.69199999999999995</v>
      </c>
      <c r="C82">
        <v>0</v>
      </c>
      <c r="D82">
        <v>9.1046357615894025E-2</v>
      </c>
    </row>
    <row r="83" spans="1:4" x14ac:dyDescent="0.25">
      <c r="A83" t="s">
        <v>1528</v>
      </c>
      <c r="B83">
        <v>0.56409200000000004</v>
      </c>
      <c r="C83">
        <v>0.27170299999999997</v>
      </c>
      <c r="D83">
        <v>0.41492011920529787</v>
      </c>
    </row>
    <row r="84" spans="1:4" x14ac:dyDescent="0.25">
      <c r="A84" t="s">
        <v>1530</v>
      </c>
      <c r="B84">
        <v>0.86329999999999996</v>
      </c>
      <c r="C84">
        <v>0</v>
      </c>
      <c r="D84">
        <v>0.33328026490066226</v>
      </c>
    </row>
    <row r="85" spans="1:4" x14ac:dyDescent="0.25">
      <c r="A85" t="s">
        <v>646</v>
      </c>
      <c r="B85">
        <v>0.28999999999999998</v>
      </c>
      <c r="C85">
        <v>0</v>
      </c>
      <c r="D85">
        <v>2.3990066225165554E-2</v>
      </c>
    </row>
    <row r="86" spans="1:4" x14ac:dyDescent="0.25">
      <c r="A86" t="s">
        <v>647</v>
      </c>
      <c r="B86">
        <v>3.51</v>
      </c>
      <c r="C86">
        <v>0</v>
      </c>
      <c r="D86">
        <v>0.70649006622516564</v>
      </c>
    </row>
    <row r="87" spans="1:4" x14ac:dyDescent="0.25">
      <c r="A87" t="s">
        <v>2492</v>
      </c>
      <c r="B87">
        <v>0.09</v>
      </c>
      <c r="C87">
        <v>0</v>
      </c>
      <c r="D87">
        <v>1.0311258278145701E-2</v>
      </c>
    </row>
    <row r="88" spans="1:4" x14ac:dyDescent="0.25">
      <c r="A88" t="s">
        <v>1520</v>
      </c>
      <c r="B88">
        <v>5.757E-3</v>
      </c>
      <c r="C88">
        <v>0</v>
      </c>
      <c r="D88">
        <v>1.6825331125827816E-3</v>
      </c>
    </row>
    <row r="89" spans="1:4" x14ac:dyDescent="0.25">
      <c r="A89" t="s">
        <v>613</v>
      </c>
      <c r="B89">
        <v>1.39</v>
      </c>
      <c r="C89">
        <v>0</v>
      </c>
      <c r="D89">
        <v>0.13245033112582782</v>
      </c>
    </row>
    <row r="90" spans="1:4" x14ac:dyDescent="0.25">
      <c r="A90" t="s">
        <v>614</v>
      </c>
      <c r="B90">
        <v>1.79</v>
      </c>
      <c r="C90">
        <v>0</v>
      </c>
      <c r="D90">
        <v>0.39725165562913906</v>
      </c>
    </row>
    <row r="91" spans="1:4" x14ac:dyDescent="0.25">
      <c r="A91" t="s">
        <v>1532</v>
      </c>
      <c r="B91">
        <v>4</v>
      </c>
      <c r="C91">
        <v>0</v>
      </c>
      <c r="D91">
        <v>0.2569652317880794</v>
      </c>
    </row>
    <row r="92" spans="1:4" x14ac:dyDescent="0.25">
      <c r="A92" t="s">
        <v>608</v>
      </c>
      <c r="B92">
        <v>9.1999999999999998E-3</v>
      </c>
      <c r="C92">
        <v>0</v>
      </c>
      <c r="D92">
        <v>2.6973178807947022E-3</v>
      </c>
    </row>
    <row r="93" spans="1:4" x14ac:dyDescent="0.25">
      <c r="A93" t="s">
        <v>1523</v>
      </c>
      <c r="B93">
        <v>8.2000000000000003E-2</v>
      </c>
      <c r="C93">
        <v>0</v>
      </c>
      <c r="D93">
        <v>1.91523178807947E-2</v>
      </c>
    </row>
    <row r="94" spans="1:4" x14ac:dyDescent="0.25">
      <c r="A94" t="s">
        <v>615</v>
      </c>
      <c r="B94">
        <v>9.5000000000000001E-2</v>
      </c>
      <c r="C94">
        <v>0</v>
      </c>
      <c r="D94">
        <v>2.1271523178807955E-2</v>
      </c>
    </row>
    <row r="95" spans="1:4" x14ac:dyDescent="0.25">
      <c r="A95" t="s">
        <v>648</v>
      </c>
      <c r="B95">
        <v>3.6354999999999998E-2</v>
      </c>
      <c r="C95">
        <v>0</v>
      </c>
      <c r="D95">
        <v>3.5094966887417212E-3</v>
      </c>
    </row>
    <row r="96" spans="1:4" x14ac:dyDescent="0.25">
      <c r="A96" t="s">
        <v>609</v>
      </c>
      <c r="B96">
        <v>1.98E-3</v>
      </c>
      <c r="C96">
        <v>0</v>
      </c>
      <c r="D96">
        <v>4.6245033112582814E-4</v>
      </c>
    </row>
    <row r="97" spans="1:4" x14ac:dyDescent="0.25">
      <c r="A97" t="s">
        <v>1521</v>
      </c>
      <c r="B97">
        <v>8.2442000000000001E-2</v>
      </c>
      <c r="C97">
        <v>0</v>
      </c>
      <c r="D97">
        <v>5.4663781456953638E-3</v>
      </c>
    </row>
    <row r="98" spans="1:4" x14ac:dyDescent="0.25">
      <c r="A98" t="s">
        <v>8138</v>
      </c>
      <c r="B98">
        <v>3.5000000000000003E-2</v>
      </c>
      <c r="C98">
        <v>0</v>
      </c>
      <c r="D98">
        <v>3.8344370860927163E-3</v>
      </c>
    </row>
    <row r="99" spans="1:4" x14ac:dyDescent="0.25">
      <c r="A99" t="s">
        <v>616</v>
      </c>
      <c r="B99">
        <v>2.92E-2</v>
      </c>
      <c r="C99">
        <v>0</v>
      </c>
      <c r="D99">
        <v>4.4125827814569521E-3</v>
      </c>
    </row>
    <row r="100" spans="1:4" x14ac:dyDescent="0.25">
      <c r="A100" t="s">
        <v>8139</v>
      </c>
      <c r="B100">
        <v>5.9193999999999997E-2</v>
      </c>
      <c r="C100">
        <v>0</v>
      </c>
      <c r="D100">
        <v>4.8843178807947011E-3</v>
      </c>
    </row>
    <row r="101" spans="1:4" x14ac:dyDescent="0.25">
      <c r="A101" t="s">
        <v>1522</v>
      </c>
      <c r="B101">
        <v>0.111</v>
      </c>
      <c r="C101">
        <v>0</v>
      </c>
      <c r="D101">
        <v>3.0052980132450328E-2</v>
      </c>
    </row>
    <row r="102" spans="1:4" x14ac:dyDescent="0.25">
      <c r="A102" t="s">
        <v>637</v>
      </c>
      <c r="B102">
        <v>2.3E-2</v>
      </c>
      <c r="C102">
        <v>0</v>
      </c>
      <c r="D102">
        <v>5.2377483443708638E-3</v>
      </c>
    </row>
    <row r="103" spans="1:4" x14ac:dyDescent="0.25">
      <c r="A103" t="s">
        <v>638</v>
      </c>
      <c r="B103">
        <v>0.03</v>
      </c>
      <c r="C103">
        <v>0</v>
      </c>
      <c r="D103">
        <v>9.1523178807947014E-4</v>
      </c>
    </row>
    <row r="104" spans="1:4" x14ac:dyDescent="0.25">
      <c r="A104" t="s">
        <v>626</v>
      </c>
      <c r="B104">
        <v>0.03</v>
      </c>
      <c r="C104">
        <v>0</v>
      </c>
      <c r="D104">
        <v>4.6622516556291413E-3</v>
      </c>
    </row>
    <row r="105" spans="1:4" x14ac:dyDescent="0.25">
      <c r="A105" t="s">
        <v>627</v>
      </c>
      <c r="B105">
        <v>0.02</v>
      </c>
      <c r="C105">
        <v>0</v>
      </c>
      <c r="D105">
        <v>4.8609271523178833E-3</v>
      </c>
    </row>
    <row r="106" spans="1:4" x14ac:dyDescent="0.25">
      <c r="A106" t="s">
        <v>2038</v>
      </c>
      <c r="B106">
        <v>31.2</v>
      </c>
      <c r="C106">
        <v>0.68</v>
      </c>
      <c r="D106">
        <v>15.998548387096774</v>
      </c>
    </row>
    <row r="107" spans="1:4" x14ac:dyDescent="0.25">
      <c r="A107" t="s">
        <v>427</v>
      </c>
      <c r="B107">
        <v>30.6</v>
      </c>
      <c r="C107">
        <v>0</v>
      </c>
      <c r="D107">
        <v>9.1024193548387107</v>
      </c>
    </row>
    <row r="108" spans="1:4" x14ac:dyDescent="0.25">
      <c r="A108" t="s">
        <v>1216</v>
      </c>
      <c r="B108">
        <v>30.59</v>
      </c>
      <c r="C108">
        <v>0</v>
      </c>
      <c r="D108">
        <v>24.913870967741932</v>
      </c>
    </row>
    <row r="109" spans="1:4" x14ac:dyDescent="0.25">
      <c r="A109" t="s">
        <v>1325</v>
      </c>
      <c r="B109">
        <v>30.4</v>
      </c>
      <c r="C109">
        <v>0</v>
      </c>
      <c r="D109">
        <v>10.783870967741938</v>
      </c>
    </row>
    <row r="110" spans="1:4" x14ac:dyDescent="0.25">
      <c r="A110" t="s">
        <v>1215</v>
      </c>
      <c r="B110">
        <v>30.17</v>
      </c>
      <c r="C110">
        <v>0</v>
      </c>
      <c r="D110">
        <v>6.4636290322580647</v>
      </c>
    </row>
    <row r="111" spans="1:4" x14ac:dyDescent="0.25">
      <c r="A111" t="s">
        <v>2860</v>
      </c>
      <c r="B111">
        <v>29.931999999999999</v>
      </c>
      <c r="C111">
        <v>14.614000000000001</v>
      </c>
      <c r="D111">
        <v>20.814903225806454</v>
      </c>
    </row>
    <row r="112" spans="1:4" x14ac:dyDescent="0.25">
      <c r="A112" t="s">
        <v>2669</v>
      </c>
      <c r="B112">
        <v>29.47</v>
      </c>
      <c r="C112">
        <v>0</v>
      </c>
      <c r="D112">
        <v>15.216596774193548</v>
      </c>
    </row>
    <row r="113" spans="1:4" x14ac:dyDescent="0.25">
      <c r="A113" t="s">
        <v>1403</v>
      </c>
      <c r="B113">
        <v>28.2</v>
      </c>
      <c r="C113">
        <v>0</v>
      </c>
      <c r="D113">
        <v>2.8901612903225802</v>
      </c>
    </row>
    <row r="114" spans="1:4" x14ac:dyDescent="0.25">
      <c r="A114" t="s">
        <v>2531</v>
      </c>
      <c r="B114">
        <v>28</v>
      </c>
      <c r="C114">
        <v>6.9</v>
      </c>
      <c r="D114">
        <v>17.416129032258063</v>
      </c>
    </row>
    <row r="115" spans="1:4" x14ac:dyDescent="0.25">
      <c r="A115" t="s">
        <v>2732</v>
      </c>
      <c r="B115">
        <v>28</v>
      </c>
      <c r="C115">
        <v>0</v>
      </c>
      <c r="D115">
        <v>2.2130645161290325</v>
      </c>
    </row>
    <row r="116" spans="1:4" x14ac:dyDescent="0.25">
      <c r="A116" t="s">
        <v>755</v>
      </c>
      <c r="B116">
        <v>27.2</v>
      </c>
      <c r="C116">
        <v>0</v>
      </c>
      <c r="D116">
        <v>13.395967741935479</v>
      </c>
    </row>
    <row r="117" spans="1:4" x14ac:dyDescent="0.25">
      <c r="A117" t="s">
        <v>1327</v>
      </c>
      <c r="B117">
        <v>27</v>
      </c>
      <c r="C117">
        <v>0</v>
      </c>
      <c r="D117">
        <v>7.6314516129032244</v>
      </c>
    </row>
    <row r="118" spans="1:4" x14ac:dyDescent="0.25">
      <c r="A118" t="s">
        <v>2120</v>
      </c>
      <c r="B118">
        <v>26.9297</v>
      </c>
      <c r="C118">
        <v>1.9599999999999999E-2</v>
      </c>
      <c r="D118">
        <v>3.5623750000000003</v>
      </c>
    </row>
    <row r="119" spans="1:4" x14ac:dyDescent="0.25">
      <c r="A119" t="s">
        <v>426</v>
      </c>
      <c r="B119">
        <v>26.9</v>
      </c>
      <c r="C119">
        <v>0</v>
      </c>
      <c r="D119">
        <v>10.920967741935485</v>
      </c>
    </row>
    <row r="120" spans="1:4" x14ac:dyDescent="0.25">
      <c r="A120" t="s">
        <v>1321</v>
      </c>
      <c r="B120">
        <v>26.2</v>
      </c>
      <c r="C120">
        <v>0</v>
      </c>
      <c r="D120">
        <v>6.878629032258063</v>
      </c>
    </row>
    <row r="121" spans="1:4" x14ac:dyDescent="0.25">
      <c r="A121" t="s">
        <v>1728</v>
      </c>
      <c r="B121">
        <v>25.8933</v>
      </c>
      <c r="C121">
        <v>0</v>
      </c>
      <c r="D121">
        <v>8.3512080645161273</v>
      </c>
    </row>
    <row r="122" spans="1:4" x14ac:dyDescent="0.25">
      <c r="A122" t="s">
        <v>574</v>
      </c>
      <c r="B122">
        <v>25.87</v>
      </c>
      <c r="C122">
        <v>0</v>
      </c>
      <c r="D122">
        <v>6.6723064516129051</v>
      </c>
    </row>
    <row r="123" spans="1:4" x14ac:dyDescent="0.25">
      <c r="A123" t="s">
        <v>2861</v>
      </c>
      <c r="B123">
        <v>25.814</v>
      </c>
      <c r="C123">
        <v>12.035</v>
      </c>
      <c r="D123">
        <v>17.550475806451615</v>
      </c>
    </row>
    <row r="124" spans="1:4" x14ac:dyDescent="0.25">
      <c r="A124" t="s">
        <v>1508</v>
      </c>
      <c r="B124">
        <v>24.81</v>
      </c>
      <c r="C124">
        <v>0</v>
      </c>
      <c r="D124">
        <v>3.8867225806451611</v>
      </c>
    </row>
    <row r="125" spans="1:4" x14ac:dyDescent="0.25">
      <c r="A125" t="s">
        <v>1658</v>
      </c>
      <c r="B125">
        <v>23.7</v>
      </c>
      <c r="C125">
        <v>0</v>
      </c>
      <c r="D125">
        <v>18.505338709677424</v>
      </c>
    </row>
    <row r="126" spans="1:4" x14ac:dyDescent="0.25">
      <c r="A126" t="s">
        <v>1295</v>
      </c>
      <c r="B126">
        <v>23.6</v>
      </c>
      <c r="C126">
        <v>0</v>
      </c>
      <c r="D126">
        <v>6.8425000000000011</v>
      </c>
    </row>
    <row r="127" spans="1:4" x14ac:dyDescent="0.25">
      <c r="A127" t="s">
        <v>578</v>
      </c>
      <c r="B127">
        <v>22.8</v>
      </c>
      <c r="C127">
        <v>0</v>
      </c>
      <c r="D127">
        <v>14.546774193548387</v>
      </c>
    </row>
    <row r="128" spans="1:4" x14ac:dyDescent="0.25">
      <c r="A128" t="s">
        <v>749</v>
      </c>
      <c r="B128">
        <v>22</v>
      </c>
      <c r="C128">
        <v>0</v>
      </c>
      <c r="D128">
        <v>16.558064516129033</v>
      </c>
    </row>
    <row r="129" spans="1:4" x14ac:dyDescent="0.25">
      <c r="A129" t="s">
        <v>642</v>
      </c>
      <c r="B129">
        <v>22</v>
      </c>
      <c r="C129">
        <v>0</v>
      </c>
      <c r="D129">
        <v>17.243709677419353</v>
      </c>
    </row>
    <row r="130" spans="1:4" x14ac:dyDescent="0.25">
      <c r="A130" t="s">
        <v>897</v>
      </c>
      <c r="B130">
        <v>21.9</v>
      </c>
      <c r="C130">
        <v>0</v>
      </c>
      <c r="D130">
        <v>10.640564516129031</v>
      </c>
    </row>
    <row r="131" spans="1:4" x14ac:dyDescent="0.25">
      <c r="A131" t="s">
        <v>281</v>
      </c>
      <c r="B131">
        <v>21.66</v>
      </c>
      <c r="C131">
        <v>0</v>
      </c>
      <c r="D131">
        <v>18.705322580645163</v>
      </c>
    </row>
    <row r="132" spans="1:4" x14ac:dyDescent="0.25">
      <c r="A132" t="s">
        <v>751</v>
      </c>
      <c r="B132">
        <v>20.8</v>
      </c>
      <c r="C132">
        <v>0</v>
      </c>
      <c r="D132">
        <v>13.982258064516129</v>
      </c>
    </row>
    <row r="133" spans="1:4" x14ac:dyDescent="0.25">
      <c r="A133" t="s">
        <v>383</v>
      </c>
      <c r="B133">
        <v>20.329999999999998</v>
      </c>
      <c r="C133">
        <v>0</v>
      </c>
      <c r="D133">
        <v>16.311177419354845</v>
      </c>
    </row>
    <row r="134" spans="1:4" x14ac:dyDescent="0.25">
      <c r="A134" t="s">
        <v>1322</v>
      </c>
      <c r="B134">
        <v>20.2</v>
      </c>
      <c r="C134">
        <v>0</v>
      </c>
      <c r="D134">
        <v>6.5429032258064517</v>
      </c>
    </row>
    <row r="135" spans="1:4" x14ac:dyDescent="0.25">
      <c r="A135" t="s">
        <v>2646</v>
      </c>
      <c r="B135">
        <v>19.72</v>
      </c>
      <c r="C135">
        <v>8.83</v>
      </c>
      <c r="D135">
        <v>13.349112903225812</v>
      </c>
    </row>
    <row r="136" spans="1:4" x14ac:dyDescent="0.25">
      <c r="A136" t="s">
        <v>2532</v>
      </c>
      <c r="B136">
        <v>19.7</v>
      </c>
      <c r="C136">
        <v>0</v>
      </c>
      <c r="D136">
        <v>7.6653225806451619</v>
      </c>
    </row>
    <row r="137" spans="1:4" x14ac:dyDescent="0.25">
      <c r="A137" t="s">
        <v>2903</v>
      </c>
      <c r="B137">
        <v>19.399999999999999</v>
      </c>
      <c r="C137">
        <v>0</v>
      </c>
      <c r="D137">
        <v>2.8076532258064506</v>
      </c>
    </row>
    <row r="138" spans="1:4" x14ac:dyDescent="0.25">
      <c r="A138" t="s">
        <v>1886</v>
      </c>
      <c r="B138">
        <v>19.18</v>
      </c>
      <c r="C138">
        <v>0</v>
      </c>
      <c r="D138">
        <v>12.641290322580645</v>
      </c>
    </row>
    <row r="139" spans="1:4" x14ac:dyDescent="0.25">
      <c r="A139" t="s">
        <v>60</v>
      </c>
      <c r="B139">
        <v>18.649999999999999</v>
      </c>
      <c r="C139">
        <v>8.1</v>
      </c>
      <c r="D139">
        <v>11.921774193548387</v>
      </c>
    </row>
    <row r="140" spans="1:4" x14ac:dyDescent="0.25">
      <c r="A140" t="s">
        <v>1291</v>
      </c>
      <c r="B140">
        <v>18.5</v>
      </c>
      <c r="C140">
        <v>0</v>
      </c>
      <c r="D140">
        <v>3.6056451612903229</v>
      </c>
    </row>
    <row r="141" spans="1:4" x14ac:dyDescent="0.25">
      <c r="A141" t="s">
        <v>2874</v>
      </c>
      <c r="B141">
        <v>18.459</v>
      </c>
      <c r="C141">
        <v>0</v>
      </c>
      <c r="D141">
        <v>9.1423870967741951</v>
      </c>
    </row>
    <row r="142" spans="1:4" x14ac:dyDescent="0.25">
      <c r="A142" t="s">
        <v>885</v>
      </c>
      <c r="B142">
        <v>18.225000000000001</v>
      </c>
      <c r="C142">
        <v>13.205</v>
      </c>
      <c r="D142">
        <v>16.30546774193548</v>
      </c>
    </row>
    <row r="143" spans="1:4" x14ac:dyDescent="0.25">
      <c r="A143" t="s">
        <v>1319</v>
      </c>
      <c r="B143">
        <v>18</v>
      </c>
      <c r="C143">
        <v>0</v>
      </c>
      <c r="D143">
        <v>4.2475806451612899</v>
      </c>
    </row>
    <row r="144" spans="1:4" x14ac:dyDescent="0.25">
      <c r="A144" t="s">
        <v>1263</v>
      </c>
      <c r="B144">
        <v>17.786999999999999</v>
      </c>
      <c r="C144">
        <v>0</v>
      </c>
      <c r="D144">
        <v>10.658290322580646</v>
      </c>
    </row>
    <row r="145" spans="1:4" x14ac:dyDescent="0.25">
      <c r="A145" t="s">
        <v>1816</v>
      </c>
      <c r="B145">
        <v>17.600000000000001</v>
      </c>
      <c r="C145">
        <v>0</v>
      </c>
      <c r="D145">
        <v>13.181451612903224</v>
      </c>
    </row>
    <row r="146" spans="1:4" x14ac:dyDescent="0.25">
      <c r="A146" t="s">
        <v>2686</v>
      </c>
      <c r="B146">
        <v>17.600000000000001</v>
      </c>
      <c r="C146">
        <v>0</v>
      </c>
      <c r="D146">
        <v>13.600483870967743</v>
      </c>
    </row>
    <row r="147" spans="1:4" x14ac:dyDescent="0.25">
      <c r="A147" t="s">
        <v>252</v>
      </c>
      <c r="B147">
        <v>17.116</v>
      </c>
      <c r="C147">
        <v>0</v>
      </c>
      <c r="D147">
        <v>8.6780000000000008</v>
      </c>
    </row>
    <row r="148" spans="1:4" x14ac:dyDescent="0.25">
      <c r="A148" t="s">
        <v>1596</v>
      </c>
      <c r="B148">
        <v>17.103999999999999</v>
      </c>
      <c r="C148">
        <v>0</v>
      </c>
      <c r="D148">
        <v>8.7472580645161315</v>
      </c>
    </row>
    <row r="149" spans="1:4" x14ac:dyDescent="0.25">
      <c r="A149" t="s">
        <v>1599</v>
      </c>
      <c r="B149">
        <v>17.103999999999999</v>
      </c>
      <c r="C149">
        <v>0</v>
      </c>
      <c r="D149">
        <v>9.9467096774193546</v>
      </c>
    </row>
    <row r="150" spans="1:4" x14ac:dyDescent="0.25">
      <c r="A150" t="s">
        <v>524</v>
      </c>
      <c r="B150">
        <v>17.071000000000002</v>
      </c>
      <c r="C150">
        <v>0</v>
      </c>
      <c r="D150">
        <v>5.8307983870967748</v>
      </c>
    </row>
    <row r="151" spans="1:4" x14ac:dyDescent="0.25">
      <c r="A151" t="s">
        <v>1405</v>
      </c>
      <c r="B151">
        <v>16.8</v>
      </c>
      <c r="C151">
        <v>0</v>
      </c>
      <c r="D151">
        <v>4.7864516129032246</v>
      </c>
    </row>
    <row r="152" spans="1:4" x14ac:dyDescent="0.25">
      <c r="A152" t="s">
        <v>2577</v>
      </c>
      <c r="B152">
        <v>16.718</v>
      </c>
      <c r="C152">
        <v>0</v>
      </c>
      <c r="D152">
        <v>4.3036854838709671</v>
      </c>
    </row>
    <row r="153" spans="1:4" x14ac:dyDescent="0.25">
      <c r="A153" t="s">
        <v>1211</v>
      </c>
      <c r="B153">
        <v>16.66</v>
      </c>
      <c r="C153">
        <v>0</v>
      </c>
      <c r="D153">
        <v>12.995483870967742</v>
      </c>
    </row>
    <row r="154" spans="1:4" x14ac:dyDescent="0.25">
      <c r="A154" t="s">
        <v>1368</v>
      </c>
      <c r="B154">
        <v>16.53</v>
      </c>
      <c r="C154">
        <v>0</v>
      </c>
      <c r="D154">
        <v>8.3669677419354826</v>
      </c>
    </row>
    <row r="155" spans="1:4" x14ac:dyDescent="0.25">
      <c r="A155" t="s">
        <v>1470</v>
      </c>
      <c r="B155">
        <v>16.37</v>
      </c>
      <c r="C155">
        <v>0</v>
      </c>
      <c r="D155">
        <v>4.1228225806451606</v>
      </c>
    </row>
    <row r="156" spans="1:4" x14ac:dyDescent="0.25">
      <c r="A156" t="s">
        <v>2731</v>
      </c>
      <c r="B156">
        <v>16</v>
      </c>
      <c r="C156">
        <v>0</v>
      </c>
      <c r="D156">
        <v>1.8819354838709679</v>
      </c>
    </row>
    <row r="157" spans="1:4" x14ac:dyDescent="0.25">
      <c r="A157" t="s">
        <v>1908</v>
      </c>
      <c r="B157">
        <v>15.6</v>
      </c>
      <c r="C157">
        <v>0</v>
      </c>
      <c r="D157">
        <v>11.45893548387097</v>
      </c>
    </row>
    <row r="158" spans="1:4" x14ac:dyDescent="0.25">
      <c r="A158" t="s">
        <v>2526</v>
      </c>
      <c r="B158">
        <v>15.3</v>
      </c>
      <c r="C158">
        <v>5.3</v>
      </c>
      <c r="D158">
        <v>8.88774193548387</v>
      </c>
    </row>
    <row r="159" spans="1:4" x14ac:dyDescent="0.25">
      <c r="A159" t="s">
        <v>2198</v>
      </c>
      <c r="B159">
        <v>14.988</v>
      </c>
      <c r="C159">
        <v>0</v>
      </c>
      <c r="D159">
        <v>11.34059677419355</v>
      </c>
    </row>
    <row r="160" spans="1:4" x14ac:dyDescent="0.25">
      <c r="A160" t="s">
        <v>925</v>
      </c>
      <c r="B160">
        <v>14.79576</v>
      </c>
      <c r="C160">
        <v>0</v>
      </c>
      <c r="D160">
        <v>1.6324054032258062</v>
      </c>
    </row>
    <row r="161" spans="1:4" x14ac:dyDescent="0.25">
      <c r="A161" t="s">
        <v>1939</v>
      </c>
      <c r="B161">
        <v>14.32</v>
      </c>
      <c r="C161">
        <v>0</v>
      </c>
      <c r="D161">
        <v>9.2228548387096758</v>
      </c>
    </row>
    <row r="162" spans="1:4" x14ac:dyDescent="0.25">
      <c r="A162" t="s">
        <v>864</v>
      </c>
      <c r="B162">
        <v>14.2</v>
      </c>
      <c r="C162">
        <v>0</v>
      </c>
      <c r="D162">
        <v>8.8329838709677428</v>
      </c>
    </row>
    <row r="163" spans="1:4" x14ac:dyDescent="0.25">
      <c r="A163" t="s">
        <v>962</v>
      </c>
      <c r="B163">
        <v>14.122</v>
      </c>
      <c r="C163">
        <v>0</v>
      </c>
      <c r="D163">
        <v>9.7197903225806428</v>
      </c>
    </row>
    <row r="164" spans="1:4" x14ac:dyDescent="0.25">
      <c r="A164" t="s">
        <v>1191</v>
      </c>
      <c r="B164">
        <v>14.01</v>
      </c>
      <c r="C164">
        <v>0</v>
      </c>
      <c r="D164">
        <v>8.0974193548387117</v>
      </c>
    </row>
    <row r="165" spans="1:4" x14ac:dyDescent="0.25">
      <c r="A165" t="s">
        <v>1072</v>
      </c>
      <c r="B165">
        <v>13.9</v>
      </c>
      <c r="C165">
        <v>0</v>
      </c>
      <c r="D165">
        <v>11.446048387096768</v>
      </c>
    </row>
    <row r="166" spans="1:4" x14ac:dyDescent="0.25">
      <c r="A166" t="s">
        <v>1289</v>
      </c>
      <c r="B166">
        <v>13.5</v>
      </c>
      <c r="C166">
        <v>0</v>
      </c>
      <c r="D166">
        <v>3.5516129032258066</v>
      </c>
    </row>
    <row r="167" spans="1:4" x14ac:dyDescent="0.25">
      <c r="A167" t="s">
        <v>2104</v>
      </c>
      <c r="B167">
        <v>13.34</v>
      </c>
      <c r="C167">
        <v>0</v>
      </c>
      <c r="D167">
        <v>8.0538064516129033</v>
      </c>
    </row>
    <row r="168" spans="1:4" x14ac:dyDescent="0.25">
      <c r="A168" t="s">
        <v>1938</v>
      </c>
      <c r="B168">
        <v>13.2</v>
      </c>
      <c r="C168">
        <v>0</v>
      </c>
      <c r="D168">
        <v>9.4505967741935457</v>
      </c>
    </row>
    <row r="169" spans="1:4" x14ac:dyDescent="0.25">
      <c r="A169" t="s">
        <v>2675</v>
      </c>
      <c r="B169">
        <v>12.83</v>
      </c>
      <c r="C169">
        <v>0</v>
      </c>
      <c r="D169">
        <v>6.7332419354838713</v>
      </c>
    </row>
    <row r="170" spans="1:4" x14ac:dyDescent="0.25">
      <c r="A170" t="s">
        <v>90</v>
      </c>
      <c r="B170">
        <v>12.8</v>
      </c>
      <c r="C170">
        <v>0</v>
      </c>
      <c r="D170">
        <v>5.7750806451612933</v>
      </c>
    </row>
    <row r="171" spans="1:4" x14ac:dyDescent="0.25">
      <c r="A171" t="s">
        <v>1268</v>
      </c>
      <c r="B171">
        <v>12.78</v>
      </c>
      <c r="C171">
        <v>0</v>
      </c>
      <c r="D171">
        <v>8.1458064516129038</v>
      </c>
    </row>
    <row r="172" spans="1:4" x14ac:dyDescent="0.25">
      <c r="A172" t="s">
        <v>2875</v>
      </c>
      <c r="B172">
        <v>12.46</v>
      </c>
      <c r="C172">
        <v>0</v>
      </c>
      <c r="D172">
        <v>6.6500080645161299</v>
      </c>
    </row>
    <row r="173" spans="1:4" x14ac:dyDescent="0.25">
      <c r="A173" t="s">
        <v>1751</v>
      </c>
      <c r="B173">
        <v>12.34</v>
      </c>
      <c r="C173">
        <v>0</v>
      </c>
      <c r="D173">
        <v>4.4683064516129027</v>
      </c>
    </row>
    <row r="174" spans="1:4" x14ac:dyDescent="0.25">
      <c r="A174" t="s">
        <v>1251</v>
      </c>
      <c r="B174">
        <v>11.957000000000001</v>
      </c>
      <c r="C174">
        <v>0</v>
      </c>
      <c r="D174">
        <v>10.011080645161293</v>
      </c>
    </row>
    <row r="175" spans="1:4" x14ac:dyDescent="0.25">
      <c r="A175" t="s">
        <v>349</v>
      </c>
      <c r="B175">
        <v>11.952</v>
      </c>
      <c r="C175">
        <v>0</v>
      </c>
      <c r="D175">
        <v>2.9468548387096769</v>
      </c>
    </row>
    <row r="176" spans="1:4" x14ac:dyDescent="0.25">
      <c r="A176" t="s">
        <v>1166</v>
      </c>
      <c r="B176">
        <v>11.85</v>
      </c>
      <c r="C176">
        <v>0</v>
      </c>
      <c r="D176">
        <v>7.4584677419354852</v>
      </c>
    </row>
    <row r="177" spans="1:4" x14ac:dyDescent="0.25">
      <c r="A177" t="s">
        <v>1266</v>
      </c>
      <c r="B177">
        <v>11.82</v>
      </c>
      <c r="C177">
        <v>0</v>
      </c>
      <c r="D177">
        <v>3.2297185483870963</v>
      </c>
    </row>
    <row r="178" spans="1:4" x14ac:dyDescent="0.25">
      <c r="A178" t="s">
        <v>1310</v>
      </c>
      <c r="B178">
        <v>11.8</v>
      </c>
      <c r="C178">
        <v>0</v>
      </c>
      <c r="D178">
        <v>2.3725806451612903</v>
      </c>
    </row>
    <row r="179" spans="1:4" x14ac:dyDescent="0.25">
      <c r="A179" t="s">
        <v>2687</v>
      </c>
      <c r="B179">
        <v>11.576000000000001</v>
      </c>
      <c r="C179">
        <v>0</v>
      </c>
      <c r="D179">
        <v>9.110750000000003</v>
      </c>
    </row>
    <row r="180" spans="1:4" x14ac:dyDescent="0.25">
      <c r="A180" t="s">
        <v>579</v>
      </c>
      <c r="B180">
        <v>11.52</v>
      </c>
      <c r="C180">
        <v>0</v>
      </c>
      <c r="D180">
        <v>2.9340322580645157</v>
      </c>
    </row>
    <row r="181" spans="1:4" x14ac:dyDescent="0.25">
      <c r="A181" t="s">
        <v>411</v>
      </c>
      <c r="B181">
        <v>11.45</v>
      </c>
      <c r="C181">
        <v>0</v>
      </c>
      <c r="D181">
        <v>5.4706530000000004</v>
      </c>
    </row>
    <row r="182" spans="1:4" x14ac:dyDescent="0.25">
      <c r="A182" t="s">
        <v>1799</v>
      </c>
      <c r="B182">
        <v>11.204000000000001</v>
      </c>
      <c r="C182">
        <v>0</v>
      </c>
      <c r="D182">
        <v>7.8866935483870977</v>
      </c>
    </row>
    <row r="183" spans="1:4" x14ac:dyDescent="0.25">
      <c r="A183" t="s">
        <v>1733</v>
      </c>
      <c r="B183">
        <v>11.19</v>
      </c>
      <c r="C183">
        <v>0</v>
      </c>
      <c r="D183">
        <v>2.3509113709677414</v>
      </c>
    </row>
    <row r="184" spans="1:4" x14ac:dyDescent="0.25">
      <c r="A184" t="s">
        <v>520</v>
      </c>
      <c r="B184">
        <v>11.06</v>
      </c>
      <c r="C184">
        <v>0</v>
      </c>
      <c r="D184">
        <v>3.6391129032258065</v>
      </c>
    </row>
    <row r="185" spans="1:4" x14ac:dyDescent="0.25">
      <c r="A185" t="s">
        <v>346</v>
      </c>
      <c r="B185">
        <v>10.993</v>
      </c>
      <c r="C185">
        <v>0</v>
      </c>
      <c r="D185">
        <v>3.5317709677419349</v>
      </c>
    </row>
    <row r="186" spans="1:4" x14ac:dyDescent="0.25">
      <c r="A186" t="s">
        <v>487</v>
      </c>
      <c r="B186">
        <v>10.94</v>
      </c>
      <c r="C186">
        <v>0.75800000000000001</v>
      </c>
      <c r="D186">
        <v>1.1790322580645161</v>
      </c>
    </row>
    <row r="187" spans="1:4" x14ac:dyDescent="0.25">
      <c r="A187" t="s">
        <v>905</v>
      </c>
      <c r="B187">
        <v>10.784000000000001</v>
      </c>
      <c r="C187">
        <v>0</v>
      </c>
      <c r="D187">
        <v>6.7371612903225815</v>
      </c>
    </row>
    <row r="188" spans="1:4" x14ac:dyDescent="0.25">
      <c r="A188" t="s">
        <v>1088</v>
      </c>
      <c r="B188">
        <v>10.7311</v>
      </c>
      <c r="C188">
        <v>0</v>
      </c>
      <c r="D188">
        <v>1.3903011604838706</v>
      </c>
    </row>
    <row r="189" spans="1:4" x14ac:dyDescent="0.25">
      <c r="A189" t="s">
        <v>2405</v>
      </c>
      <c r="B189">
        <v>10.6</v>
      </c>
      <c r="C189">
        <v>0</v>
      </c>
      <c r="D189">
        <v>8.1733870967741939</v>
      </c>
    </row>
    <row r="190" spans="1:4" x14ac:dyDescent="0.25">
      <c r="A190" t="s">
        <v>2257</v>
      </c>
      <c r="B190">
        <v>10.4</v>
      </c>
      <c r="C190">
        <v>0</v>
      </c>
      <c r="D190">
        <v>6.9306451612903235</v>
      </c>
    </row>
    <row r="191" spans="1:4" x14ac:dyDescent="0.25">
      <c r="A191" t="s">
        <v>850</v>
      </c>
      <c r="B191">
        <v>10.3</v>
      </c>
      <c r="C191">
        <v>0</v>
      </c>
      <c r="D191">
        <v>4.6200806451612904</v>
      </c>
    </row>
    <row r="192" spans="1:4" x14ac:dyDescent="0.25">
      <c r="A192" t="s">
        <v>1643</v>
      </c>
      <c r="B192">
        <v>10.285</v>
      </c>
      <c r="C192">
        <v>0</v>
      </c>
      <c r="D192">
        <v>7.4175645161290333</v>
      </c>
    </row>
    <row r="193" spans="1:4" x14ac:dyDescent="0.25">
      <c r="A193" t="s">
        <v>1302</v>
      </c>
      <c r="B193">
        <v>10.199999999999999</v>
      </c>
      <c r="C193">
        <v>0</v>
      </c>
      <c r="D193">
        <v>1.723387096774194</v>
      </c>
    </row>
    <row r="194" spans="1:4" x14ac:dyDescent="0.25">
      <c r="A194" t="s">
        <v>808</v>
      </c>
      <c r="B194">
        <v>10.199999999999999</v>
      </c>
      <c r="C194">
        <v>0</v>
      </c>
      <c r="D194">
        <v>5.026209677419355</v>
      </c>
    </row>
    <row r="195" spans="1:4" x14ac:dyDescent="0.25">
      <c r="A195" t="s">
        <v>766</v>
      </c>
      <c r="B195">
        <v>10.183</v>
      </c>
      <c r="C195">
        <v>0</v>
      </c>
      <c r="D195">
        <v>6.6392741935483865</v>
      </c>
    </row>
    <row r="196" spans="1:4" x14ac:dyDescent="0.25">
      <c r="A196" t="s">
        <v>1214</v>
      </c>
      <c r="B196">
        <v>10.15</v>
      </c>
      <c r="C196">
        <v>0</v>
      </c>
      <c r="D196">
        <v>6.5075806451612888</v>
      </c>
    </row>
    <row r="197" spans="1:4" x14ac:dyDescent="0.25">
      <c r="A197" t="s">
        <v>1801</v>
      </c>
      <c r="B197">
        <v>10.131</v>
      </c>
      <c r="C197">
        <v>0</v>
      </c>
      <c r="D197">
        <v>5.4038629032258028</v>
      </c>
    </row>
    <row r="198" spans="1:4" x14ac:dyDescent="0.25">
      <c r="A198" t="s">
        <v>1206</v>
      </c>
      <c r="B198">
        <v>10.116</v>
      </c>
      <c r="C198">
        <v>0</v>
      </c>
      <c r="D198">
        <v>8.5140725806451591</v>
      </c>
    </row>
    <row r="199" spans="1:4" x14ac:dyDescent="0.25">
      <c r="A199" t="s">
        <v>65</v>
      </c>
      <c r="B199">
        <v>9.8699999999999992</v>
      </c>
      <c r="C199">
        <v>0</v>
      </c>
      <c r="D199">
        <v>6.6684596774193556</v>
      </c>
    </row>
    <row r="200" spans="1:4" x14ac:dyDescent="0.25">
      <c r="A200" t="s">
        <v>1282</v>
      </c>
      <c r="B200">
        <v>9.82</v>
      </c>
      <c r="C200">
        <v>3.206</v>
      </c>
      <c r="D200">
        <v>5.4378225806451628</v>
      </c>
    </row>
    <row r="201" spans="1:4" x14ac:dyDescent="0.25">
      <c r="A201" t="s">
        <v>248</v>
      </c>
      <c r="B201">
        <v>9.7590000000000003</v>
      </c>
      <c r="C201">
        <v>0</v>
      </c>
      <c r="D201">
        <v>4.951274193548385</v>
      </c>
    </row>
    <row r="202" spans="1:4" x14ac:dyDescent="0.25">
      <c r="A202" t="s">
        <v>898</v>
      </c>
      <c r="B202">
        <v>9.5666670000000007</v>
      </c>
      <c r="C202">
        <v>1.0429000000000001E-2</v>
      </c>
      <c r="D202">
        <v>2.8443238387096788</v>
      </c>
    </row>
    <row r="203" spans="1:4" x14ac:dyDescent="0.25">
      <c r="A203" t="s">
        <v>862</v>
      </c>
      <c r="B203">
        <v>9.5500000000000007</v>
      </c>
      <c r="C203">
        <v>0</v>
      </c>
      <c r="D203">
        <v>3.7265409677419354</v>
      </c>
    </row>
    <row r="204" spans="1:4" x14ac:dyDescent="0.25">
      <c r="A204" t="s">
        <v>311</v>
      </c>
      <c r="B204">
        <v>9.5090000000000003</v>
      </c>
      <c r="C204">
        <v>0</v>
      </c>
      <c r="D204">
        <v>6.0873145161290321</v>
      </c>
    </row>
    <row r="205" spans="1:4" x14ac:dyDescent="0.25">
      <c r="A205" t="s">
        <v>732</v>
      </c>
      <c r="B205">
        <v>9.5</v>
      </c>
      <c r="C205">
        <v>0.74</v>
      </c>
      <c r="D205">
        <v>3.4009677419354838</v>
      </c>
    </row>
    <row r="206" spans="1:4" x14ac:dyDescent="0.25">
      <c r="A206" t="s">
        <v>1192</v>
      </c>
      <c r="B206">
        <v>9.32</v>
      </c>
      <c r="C206">
        <v>0</v>
      </c>
      <c r="D206">
        <v>2.6604838709677421</v>
      </c>
    </row>
    <row r="207" spans="1:4" x14ac:dyDescent="0.25">
      <c r="A207" t="s">
        <v>731</v>
      </c>
      <c r="B207">
        <v>9.2899999999999991</v>
      </c>
      <c r="C207">
        <v>0</v>
      </c>
      <c r="D207">
        <v>3.0451612903225804</v>
      </c>
    </row>
    <row r="208" spans="1:4" x14ac:dyDescent="0.25">
      <c r="A208" t="s">
        <v>433</v>
      </c>
      <c r="B208">
        <v>9.1</v>
      </c>
      <c r="C208">
        <v>0</v>
      </c>
      <c r="D208">
        <v>3.7241935483870958</v>
      </c>
    </row>
    <row r="209" spans="1:4" x14ac:dyDescent="0.25">
      <c r="A209" t="s">
        <v>1006</v>
      </c>
      <c r="B209">
        <v>9.0830000000000002</v>
      </c>
      <c r="C209">
        <v>7.117</v>
      </c>
      <c r="D209">
        <v>7.9161209677419375</v>
      </c>
    </row>
    <row r="210" spans="1:4" x14ac:dyDescent="0.25">
      <c r="A210" t="s">
        <v>1959</v>
      </c>
      <c r="B210">
        <v>9.07</v>
      </c>
      <c r="C210">
        <v>0</v>
      </c>
      <c r="D210">
        <v>6.7451129032258068</v>
      </c>
    </row>
    <row r="211" spans="1:4" x14ac:dyDescent="0.25">
      <c r="A211" t="s">
        <v>1755</v>
      </c>
      <c r="B211">
        <v>9</v>
      </c>
      <c r="C211">
        <v>0</v>
      </c>
      <c r="D211">
        <v>3.3672580645161285</v>
      </c>
    </row>
    <row r="212" spans="1:4" x14ac:dyDescent="0.25">
      <c r="A212" t="s">
        <v>1756</v>
      </c>
      <c r="B212">
        <v>9</v>
      </c>
      <c r="C212">
        <v>0</v>
      </c>
      <c r="D212">
        <v>3.4629516129032263</v>
      </c>
    </row>
    <row r="213" spans="1:4" x14ac:dyDescent="0.25">
      <c r="A213" t="s">
        <v>1757</v>
      </c>
      <c r="B213">
        <v>9</v>
      </c>
      <c r="C213">
        <v>0</v>
      </c>
      <c r="D213">
        <v>3.0158548387096777</v>
      </c>
    </row>
    <row r="214" spans="1:4" x14ac:dyDescent="0.25">
      <c r="A214" t="s">
        <v>1758</v>
      </c>
      <c r="B214">
        <v>9</v>
      </c>
      <c r="C214">
        <v>0</v>
      </c>
      <c r="D214">
        <v>2.6033870967741932</v>
      </c>
    </row>
    <row r="215" spans="1:4" x14ac:dyDescent="0.25">
      <c r="A215" t="s">
        <v>1759</v>
      </c>
      <c r="B215">
        <v>9</v>
      </c>
      <c r="C215">
        <v>0</v>
      </c>
      <c r="D215">
        <v>2.8208064516129037</v>
      </c>
    </row>
    <row r="216" spans="1:4" x14ac:dyDescent="0.25">
      <c r="A216" t="s">
        <v>1811</v>
      </c>
      <c r="B216">
        <v>9</v>
      </c>
      <c r="C216">
        <v>0</v>
      </c>
      <c r="D216">
        <v>0.19022187096774196</v>
      </c>
    </row>
    <row r="217" spans="1:4" x14ac:dyDescent="0.25">
      <c r="A217" t="s">
        <v>761</v>
      </c>
      <c r="B217">
        <v>9</v>
      </c>
      <c r="C217">
        <v>0</v>
      </c>
      <c r="D217">
        <v>2.467741935483871</v>
      </c>
    </row>
    <row r="218" spans="1:4" x14ac:dyDescent="0.25">
      <c r="A218" t="s">
        <v>1846</v>
      </c>
      <c r="B218">
        <v>9</v>
      </c>
      <c r="C218">
        <v>0.1888</v>
      </c>
      <c r="D218">
        <v>1.7046299435483865</v>
      </c>
    </row>
    <row r="219" spans="1:4" x14ac:dyDescent="0.25">
      <c r="A219" t="s">
        <v>2623</v>
      </c>
      <c r="B219">
        <v>9</v>
      </c>
      <c r="C219">
        <v>0</v>
      </c>
      <c r="D219">
        <v>1.893177419354839</v>
      </c>
    </row>
    <row r="220" spans="1:4" x14ac:dyDescent="0.25">
      <c r="A220" t="s">
        <v>1184</v>
      </c>
      <c r="B220">
        <v>9</v>
      </c>
      <c r="C220">
        <v>0</v>
      </c>
      <c r="D220">
        <v>6.7135161290322571</v>
      </c>
    </row>
    <row r="221" spans="1:4" x14ac:dyDescent="0.25">
      <c r="A221" t="s">
        <v>1095</v>
      </c>
      <c r="B221">
        <v>9</v>
      </c>
      <c r="C221">
        <v>1E-4</v>
      </c>
      <c r="D221">
        <v>1.5228817096774201</v>
      </c>
    </row>
    <row r="222" spans="1:4" x14ac:dyDescent="0.25">
      <c r="A222" t="s">
        <v>502</v>
      </c>
      <c r="B222">
        <v>9</v>
      </c>
      <c r="C222">
        <v>0</v>
      </c>
      <c r="D222">
        <v>0.45135483870967746</v>
      </c>
    </row>
    <row r="223" spans="1:4" x14ac:dyDescent="0.25">
      <c r="A223" t="s">
        <v>1628</v>
      </c>
      <c r="B223">
        <v>8.9469999999999992</v>
      </c>
      <c r="C223">
        <v>2.84</v>
      </c>
      <c r="D223">
        <v>5.0825887096774194</v>
      </c>
    </row>
    <row r="224" spans="1:4" x14ac:dyDescent="0.25">
      <c r="A224" t="s">
        <v>1630</v>
      </c>
      <c r="B224">
        <v>8.9459999999999997</v>
      </c>
      <c r="C224">
        <v>0</v>
      </c>
      <c r="D224">
        <v>5.3320225806451607</v>
      </c>
    </row>
    <row r="225" spans="1:4" x14ac:dyDescent="0.25">
      <c r="A225" t="s">
        <v>807</v>
      </c>
      <c r="B225">
        <v>8.9</v>
      </c>
      <c r="C225">
        <v>0</v>
      </c>
      <c r="D225">
        <v>5.3209677419354851</v>
      </c>
    </row>
    <row r="226" spans="1:4" x14ac:dyDescent="0.25">
      <c r="A226" t="s">
        <v>408</v>
      </c>
      <c r="B226">
        <v>8.827</v>
      </c>
      <c r="C226">
        <v>0</v>
      </c>
      <c r="D226">
        <v>5.541500000000001</v>
      </c>
    </row>
    <row r="227" spans="1:4" x14ac:dyDescent="0.25">
      <c r="A227" t="s">
        <v>1927</v>
      </c>
      <c r="B227">
        <v>8.8000000000000007</v>
      </c>
      <c r="C227">
        <v>0</v>
      </c>
      <c r="D227">
        <v>5.4697903225806446</v>
      </c>
    </row>
    <row r="228" spans="1:4" x14ac:dyDescent="0.25">
      <c r="A228" t="s">
        <v>277</v>
      </c>
      <c r="B228">
        <v>8.44</v>
      </c>
      <c r="C228">
        <v>0</v>
      </c>
      <c r="D228">
        <v>5.6948387096774207</v>
      </c>
    </row>
    <row r="229" spans="1:4" x14ac:dyDescent="0.25">
      <c r="A229" t="s">
        <v>961</v>
      </c>
      <c r="B229">
        <v>8.31</v>
      </c>
      <c r="C229">
        <v>0</v>
      </c>
      <c r="D229">
        <v>6.0982903225806435</v>
      </c>
    </row>
    <row r="230" spans="1:4" x14ac:dyDescent="0.25">
      <c r="A230" t="s">
        <v>1750</v>
      </c>
      <c r="B230">
        <v>8.3000000000000007</v>
      </c>
      <c r="C230">
        <v>0</v>
      </c>
      <c r="D230">
        <v>5.0167741935483878</v>
      </c>
    </row>
    <row r="231" spans="1:4" x14ac:dyDescent="0.25">
      <c r="A231" t="s">
        <v>1253</v>
      </c>
      <c r="B231">
        <v>8.2100000000000009</v>
      </c>
      <c r="C231">
        <v>0</v>
      </c>
      <c r="D231">
        <v>6.6677096774193565</v>
      </c>
    </row>
    <row r="232" spans="1:4" x14ac:dyDescent="0.25">
      <c r="A232" t="s">
        <v>806</v>
      </c>
      <c r="B232">
        <v>8.2100000000000009</v>
      </c>
      <c r="C232">
        <v>0</v>
      </c>
      <c r="D232">
        <v>2.7055645161290323</v>
      </c>
    </row>
    <row r="233" spans="1:4" x14ac:dyDescent="0.25">
      <c r="A233" t="s">
        <v>1015</v>
      </c>
      <c r="B233">
        <v>8.0969999999999995</v>
      </c>
      <c r="C233">
        <v>6.7939999999999996</v>
      </c>
      <c r="D233">
        <v>7.4239032258064501</v>
      </c>
    </row>
    <row r="234" spans="1:4" x14ac:dyDescent="0.25">
      <c r="A234" t="s">
        <v>1205</v>
      </c>
      <c r="B234">
        <v>8.0839999999999996</v>
      </c>
      <c r="C234">
        <v>0</v>
      </c>
      <c r="D234">
        <v>6.1347983870967724</v>
      </c>
    </row>
    <row r="235" spans="1:4" x14ac:dyDescent="0.25">
      <c r="A235" t="s">
        <v>2572</v>
      </c>
      <c r="B235">
        <v>8</v>
      </c>
      <c r="C235">
        <v>0</v>
      </c>
      <c r="D235">
        <v>1.846774193548387</v>
      </c>
    </row>
    <row r="236" spans="1:4" x14ac:dyDescent="0.25">
      <c r="A236" t="s">
        <v>1455</v>
      </c>
      <c r="B236">
        <v>8</v>
      </c>
      <c r="C236">
        <v>0</v>
      </c>
      <c r="D236">
        <v>1.4199660967741934</v>
      </c>
    </row>
    <row r="237" spans="1:4" x14ac:dyDescent="0.25">
      <c r="A237" t="s">
        <v>1318</v>
      </c>
      <c r="B237">
        <v>7.9</v>
      </c>
      <c r="C237">
        <v>0</v>
      </c>
      <c r="D237">
        <v>2.5580645161290327</v>
      </c>
    </row>
    <row r="238" spans="1:4" x14ac:dyDescent="0.25">
      <c r="A238" t="s">
        <v>413</v>
      </c>
      <c r="B238">
        <v>7.8826999999999998</v>
      </c>
      <c r="C238">
        <v>0</v>
      </c>
      <c r="D238">
        <v>1.6176195887096776</v>
      </c>
    </row>
    <row r="239" spans="1:4" x14ac:dyDescent="0.25">
      <c r="A239" t="s">
        <v>1281</v>
      </c>
      <c r="B239">
        <v>7.87</v>
      </c>
      <c r="C239">
        <v>0</v>
      </c>
      <c r="D239">
        <v>3.7181532258064514</v>
      </c>
    </row>
    <row r="240" spans="1:4" x14ac:dyDescent="0.25">
      <c r="A240" t="s">
        <v>350</v>
      </c>
      <c r="B240">
        <v>7.8570000000000002</v>
      </c>
      <c r="C240">
        <v>0</v>
      </c>
      <c r="D240">
        <v>3.0730483870967737</v>
      </c>
    </row>
    <row r="241" spans="1:4" x14ac:dyDescent="0.25">
      <c r="A241" t="s">
        <v>758</v>
      </c>
      <c r="B241">
        <v>7.8</v>
      </c>
      <c r="C241">
        <v>0</v>
      </c>
      <c r="D241">
        <v>5.7354838709677436</v>
      </c>
    </row>
    <row r="242" spans="1:4" x14ac:dyDescent="0.25">
      <c r="A242" t="s">
        <v>645</v>
      </c>
      <c r="B242">
        <v>7.8</v>
      </c>
      <c r="C242">
        <v>3.7</v>
      </c>
      <c r="D242">
        <v>5.1217741935483865</v>
      </c>
    </row>
    <row r="243" spans="1:4" x14ac:dyDescent="0.25">
      <c r="A243" t="s">
        <v>663</v>
      </c>
      <c r="B243">
        <v>7.73</v>
      </c>
      <c r="C243">
        <v>0</v>
      </c>
      <c r="D243">
        <v>0.77879032258064529</v>
      </c>
    </row>
    <row r="244" spans="1:4" x14ac:dyDescent="0.25">
      <c r="A244" t="s">
        <v>1042</v>
      </c>
      <c r="B244">
        <v>7.7</v>
      </c>
      <c r="C244">
        <v>0</v>
      </c>
      <c r="D244">
        <v>5.00991129032258</v>
      </c>
    </row>
    <row r="245" spans="1:4" x14ac:dyDescent="0.25">
      <c r="A245" t="s">
        <v>1016</v>
      </c>
      <c r="B245">
        <v>7.673</v>
      </c>
      <c r="C245">
        <v>5.7590000000000003</v>
      </c>
      <c r="D245">
        <v>6.6738225806451625</v>
      </c>
    </row>
    <row r="246" spans="1:4" x14ac:dyDescent="0.25">
      <c r="A246" t="s">
        <v>1666</v>
      </c>
      <c r="B246">
        <v>7.5149999999999997</v>
      </c>
      <c r="C246">
        <v>4.33</v>
      </c>
      <c r="D246">
        <v>5.9331056854838691</v>
      </c>
    </row>
    <row r="247" spans="1:4" x14ac:dyDescent="0.25">
      <c r="A247" t="s">
        <v>809</v>
      </c>
      <c r="B247">
        <v>7.5</v>
      </c>
      <c r="C247">
        <v>0</v>
      </c>
      <c r="D247">
        <v>5.8540322580645165</v>
      </c>
    </row>
    <row r="248" spans="1:4" x14ac:dyDescent="0.25">
      <c r="A248" t="s">
        <v>2710</v>
      </c>
      <c r="B248">
        <v>7.4850000000000003</v>
      </c>
      <c r="C248">
        <v>0</v>
      </c>
      <c r="D248">
        <v>4.1566129032258061</v>
      </c>
    </row>
    <row r="249" spans="1:4" x14ac:dyDescent="0.25">
      <c r="A249" t="s">
        <v>1743</v>
      </c>
      <c r="B249">
        <v>7.46</v>
      </c>
      <c r="C249">
        <v>0</v>
      </c>
      <c r="D249">
        <v>5.8449836451612889</v>
      </c>
    </row>
    <row r="250" spans="1:4" x14ac:dyDescent="0.25">
      <c r="A250" t="s">
        <v>118</v>
      </c>
      <c r="B250">
        <v>7.443079</v>
      </c>
      <c r="C250">
        <v>0</v>
      </c>
      <c r="D250">
        <v>6.2446786774193548</v>
      </c>
    </row>
    <row r="251" spans="1:4" x14ac:dyDescent="0.25">
      <c r="A251" t="s">
        <v>1511</v>
      </c>
      <c r="B251">
        <v>7.4429999999999996</v>
      </c>
      <c r="C251">
        <v>4.1120000000000001</v>
      </c>
      <c r="D251">
        <v>5.7463467741935466</v>
      </c>
    </row>
    <row r="252" spans="1:4" x14ac:dyDescent="0.25">
      <c r="A252" t="s">
        <v>1557</v>
      </c>
      <c r="B252">
        <v>7.44</v>
      </c>
      <c r="C252">
        <v>0</v>
      </c>
      <c r="D252">
        <v>6.1945161290322579</v>
      </c>
    </row>
    <row r="253" spans="1:4" x14ac:dyDescent="0.25">
      <c r="A253" t="s">
        <v>254</v>
      </c>
      <c r="B253">
        <v>7.2530000000000001</v>
      </c>
      <c r="C253">
        <v>0</v>
      </c>
      <c r="D253">
        <v>3.581822580645162</v>
      </c>
    </row>
    <row r="254" spans="1:4" x14ac:dyDescent="0.25">
      <c r="A254" t="s">
        <v>2034</v>
      </c>
      <c r="B254">
        <v>7.2</v>
      </c>
      <c r="C254">
        <v>0</v>
      </c>
      <c r="D254">
        <v>0.79814516129032242</v>
      </c>
    </row>
    <row r="255" spans="1:4" x14ac:dyDescent="0.25">
      <c r="A255" t="s">
        <v>424</v>
      </c>
      <c r="B255">
        <v>7.2</v>
      </c>
      <c r="C255">
        <v>0</v>
      </c>
      <c r="D255">
        <v>6.1387096774193539</v>
      </c>
    </row>
    <row r="256" spans="1:4" x14ac:dyDescent="0.25">
      <c r="A256" t="s">
        <v>2226</v>
      </c>
      <c r="B256">
        <v>7</v>
      </c>
      <c r="C256">
        <v>0</v>
      </c>
      <c r="D256">
        <v>0.98838709677419312</v>
      </c>
    </row>
    <row r="257" spans="1:4" x14ac:dyDescent="0.25">
      <c r="A257" t="s">
        <v>552</v>
      </c>
      <c r="B257">
        <v>7</v>
      </c>
      <c r="C257">
        <v>0</v>
      </c>
      <c r="D257">
        <v>0.6799193548387098</v>
      </c>
    </row>
    <row r="258" spans="1:4" x14ac:dyDescent="0.25">
      <c r="A258" t="s">
        <v>1094</v>
      </c>
      <c r="B258">
        <v>7</v>
      </c>
      <c r="C258">
        <v>0</v>
      </c>
      <c r="D258">
        <v>1.6935483870967742</v>
      </c>
    </row>
    <row r="259" spans="1:4" x14ac:dyDescent="0.25">
      <c r="A259" t="s">
        <v>2579</v>
      </c>
      <c r="B259">
        <v>6.98</v>
      </c>
      <c r="C259">
        <v>0</v>
      </c>
      <c r="D259">
        <v>1.8930887096774194</v>
      </c>
    </row>
    <row r="260" spans="1:4" x14ac:dyDescent="0.25">
      <c r="A260" t="s">
        <v>1180</v>
      </c>
      <c r="B260">
        <v>6.97</v>
      </c>
      <c r="C260">
        <v>2.85</v>
      </c>
      <c r="D260">
        <v>4.571290322580646</v>
      </c>
    </row>
    <row r="261" spans="1:4" x14ac:dyDescent="0.25">
      <c r="A261" t="s">
        <v>353</v>
      </c>
      <c r="B261">
        <v>6.96</v>
      </c>
      <c r="C261">
        <v>0</v>
      </c>
      <c r="D261">
        <v>1.6648916129032254</v>
      </c>
    </row>
    <row r="262" spans="1:4" x14ac:dyDescent="0.25">
      <c r="A262" t="s">
        <v>2565</v>
      </c>
      <c r="B262">
        <v>6.9507519999999996</v>
      </c>
      <c r="C262">
        <v>0</v>
      </c>
      <c r="D262">
        <v>6.0501248709677435</v>
      </c>
    </row>
    <row r="263" spans="1:4" x14ac:dyDescent="0.25">
      <c r="A263" t="s">
        <v>851</v>
      </c>
      <c r="B263">
        <v>6.7937000000000003</v>
      </c>
      <c r="C263">
        <v>0</v>
      </c>
      <c r="D263">
        <v>4.3796772096774212</v>
      </c>
    </row>
    <row r="264" spans="1:4" x14ac:dyDescent="0.25">
      <c r="A264" t="s">
        <v>788</v>
      </c>
      <c r="B264">
        <v>6.7064000000000004</v>
      </c>
      <c r="C264">
        <v>0</v>
      </c>
      <c r="D264">
        <v>5.5153540322580641</v>
      </c>
    </row>
    <row r="265" spans="1:4" x14ac:dyDescent="0.25">
      <c r="A265" t="s">
        <v>1074</v>
      </c>
      <c r="B265">
        <v>6.7</v>
      </c>
      <c r="C265">
        <v>0</v>
      </c>
      <c r="D265">
        <v>5.0452419354838689</v>
      </c>
    </row>
    <row r="266" spans="1:4" x14ac:dyDescent="0.25">
      <c r="A266" t="s">
        <v>1943</v>
      </c>
      <c r="B266">
        <v>6.6970000000000001</v>
      </c>
      <c r="C266">
        <v>0</v>
      </c>
      <c r="D266">
        <v>3.7955241935483865</v>
      </c>
    </row>
    <row r="267" spans="1:4" x14ac:dyDescent="0.25">
      <c r="A267" t="s">
        <v>1944</v>
      </c>
      <c r="B267">
        <v>6.6970000000000001</v>
      </c>
      <c r="C267">
        <v>0</v>
      </c>
      <c r="D267">
        <v>3.6913467741935477</v>
      </c>
    </row>
    <row r="268" spans="1:4" x14ac:dyDescent="0.25">
      <c r="A268" t="s">
        <v>1941</v>
      </c>
      <c r="B268">
        <v>6.48</v>
      </c>
      <c r="C268">
        <v>0</v>
      </c>
      <c r="D268">
        <v>3.605612903225806</v>
      </c>
    </row>
    <row r="269" spans="1:4" x14ac:dyDescent="0.25">
      <c r="A269" t="s">
        <v>981</v>
      </c>
      <c r="B269">
        <v>6.4390000000000001</v>
      </c>
      <c r="C269">
        <v>3.9710000000000001</v>
      </c>
      <c r="D269">
        <v>5.1779193548387088</v>
      </c>
    </row>
    <row r="270" spans="1:4" x14ac:dyDescent="0.25">
      <c r="A270" t="s">
        <v>1888</v>
      </c>
      <c r="B270">
        <v>6.4089999999999998</v>
      </c>
      <c r="C270">
        <v>0</v>
      </c>
      <c r="D270">
        <v>4.8032500000000002</v>
      </c>
    </row>
    <row r="271" spans="1:4" x14ac:dyDescent="0.25">
      <c r="A271" t="s">
        <v>1973</v>
      </c>
      <c r="B271">
        <v>6.3819999999999997</v>
      </c>
      <c r="C271">
        <v>0</v>
      </c>
      <c r="D271">
        <v>5.2360806451612909</v>
      </c>
    </row>
    <row r="272" spans="1:4" x14ac:dyDescent="0.25">
      <c r="A272" t="s">
        <v>278</v>
      </c>
      <c r="B272">
        <v>6.27</v>
      </c>
      <c r="C272">
        <v>0</v>
      </c>
      <c r="D272">
        <v>4.5566129032258065</v>
      </c>
    </row>
    <row r="273" spans="1:4" x14ac:dyDescent="0.25">
      <c r="A273" t="s">
        <v>2233</v>
      </c>
      <c r="B273">
        <v>6.27</v>
      </c>
      <c r="C273">
        <v>0</v>
      </c>
      <c r="D273">
        <v>0.79562096774193569</v>
      </c>
    </row>
    <row r="274" spans="1:4" x14ac:dyDescent="0.25">
      <c r="A274" t="s">
        <v>1377</v>
      </c>
      <c r="B274">
        <v>6.266</v>
      </c>
      <c r="C274">
        <v>0</v>
      </c>
      <c r="D274">
        <v>3.5855580645161296</v>
      </c>
    </row>
    <row r="275" spans="1:4" x14ac:dyDescent="0.25">
      <c r="A275" t="s">
        <v>949</v>
      </c>
      <c r="B275">
        <v>6.22</v>
      </c>
      <c r="C275">
        <v>0</v>
      </c>
      <c r="D275">
        <v>2.9980725806451614</v>
      </c>
    </row>
    <row r="276" spans="1:4" x14ac:dyDescent="0.25">
      <c r="A276" t="s">
        <v>1747</v>
      </c>
      <c r="B276">
        <v>6.22</v>
      </c>
      <c r="C276">
        <v>0</v>
      </c>
      <c r="D276">
        <v>1.5802741935483871</v>
      </c>
    </row>
    <row r="277" spans="1:4" x14ac:dyDescent="0.25">
      <c r="A277" t="s">
        <v>1729</v>
      </c>
      <c r="B277">
        <v>6.2</v>
      </c>
      <c r="C277">
        <v>0</v>
      </c>
      <c r="D277">
        <v>5.1935483870967731</v>
      </c>
    </row>
    <row r="278" spans="1:4" x14ac:dyDescent="0.25">
      <c r="A278" t="s">
        <v>633</v>
      </c>
      <c r="B278">
        <v>6.18</v>
      </c>
      <c r="C278">
        <v>2.98</v>
      </c>
      <c r="D278">
        <v>4.6815322580645162</v>
      </c>
    </row>
    <row r="279" spans="1:4" x14ac:dyDescent="0.25">
      <c r="A279" t="s">
        <v>2673</v>
      </c>
      <c r="B279">
        <v>6.1660000000000004</v>
      </c>
      <c r="C279">
        <v>0</v>
      </c>
      <c r="D279">
        <v>4.220508064516129</v>
      </c>
    </row>
    <row r="280" spans="1:4" x14ac:dyDescent="0.25">
      <c r="A280" t="s">
        <v>276</v>
      </c>
      <c r="B280">
        <v>6.15</v>
      </c>
      <c r="C280">
        <v>0</v>
      </c>
      <c r="D280">
        <v>3.3977419354838725</v>
      </c>
    </row>
    <row r="281" spans="1:4" x14ac:dyDescent="0.25">
      <c r="A281" t="s">
        <v>777</v>
      </c>
      <c r="B281">
        <v>6.1360000000000001</v>
      </c>
      <c r="C281">
        <v>1.3360000000000001</v>
      </c>
      <c r="D281">
        <v>3.0098225806451606</v>
      </c>
    </row>
    <row r="282" spans="1:4" x14ac:dyDescent="0.25">
      <c r="A282" t="s">
        <v>2728</v>
      </c>
      <c r="B282">
        <v>6.13</v>
      </c>
      <c r="C282">
        <v>0</v>
      </c>
      <c r="D282">
        <v>1.7209677419354839</v>
      </c>
    </row>
    <row r="283" spans="1:4" x14ac:dyDescent="0.25">
      <c r="A283" t="s">
        <v>2363</v>
      </c>
      <c r="B283">
        <v>6.1</v>
      </c>
      <c r="C283">
        <v>0</v>
      </c>
      <c r="D283">
        <v>4.3445000000000018</v>
      </c>
    </row>
    <row r="284" spans="1:4" x14ac:dyDescent="0.25">
      <c r="A284" t="s">
        <v>530</v>
      </c>
      <c r="B284">
        <v>6.07</v>
      </c>
      <c r="C284">
        <v>0</v>
      </c>
      <c r="D284">
        <v>2.3279032258064523</v>
      </c>
    </row>
    <row r="285" spans="1:4" x14ac:dyDescent="0.25">
      <c r="A285" t="s">
        <v>1493</v>
      </c>
      <c r="B285">
        <v>6.048</v>
      </c>
      <c r="C285">
        <v>0</v>
      </c>
      <c r="D285">
        <v>4.4800645161290316</v>
      </c>
    </row>
    <row r="286" spans="1:4" x14ac:dyDescent="0.25">
      <c r="A286" t="s">
        <v>1549</v>
      </c>
      <c r="B286">
        <v>6.03</v>
      </c>
      <c r="C286">
        <v>0</v>
      </c>
      <c r="D286">
        <v>3.3520967741935488</v>
      </c>
    </row>
    <row r="287" spans="1:4" x14ac:dyDescent="0.25">
      <c r="A287" t="s">
        <v>542</v>
      </c>
      <c r="B287">
        <v>6.03</v>
      </c>
      <c r="C287">
        <v>0</v>
      </c>
      <c r="D287">
        <v>4.4646854838709684</v>
      </c>
    </row>
    <row r="288" spans="1:4" x14ac:dyDescent="0.25">
      <c r="A288" t="s">
        <v>2680</v>
      </c>
      <c r="B288">
        <v>6.0170000000000003</v>
      </c>
      <c r="C288">
        <v>4.43</v>
      </c>
      <c r="D288">
        <v>5.1628709677419353</v>
      </c>
    </row>
    <row r="289" spans="1:4" x14ac:dyDescent="0.25">
      <c r="A289" t="s">
        <v>752</v>
      </c>
      <c r="B289">
        <v>6</v>
      </c>
      <c r="C289">
        <v>0</v>
      </c>
      <c r="D289">
        <v>4.7088709677419356</v>
      </c>
    </row>
    <row r="290" spans="1:4" x14ac:dyDescent="0.25">
      <c r="A290" t="s">
        <v>1781</v>
      </c>
      <c r="B290">
        <v>6</v>
      </c>
      <c r="C290">
        <v>0</v>
      </c>
      <c r="D290">
        <v>4.6616129032258078</v>
      </c>
    </row>
    <row r="291" spans="1:4" x14ac:dyDescent="0.25">
      <c r="A291" t="s">
        <v>765</v>
      </c>
      <c r="B291">
        <v>6</v>
      </c>
      <c r="C291">
        <v>0</v>
      </c>
      <c r="D291">
        <v>2.9118387096774203</v>
      </c>
    </row>
    <row r="292" spans="1:4" x14ac:dyDescent="0.25">
      <c r="A292" t="s">
        <v>430</v>
      </c>
      <c r="B292">
        <v>6</v>
      </c>
      <c r="C292">
        <v>0</v>
      </c>
      <c r="D292">
        <v>1.8225806451612903</v>
      </c>
    </row>
    <row r="293" spans="1:4" x14ac:dyDescent="0.25">
      <c r="A293" t="s">
        <v>2611</v>
      </c>
      <c r="B293">
        <v>5.9919000000000002</v>
      </c>
      <c r="C293">
        <v>0</v>
      </c>
      <c r="D293">
        <v>3.5025725806451611</v>
      </c>
    </row>
    <row r="294" spans="1:4" x14ac:dyDescent="0.25">
      <c r="A294" t="s">
        <v>1667</v>
      </c>
      <c r="B294">
        <v>5.98</v>
      </c>
      <c r="C294">
        <v>2.21</v>
      </c>
      <c r="D294">
        <v>3.8551635967741924</v>
      </c>
    </row>
    <row r="295" spans="1:4" x14ac:dyDescent="0.25">
      <c r="A295" t="s">
        <v>1280</v>
      </c>
      <c r="B295">
        <v>5.9</v>
      </c>
      <c r="C295">
        <v>0</v>
      </c>
      <c r="D295">
        <v>4.9741935483870963</v>
      </c>
    </row>
    <row r="296" spans="1:4" x14ac:dyDescent="0.25">
      <c r="A296" t="s">
        <v>1328</v>
      </c>
      <c r="B296">
        <v>5.9</v>
      </c>
      <c r="C296">
        <v>0</v>
      </c>
      <c r="D296">
        <v>1.3556451612903229</v>
      </c>
    </row>
    <row r="297" spans="1:4" x14ac:dyDescent="0.25">
      <c r="A297" t="s">
        <v>1007</v>
      </c>
      <c r="B297">
        <v>5.8109999999999999</v>
      </c>
      <c r="C297">
        <v>0</v>
      </c>
      <c r="D297">
        <v>4.9926032258064508</v>
      </c>
    </row>
    <row r="298" spans="1:4" x14ac:dyDescent="0.25">
      <c r="A298" t="s">
        <v>2679</v>
      </c>
      <c r="B298">
        <v>5.81</v>
      </c>
      <c r="C298">
        <v>0</v>
      </c>
      <c r="D298">
        <v>4.2800645161290323</v>
      </c>
    </row>
    <row r="299" spans="1:4" x14ac:dyDescent="0.25">
      <c r="A299" t="s">
        <v>1073</v>
      </c>
      <c r="B299">
        <v>5.8</v>
      </c>
      <c r="C299">
        <v>0</v>
      </c>
      <c r="D299">
        <v>4.1302419354838715</v>
      </c>
    </row>
    <row r="300" spans="1:4" x14ac:dyDescent="0.25">
      <c r="A300" t="s">
        <v>1610</v>
      </c>
      <c r="B300">
        <v>5.7374999999999998</v>
      </c>
      <c r="C300">
        <v>0</v>
      </c>
      <c r="D300">
        <v>3.4070274193548413</v>
      </c>
    </row>
    <row r="301" spans="1:4" x14ac:dyDescent="0.25">
      <c r="A301" t="s">
        <v>1054</v>
      </c>
      <c r="B301">
        <v>5.73</v>
      </c>
      <c r="C301">
        <v>0</v>
      </c>
      <c r="D301">
        <v>1.8745161290322578</v>
      </c>
    </row>
    <row r="302" spans="1:4" x14ac:dyDescent="0.25">
      <c r="A302" t="s">
        <v>282</v>
      </c>
      <c r="B302">
        <v>5.71</v>
      </c>
      <c r="C302">
        <v>0</v>
      </c>
      <c r="D302">
        <v>2.9583064516129034</v>
      </c>
    </row>
    <row r="303" spans="1:4" x14ac:dyDescent="0.25">
      <c r="A303" t="s">
        <v>1536</v>
      </c>
      <c r="B303">
        <v>5.66</v>
      </c>
      <c r="C303">
        <v>2.0299999999999998</v>
      </c>
      <c r="D303">
        <v>3.2293548387096784</v>
      </c>
    </row>
    <row r="304" spans="1:4" x14ac:dyDescent="0.25">
      <c r="A304" t="s">
        <v>2373</v>
      </c>
      <c r="B304">
        <v>5.6509999999999998</v>
      </c>
      <c r="C304">
        <v>0</v>
      </c>
      <c r="D304">
        <v>1.2172516129032256</v>
      </c>
    </row>
    <row r="305" spans="1:4" x14ac:dyDescent="0.25">
      <c r="A305" t="s">
        <v>1547</v>
      </c>
      <c r="B305">
        <v>5.6</v>
      </c>
      <c r="C305">
        <v>0</v>
      </c>
      <c r="D305">
        <v>1.4071935483870972</v>
      </c>
    </row>
    <row r="306" spans="1:4" x14ac:dyDescent="0.25">
      <c r="A306" t="s">
        <v>114</v>
      </c>
      <c r="B306">
        <v>5.6</v>
      </c>
      <c r="C306">
        <v>4</v>
      </c>
      <c r="D306">
        <v>4.7260080645161286</v>
      </c>
    </row>
    <row r="307" spans="1:4" x14ac:dyDescent="0.25">
      <c r="A307" t="s">
        <v>1296</v>
      </c>
      <c r="B307">
        <v>5.6</v>
      </c>
      <c r="C307">
        <v>0</v>
      </c>
      <c r="D307">
        <v>2.0782258064516128</v>
      </c>
    </row>
    <row r="308" spans="1:4" x14ac:dyDescent="0.25">
      <c r="A308" t="s">
        <v>1320</v>
      </c>
      <c r="B308">
        <v>5.6</v>
      </c>
      <c r="C308">
        <v>0</v>
      </c>
      <c r="D308">
        <v>1.366935483870968</v>
      </c>
    </row>
    <row r="309" spans="1:4" x14ac:dyDescent="0.25">
      <c r="A309" t="s">
        <v>750</v>
      </c>
      <c r="B309">
        <v>5.5590000000000002</v>
      </c>
      <c r="C309">
        <v>0</v>
      </c>
      <c r="D309">
        <v>2.2449838709677419</v>
      </c>
    </row>
    <row r="310" spans="1:4" x14ac:dyDescent="0.25">
      <c r="A310" t="s">
        <v>845</v>
      </c>
      <c r="B310">
        <v>5.5350000000000001</v>
      </c>
      <c r="C310">
        <v>0</v>
      </c>
      <c r="D310">
        <v>4.3899838709677423</v>
      </c>
    </row>
    <row r="311" spans="1:4" x14ac:dyDescent="0.25">
      <c r="A311" t="s">
        <v>407</v>
      </c>
      <c r="B311">
        <v>5.5309999999999997</v>
      </c>
      <c r="C311">
        <v>0.92300000000000004</v>
      </c>
      <c r="D311">
        <v>2.0651129032258067</v>
      </c>
    </row>
    <row r="312" spans="1:4" x14ac:dyDescent="0.25">
      <c r="A312" t="s">
        <v>399</v>
      </c>
      <c r="B312">
        <v>5.4909999999999997</v>
      </c>
      <c r="C312">
        <v>0</v>
      </c>
      <c r="D312">
        <v>4.6773145161290328</v>
      </c>
    </row>
    <row r="313" spans="1:4" x14ac:dyDescent="0.25">
      <c r="A313" t="s">
        <v>2610</v>
      </c>
      <c r="B313">
        <v>5.4288999999999996</v>
      </c>
      <c r="C313">
        <v>0</v>
      </c>
      <c r="D313">
        <v>3.5474451612903235</v>
      </c>
    </row>
    <row r="314" spans="1:4" x14ac:dyDescent="0.25">
      <c r="A314" t="s">
        <v>1226</v>
      </c>
      <c r="B314">
        <v>5.4089999999999998</v>
      </c>
      <c r="C314">
        <v>0</v>
      </c>
      <c r="D314">
        <v>3.8493577419354841</v>
      </c>
    </row>
    <row r="315" spans="1:4" x14ac:dyDescent="0.25">
      <c r="A315" t="s">
        <v>1049</v>
      </c>
      <c r="B315">
        <v>5.4</v>
      </c>
      <c r="C315">
        <v>0</v>
      </c>
      <c r="D315">
        <v>1.3429274193548384</v>
      </c>
    </row>
    <row r="316" spans="1:4" x14ac:dyDescent="0.25">
      <c r="A316" t="s">
        <v>1050</v>
      </c>
      <c r="B316">
        <v>5.4</v>
      </c>
      <c r="C316">
        <v>0</v>
      </c>
      <c r="D316">
        <v>1.2604032258064519</v>
      </c>
    </row>
    <row r="317" spans="1:4" x14ac:dyDescent="0.25">
      <c r="A317" t="s">
        <v>1887</v>
      </c>
      <c r="B317">
        <v>5.3869999999999996</v>
      </c>
      <c r="C317">
        <v>0</v>
      </c>
      <c r="D317">
        <v>3.6520161290322588</v>
      </c>
    </row>
    <row r="318" spans="1:4" x14ac:dyDescent="0.25">
      <c r="A318" t="s">
        <v>1789</v>
      </c>
      <c r="B318">
        <v>5.3390000000000004</v>
      </c>
      <c r="C318">
        <v>0</v>
      </c>
      <c r="D318">
        <v>3.6830645161290323</v>
      </c>
    </row>
    <row r="319" spans="1:4" x14ac:dyDescent="0.25">
      <c r="A319" t="s">
        <v>1946</v>
      </c>
      <c r="B319">
        <v>5.3330000000000002</v>
      </c>
      <c r="C319">
        <v>0</v>
      </c>
      <c r="D319">
        <v>3.8814354838709675</v>
      </c>
    </row>
    <row r="320" spans="1:4" x14ac:dyDescent="0.25">
      <c r="A320" t="s">
        <v>1663</v>
      </c>
      <c r="B320">
        <v>5.31</v>
      </c>
      <c r="C320">
        <v>0</v>
      </c>
      <c r="D320">
        <v>2.9758870967741946</v>
      </c>
    </row>
    <row r="321" spans="1:4" x14ac:dyDescent="0.25">
      <c r="A321" t="s">
        <v>1170</v>
      </c>
      <c r="B321">
        <v>5.31</v>
      </c>
      <c r="C321">
        <v>0</v>
      </c>
      <c r="D321">
        <v>2.8795967741935486</v>
      </c>
    </row>
    <row r="322" spans="1:4" x14ac:dyDescent="0.25">
      <c r="A322" t="s">
        <v>1343</v>
      </c>
      <c r="B322">
        <v>5.3029999999999999</v>
      </c>
      <c r="C322">
        <v>0</v>
      </c>
      <c r="D322">
        <v>3.3013790322580649</v>
      </c>
    </row>
    <row r="323" spans="1:4" x14ac:dyDescent="0.25">
      <c r="A323" t="s">
        <v>1014</v>
      </c>
      <c r="B323">
        <v>5.3</v>
      </c>
      <c r="C323">
        <v>0</v>
      </c>
      <c r="D323">
        <v>4.663709677419356</v>
      </c>
    </row>
    <row r="324" spans="1:4" x14ac:dyDescent="0.25">
      <c r="A324" t="s">
        <v>2864</v>
      </c>
      <c r="B324">
        <v>5.3</v>
      </c>
      <c r="C324">
        <v>3.1739999999999999</v>
      </c>
      <c r="D324">
        <v>4.129201612903227</v>
      </c>
    </row>
    <row r="325" spans="1:4" x14ac:dyDescent="0.25">
      <c r="A325" t="s">
        <v>2859</v>
      </c>
      <c r="B325">
        <v>5.29</v>
      </c>
      <c r="C325">
        <v>1.6559999999999999</v>
      </c>
      <c r="D325">
        <v>2.6272580645161288</v>
      </c>
    </row>
    <row r="326" spans="1:4" x14ac:dyDescent="0.25">
      <c r="A326" t="s">
        <v>1338</v>
      </c>
      <c r="B326">
        <v>5.22</v>
      </c>
      <c r="C326">
        <v>0</v>
      </c>
      <c r="D326">
        <v>1.2906451612903223</v>
      </c>
    </row>
    <row r="327" spans="1:4" x14ac:dyDescent="0.25">
      <c r="A327" t="s">
        <v>1856</v>
      </c>
      <c r="B327">
        <v>5.1280000000000001</v>
      </c>
      <c r="C327">
        <v>2.3849999999999998</v>
      </c>
      <c r="D327">
        <v>3.4608935483870975</v>
      </c>
    </row>
    <row r="328" spans="1:4" x14ac:dyDescent="0.25">
      <c r="A328" t="s">
        <v>1237</v>
      </c>
      <c r="B328">
        <v>5.04</v>
      </c>
      <c r="C328">
        <v>0</v>
      </c>
      <c r="D328">
        <v>2.584032258064517</v>
      </c>
    </row>
    <row r="329" spans="1:4" x14ac:dyDescent="0.25">
      <c r="A329" t="s">
        <v>1330</v>
      </c>
      <c r="B329">
        <v>5</v>
      </c>
      <c r="C329">
        <v>0</v>
      </c>
      <c r="D329">
        <v>1.0903225806451615</v>
      </c>
    </row>
    <row r="330" spans="1:4" x14ac:dyDescent="0.25">
      <c r="A330" t="s">
        <v>447</v>
      </c>
      <c r="B330">
        <v>4.99</v>
      </c>
      <c r="C330">
        <v>0</v>
      </c>
      <c r="D330">
        <v>2.6710483870967736</v>
      </c>
    </row>
    <row r="331" spans="1:4" x14ac:dyDescent="0.25">
      <c r="A331" t="s">
        <v>1331</v>
      </c>
      <c r="B331">
        <v>4.9000000000000004</v>
      </c>
      <c r="C331">
        <v>0</v>
      </c>
      <c r="D331">
        <v>0.51451612903225818</v>
      </c>
    </row>
    <row r="332" spans="1:4" x14ac:dyDescent="0.25">
      <c r="A332" t="s">
        <v>2614</v>
      </c>
      <c r="B332">
        <v>4.8956</v>
      </c>
      <c r="C332">
        <v>0</v>
      </c>
      <c r="D332">
        <v>3.2342274193548399</v>
      </c>
    </row>
    <row r="333" spans="1:4" x14ac:dyDescent="0.25">
      <c r="A333" t="s">
        <v>763</v>
      </c>
      <c r="B333">
        <v>4.8659999999999997</v>
      </c>
      <c r="C333">
        <v>0</v>
      </c>
      <c r="D333">
        <v>2.8786774193548399</v>
      </c>
    </row>
    <row r="334" spans="1:4" x14ac:dyDescent="0.25">
      <c r="A334" t="s">
        <v>1563</v>
      </c>
      <c r="B334">
        <v>4.8620000000000001</v>
      </c>
      <c r="C334">
        <v>0</v>
      </c>
      <c r="D334">
        <v>2.5711935483870962</v>
      </c>
    </row>
    <row r="335" spans="1:4" x14ac:dyDescent="0.25">
      <c r="A335" t="s">
        <v>1854</v>
      </c>
      <c r="B335">
        <v>4.8600000000000003</v>
      </c>
      <c r="C335">
        <v>0</v>
      </c>
      <c r="D335">
        <v>3.574112903225807</v>
      </c>
    </row>
    <row r="336" spans="1:4" x14ac:dyDescent="0.25">
      <c r="A336" t="s">
        <v>1931</v>
      </c>
      <c r="B336">
        <v>4.82</v>
      </c>
      <c r="C336">
        <v>0</v>
      </c>
      <c r="D336">
        <v>4.065887096774194</v>
      </c>
    </row>
    <row r="337" spans="1:4" x14ac:dyDescent="0.25">
      <c r="A337" t="s">
        <v>1080</v>
      </c>
      <c r="B337">
        <v>4.8159999999999998</v>
      </c>
      <c r="C337">
        <v>0</v>
      </c>
      <c r="D337">
        <v>0.92740322580645196</v>
      </c>
    </row>
    <row r="338" spans="1:4" x14ac:dyDescent="0.25">
      <c r="A338" t="s">
        <v>1774</v>
      </c>
      <c r="B338">
        <v>4.8</v>
      </c>
      <c r="C338">
        <v>0</v>
      </c>
      <c r="D338">
        <v>1.8462903225806437</v>
      </c>
    </row>
    <row r="339" spans="1:4" x14ac:dyDescent="0.25">
      <c r="A339" t="s">
        <v>265</v>
      </c>
      <c r="B339">
        <v>4.8</v>
      </c>
      <c r="C339">
        <v>0</v>
      </c>
      <c r="D339">
        <v>3.9320645161290315</v>
      </c>
    </row>
    <row r="340" spans="1:4" x14ac:dyDescent="0.25">
      <c r="A340" t="s">
        <v>1308</v>
      </c>
      <c r="B340">
        <v>4.8</v>
      </c>
      <c r="C340">
        <v>0</v>
      </c>
      <c r="D340">
        <v>2.0467741935483867</v>
      </c>
    </row>
    <row r="341" spans="1:4" x14ac:dyDescent="0.25">
      <c r="A341" t="s">
        <v>1629</v>
      </c>
      <c r="B341">
        <v>4.7949999999999999</v>
      </c>
      <c r="C341">
        <v>0</v>
      </c>
      <c r="D341">
        <v>2.356661290322581</v>
      </c>
    </row>
    <row r="342" spans="1:4" x14ac:dyDescent="0.25">
      <c r="A342" t="s">
        <v>2037</v>
      </c>
      <c r="B342">
        <v>4.7683</v>
      </c>
      <c r="C342">
        <v>0</v>
      </c>
      <c r="D342">
        <v>0.7410287741935484</v>
      </c>
    </row>
    <row r="343" spans="1:4" x14ac:dyDescent="0.25">
      <c r="A343" t="s">
        <v>1626</v>
      </c>
      <c r="B343">
        <v>4.7652340000000004</v>
      </c>
      <c r="C343">
        <v>0</v>
      </c>
      <c r="D343">
        <v>2.1266000758064507</v>
      </c>
    </row>
    <row r="344" spans="1:4" x14ac:dyDescent="0.25">
      <c r="A344" t="s">
        <v>1775</v>
      </c>
      <c r="B344">
        <v>4.76</v>
      </c>
      <c r="C344">
        <v>1.87</v>
      </c>
      <c r="D344">
        <v>3.3524193548387093</v>
      </c>
    </row>
    <row r="345" spans="1:4" x14ac:dyDescent="0.25">
      <c r="A345" t="s">
        <v>168</v>
      </c>
      <c r="B345">
        <v>4.76</v>
      </c>
      <c r="C345">
        <v>0</v>
      </c>
      <c r="D345">
        <v>4.1047580645161279</v>
      </c>
    </row>
    <row r="346" spans="1:4" x14ac:dyDescent="0.25">
      <c r="A346" t="s">
        <v>1730</v>
      </c>
      <c r="B346">
        <v>4.7</v>
      </c>
      <c r="C346">
        <v>0</v>
      </c>
      <c r="D346">
        <v>1.4085967741935479</v>
      </c>
    </row>
    <row r="347" spans="1:4" x14ac:dyDescent="0.25">
      <c r="A347" t="s">
        <v>177</v>
      </c>
      <c r="B347">
        <v>4.7</v>
      </c>
      <c r="C347">
        <v>0</v>
      </c>
      <c r="D347">
        <v>4.2571209677419359</v>
      </c>
    </row>
    <row r="348" spans="1:4" x14ac:dyDescent="0.25">
      <c r="A348" t="s">
        <v>889</v>
      </c>
      <c r="B348">
        <v>4.6900000000000004</v>
      </c>
      <c r="C348">
        <v>0</v>
      </c>
      <c r="D348">
        <v>2.017661290322581</v>
      </c>
    </row>
    <row r="349" spans="1:4" x14ac:dyDescent="0.25">
      <c r="A349" t="s">
        <v>279</v>
      </c>
      <c r="B349">
        <v>4.66</v>
      </c>
      <c r="C349">
        <v>0</v>
      </c>
      <c r="D349">
        <v>2.0622580645161293</v>
      </c>
    </row>
    <row r="350" spans="1:4" x14ac:dyDescent="0.25">
      <c r="A350" t="s">
        <v>1367</v>
      </c>
      <c r="B350">
        <v>4.6500000000000004</v>
      </c>
      <c r="C350">
        <v>2.71</v>
      </c>
      <c r="D350">
        <v>3.6143548387096773</v>
      </c>
    </row>
    <row r="351" spans="1:4" x14ac:dyDescent="0.25">
      <c r="A351" t="s">
        <v>1746</v>
      </c>
      <c r="B351">
        <v>4.6500000000000004</v>
      </c>
      <c r="C351">
        <v>0</v>
      </c>
      <c r="D351">
        <v>1.2771209677419357</v>
      </c>
    </row>
    <row r="352" spans="1:4" x14ac:dyDescent="0.25">
      <c r="A352" t="s">
        <v>68</v>
      </c>
      <c r="B352">
        <v>4.6500000000000004</v>
      </c>
      <c r="C352">
        <v>1.85</v>
      </c>
      <c r="D352">
        <v>3.0528548387096781</v>
      </c>
    </row>
    <row r="353" spans="1:4" x14ac:dyDescent="0.25">
      <c r="A353" t="s">
        <v>805</v>
      </c>
      <c r="B353">
        <v>4.6050000000000004</v>
      </c>
      <c r="C353">
        <v>0</v>
      </c>
      <c r="D353">
        <v>2.7024677419354841</v>
      </c>
    </row>
    <row r="354" spans="1:4" x14ac:dyDescent="0.25">
      <c r="A354" t="s">
        <v>1559</v>
      </c>
      <c r="B354">
        <v>4.601</v>
      </c>
      <c r="C354">
        <v>0</v>
      </c>
      <c r="D354">
        <v>3.0189838709677419</v>
      </c>
    </row>
    <row r="355" spans="1:4" x14ac:dyDescent="0.25">
      <c r="A355" t="s">
        <v>1292</v>
      </c>
      <c r="B355">
        <v>4.5999999999999996</v>
      </c>
      <c r="C355">
        <v>0</v>
      </c>
      <c r="D355">
        <v>1.7475806451612901</v>
      </c>
    </row>
    <row r="356" spans="1:4" x14ac:dyDescent="0.25">
      <c r="A356" t="s">
        <v>1826</v>
      </c>
      <c r="B356">
        <v>4.59</v>
      </c>
      <c r="C356">
        <v>0</v>
      </c>
      <c r="D356">
        <v>0.48331639354838718</v>
      </c>
    </row>
    <row r="357" spans="1:4" x14ac:dyDescent="0.25">
      <c r="A357" t="s">
        <v>164</v>
      </c>
      <c r="B357">
        <v>4.59</v>
      </c>
      <c r="C357">
        <v>3.2610000000000001</v>
      </c>
      <c r="D357">
        <v>3.8600483870967741</v>
      </c>
    </row>
    <row r="358" spans="1:4" x14ac:dyDescent="0.25">
      <c r="A358" t="s">
        <v>88</v>
      </c>
      <c r="B358">
        <v>4.5890000000000004</v>
      </c>
      <c r="C358">
        <v>0</v>
      </c>
      <c r="D358">
        <v>3.4274032258064517</v>
      </c>
    </row>
    <row r="359" spans="1:4" x14ac:dyDescent="0.25">
      <c r="A359" t="s">
        <v>2214</v>
      </c>
      <c r="B359">
        <v>4.5679999999999996</v>
      </c>
      <c r="C359">
        <v>0</v>
      </c>
      <c r="D359">
        <v>3.3113387096774183</v>
      </c>
    </row>
    <row r="360" spans="1:4" x14ac:dyDescent="0.25">
      <c r="A360" t="s">
        <v>348</v>
      </c>
      <c r="B360">
        <v>4.5350000000000001</v>
      </c>
      <c r="C360">
        <v>0</v>
      </c>
      <c r="D360">
        <v>2.8630564516129025</v>
      </c>
    </row>
    <row r="361" spans="1:4" x14ac:dyDescent="0.25">
      <c r="A361" t="s">
        <v>1780</v>
      </c>
      <c r="B361">
        <v>4.5</v>
      </c>
      <c r="C361">
        <v>0</v>
      </c>
      <c r="D361">
        <v>1.0141629032258064</v>
      </c>
    </row>
    <row r="362" spans="1:4" x14ac:dyDescent="0.25">
      <c r="A362" t="s">
        <v>1800</v>
      </c>
      <c r="B362">
        <v>4.5</v>
      </c>
      <c r="C362">
        <v>0</v>
      </c>
      <c r="D362">
        <v>2.9995161290322572</v>
      </c>
    </row>
    <row r="363" spans="1:4" x14ac:dyDescent="0.25">
      <c r="A363" t="s">
        <v>2541</v>
      </c>
      <c r="B363">
        <v>4.4400000000000004</v>
      </c>
      <c r="C363">
        <v>2.17</v>
      </c>
      <c r="D363">
        <v>3.066532258064516</v>
      </c>
    </row>
    <row r="364" spans="1:4" x14ac:dyDescent="0.25">
      <c r="A364" t="s">
        <v>2674</v>
      </c>
      <c r="B364">
        <v>4.4340000000000002</v>
      </c>
      <c r="C364">
        <v>0</v>
      </c>
      <c r="D364">
        <v>2.8181209677419354</v>
      </c>
    </row>
    <row r="365" spans="1:4" x14ac:dyDescent="0.25">
      <c r="A365" t="s">
        <v>1179</v>
      </c>
      <c r="B365">
        <v>4.4169999999999998</v>
      </c>
      <c r="C365">
        <v>0</v>
      </c>
      <c r="D365">
        <v>2.6553645161290316</v>
      </c>
    </row>
    <row r="366" spans="1:4" x14ac:dyDescent="0.25">
      <c r="A366" t="s">
        <v>1265</v>
      </c>
      <c r="B366">
        <v>4.4089999999999998</v>
      </c>
      <c r="C366">
        <v>0</v>
      </c>
      <c r="D366">
        <v>2.3427177419354837</v>
      </c>
    </row>
    <row r="367" spans="1:4" x14ac:dyDescent="0.25">
      <c r="A367" t="s">
        <v>1812</v>
      </c>
      <c r="B367">
        <v>4.3600000000000003</v>
      </c>
      <c r="C367">
        <v>2.0736000000000001E-3</v>
      </c>
      <c r="D367">
        <v>1.348256993548387</v>
      </c>
    </row>
    <row r="368" spans="1:4" x14ac:dyDescent="0.25">
      <c r="A368" t="s">
        <v>753</v>
      </c>
      <c r="B368">
        <v>4.3</v>
      </c>
      <c r="C368">
        <v>0</v>
      </c>
      <c r="D368">
        <v>4.2306451612903277</v>
      </c>
    </row>
    <row r="369" spans="1:4" x14ac:dyDescent="0.25">
      <c r="A369" t="s">
        <v>757</v>
      </c>
      <c r="B369">
        <v>4.3</v>
      </c>
      <c r="C369">
        <v>0</v>
      </c>
      <c r="D369">
        <v>3.1064516129032258</v>
      </c>
    </row>
    <row r="370" spans="1:4" x14ac:dyDescent="0.25">
      <c r="A370" t="s">
        <v>1304</v>
      </c>
      <c r="B370">
        <v>4.3</v>
      </c>
      <c r="C370">
        <v>0</v>
      </c>
      <c r="D370">
        <v>0.80967741935483861</v>
      </c>
    </row>
    <row r="371" spans="1:4" x14ac:dyDescent="0.25">
      <c r="A371" t="s">
        <v>1306</v>
      </c>
      <c r="B371">
        <v>4.3</v>
      </c>
      <c r="C371">
        <v>0</v>
      </c>
      <c r="D371">
        <v>1.0314516129032256</v>
      </c>
    </row>
    <row r="372" spans="1:4" x14ac:dyDescent="0.25">
      <c r="A372" t="s">
        <v>1648</v>
      </c>
      <c r="B372">
        <v>4.3</v>
      </c>
      <c r="C372">
        <v>0</v>
      </c>
      <c r="D372">
        <v>2.4256129032258067</v>
      </c>
    </row>
    <row r="373" spans="1:4" x14ac:dyDescent="0.25">
      <c r="A373" t="s">
        <v>2830</v>
      </c>
      <c r="B373">
        <v>4.2380000000000004</v>
      </c>
      <c r="C373">
        <v>0</v>
      </c>
      <c r="D373">
        <v>2.7518145161290324</v>
      </c>
    </row>
    <row r="374" spans="1:4" x14ac:dyDescent="0.25">
      <c r="A374" t="s">
        <v>1544</v>
      </c>
      <c r="B374">
        <v>4.13</v>
      </c>
      <c r="C374">
        <v>0</v>
      </c>
      <c r="D374">
        <v>0.47427419354838701</v>
      </c>
    </row>
    <row r="375" spans="1:4" x14ac:dyDescent="0.25">
      <c r="A375" t="s">
        <v>1919</v>
      </c>
      <c r="B375">
        <v>4.1180000000000003</v>
      </c>
      <c r="C375">
        <v>2.504</v>
      </c>
      <c r="D375">
        <v>3.2566935483870973</v>
      </c>
    </row>
    <row r="376" spans="1:4" x14ac:dyDescent="0.25">
      <c r="A376" t="s">
        <v>1513</v>
      </c>
      <c r="B376">
        <v>4.0999999999999996</v>
      </c>
      <c r="C376">
        <v>0</v>
      </c>
      <c r="D376">
        <v>3.5354838709677412</v>
      </c>
    </row>
    <row r="377" spans="1:4" x14ac:dyDescent="0.25">
      <c r="A377" t="s">
        <v>1688</v>
      </c>
      <c r="B377">
        <v>4.0999999999999996</v>
      </c>
      <c r="C377">
        <v>0</v>
      </c>
      <c r="D377">
        <v>1.1896532258064516</v>
      </c>
    </row>
    <row r="378" spans="1:4" x14ac:dyDescent="0.25">
      <c r="A378" t="s">
        <v>1945</v>
      </c>
      <c r="B378">
        <v>4.0250000000000004</v>
      </c>
      <c r="C378">
        <v>0</v>
      </c>
      <c r="D378">
        <v>2.5620645161290332</v>
      </c>
    </row>
    <row r="379" spans="1:4" x14ac:dyDescent="0.25">
      <c r="A379" t="s">
        <v>1760</v>
      </c>
      <c r="B379">
        <v>4.01</v>
      </c>
      <c r="C379">
        <v>0</v>
      </c>
      <c r="D379">
        <v>2.9337903225806437</v>
      </c>
    </row>
    <row r="380" spans="1:4" x14ac:dyDescent="0.25">
      <c r="A380" t="s">
        <v>1537</v>
      </c>
      <c r="B380">
        <v>4</v>
      </c>
      <c r="C380">
        <v>0</v>
      </c>
      <c r="D380">
        <v>2.7712903225806449</v>
      </c>
    </row>
    <row r="381" spans="1:4" x14ac:dyDescent="0.25">
      <c r="A381" t="s">
        <v>2601</v>
      </c>
      <c r="B381">
        <v>4</v>
      </c>
      <c r="C381">
        <v>0</v>
      </c>
      <c r="D381">
        <v>1.5169193548387103</v>
      </c>
    </row>
    <row r="382" spans="1:4" x14ac:dyDescent="0.25">
      <c r="A382" t="s">
        <v>1817</v>
      </c>
      <c r="B382">
        <v>4</v>
      </c>
      <c r="C382">
        <v>0</v>
      </c>
      <c r="D382">
        <v>3.0690322580645151</v>
      </c>
    </row>
    <row r="383" spans="1:4" x14ac:dyDescent="0.25">
      <c r="A383" t="s">
        <v>1317</v>
      </c>
      <c r="B383">
        <v>4</v>
      </c>
      <c r="C383">
        <v>0</v>
      </c>
      <c r="D383">
        <v>0.99677419354838703</v>
      </c>
    </row>
    <row r="384" spans="1:4" x14ac:dyDescent="0.25">
      <c r="A384" t="s">
        <v>2878</v>
      </c>
      <c r="B384">
        <v>3.9409999999999998</v>
      </c>
      <c r="C384">
        <v>0</v>
      </c>
      <c r="D384">
        <v>3.0559758064516132</v>
      </c>
    </row>
    <row r="385" spans="1:4" x14ac:dyDescent="0.25">
      <c r="A385" t="s">
        <v>1864</v>
      </c>
      <c r="B385">
        <v>3.9340000000000002</v>
      </c>
      <c r="C385">
        <v>0</v>
      </c>
      <c r="D385">
        <v>2.5274677419354843</v>
      </c>
    </row>
    <row r="386" spans="1:4" x14ac:dyDescent="0.25">
      <c r="A386" t="s">
        <v>2413</v>
      </c>
      <c r="B386">
        <v>3.915</v>
      </c>
      <c r="C386">
        <v>3.0230000000000001</v>
      </c>
      <c r="D386">
        <v>3.3362903225806457</v>
      </c>
    </row>
    <row r="387" spans="1:4" x14ac:dyDescent="0.25">
      <c r="A387" t="s">
        <v>1046</v>
      </c>
      <c r="B387">
        <v>3.9</v>
      </c>
      <c r="C387">
        <v>0</v>
      </c>
      <c r="D387">
        <v>1.4617983870967737</v>
      </c>
    </row>
    <row r="388" spans="1:4" x14ac:dyDescent="0.25">
      <c r="A388" t="s">
        <v>2790</v>
      </c>
      <c r="B388">
        <v>3.89</v>
      </c>
      <c r="C388">
        <v>0</v>
      </c>
      <c r="D388">
        <v>2.2544290322580642</v>
      </c>
    </row>
    <row r="389" spans="1:4" x14ac:dyDescent="0.25">
      <c r="A389" t="s">
        <v>628</v>
      </c>
      <c r="B389">
        <v>3.88</v>
      </c>
      <c r="C389">
        <v>0</v>
      </c>
      <c r="D389">
        <v>2.9543548387096772</v>
      </c>
    </row>
    <row r="390" spans="1:4" x14ac:dyDescent="0.25">
      <c r="A390" t="s">
        <v>1911</v>
      </c>
      <c r="B390">
        <v>3.84</v>
      </c>
      <c r="C390">
        <v>0</v>
      </c>
      <c r="D390">
        <v>0.69110559677419403</v>
      </c>
    </row>
    <row r="391" spans="1:4" x14ac:dyDescent="0.25">
      <c r="A391" t="s">
        <v>1236</v>
      </c>
      <c r="B391">
        <v>3.8180000000000001</v>
      </c>
      <c r="C391">
        <v>2.335</v>
      </c>
      <c r="D391">
        <v>3.1383145161290318</v>
      </c>
    </row>
    <row r="392" spans="1:4" x14ac:dyDescent="0.25">
      <c r="A392" t="s">
        <v>2603</v>
      </c>
      <c r="B392">
        <v>3.8</v>
      </c>
      <c r="C392">
        <v>0</v>
      </c>
      <c r="D392">
        <v>0.93854838709677424</v>
      </c>
    </row>
    <row r="393" spans="1:4" x14ac:dyDescent="0.25">
      <c r="A393" t="s">
        <v>621</v>
      </c>
      <c r="B393">
        <v>3.8</v>
      </c>
      <c r="C393">
        <v>0</v>
      </c>
      <c r="D393">
        <v>1.9542741935483872</v>
      </c>
    </row>
    <row r="394" spans="1:4" x14ac:dyDescent="0.25">
      <c r="A394" t="s">
        <v>2658</v>
      </c>
      <c r="B394">
        <v>3.75</v>
      </c>
      <c r="C394">
        <v>1.2849999999999999</v>
      </c>
      <c r="D394">
        <v>2.041556451612903</v>
      </c>
    </row>
    <row r="395" spans="1:4" x14ac:dyDescent="0.25">
      <c r="A395" t="s">
        <v>1942</v>
      </c>
      <c r="B395">
        <v>3.722</v>
      </c>
      <c r="C395">
        <v>0</v>
      </c>
      <c r="D395">
        <v>2.5638145161290322</v>
      </c>
    </row>
    <row r="396" spans="1:4" x14ac:dyDescent="0.25">
      <c r="A396" t="s">
        <v>2600</v>
      </c>
      <c r="B396">
        <v>3.7</v>
      </c>
      <c r="C396">
        <v>0</v>
      </c>
      <c r="D396">
        <v>2.6063225806451618</v>
      </c>
    </row>
    <row r="397" spans="1:4" x14ac:dyDescent="0.25">
      <c r="A397" t="s">
        <v>1754</v>
      </c>
      <c r="B397">
        <v>3.7</v>
      </c>
      <c r="C397">
        <v>0</v>
      </c>
      <c r="D397">
        <v>2.661290322580645</v>
      </c>
    </row>
    <row r="398" spans="1:4" x14ac:dyDescent="0.25">
      <c r="A398" t="s">
        <v>2636</v>
      </c>
      <c r="B398">
        <v>3.6709999999999998</v>
      </c>
      <c r="C398">
        <v>0</v>
      </c>
      <c r="D398">
        <v>2.1252822580645163</v>
      </c>
    </row>
    <row r="399" spans="1:4" x14ac:dyDescent="0.25">
      <c r="A399" t="s">
        <v>1673</v>
      </c>
      <c r="B399">
        <v>3.66</v>
      </c>
      <c r="C399">
        <v>0</v>
      </c>
      <c r="D399">
        <v>1.9010483870967745</v>
      </c>
    </row>
    <row r="400" spans="1:4" x14ac:dyDescent="0.25">
      <c r="A400" t="s">
        <v>448</v>
      </c>
      <c r="B400">
        <v>3.64</v>
      </c>
      <c r="C400">
        <v>0</v>
      </c>
      <c r="D400">
        <v>2.3779032258064512</v>
      </c>
    </row>
    <row r="401" spans="1:4" x14ac:dyDescent="0.25">
      <c r="A401" t="s">
        <v>1051</v>
      </c>
      <c r="B401">
        <v>3.63</v>
      </c>
      <c r="C401">
        <v>0</v>
      </c>
      <c r="D401">
        <v>3.1206451612903239</v>
      </c>
    </row>
    <row r="402" spans="1:4" x14ac:dyDescent="0.25">
      <c r="A402" t="s">
        <v>610</v>
      </c>
      <c r="B402">
        <v>3.6038999999999999</v>
      </c>
      <c r="C402">
        <v>0</v>
      </c>
      <c r="D402">
        <v>2.7800733870967744</v>
      </c>
    </row>
    <row r="403" spans="1:4" x14ac:dyDescent="0.25">
      <c r="A403" t="s">
        <v>2215</v>
      </c>
      <c r="B403">
        <v>3.6036000000000001</v>
      </c>
      <c r="C403">
        <v>0</v>
      </c>
      <c r="D403">
        <v>1.4481661290322583</v>
      </c>
    </row>
    <row r="404" spans="1:4" x14ac:dyDescent="0.25">
      <c r="A404" t="s">
        <v>2828</v>
      </c>
      <c r="B404">
        <v>3.6</v>
      </c>
      <c r="C404">
        <v>0</v>
      </c>
      <c r="D404">
        <v>0.77016129032258063</v>
      </c>
    </row>
    <row r="405" spans="1:4" x14ac:dyDescent="0.25">
      <c r="A405" t="s">
        <v>449</v>
      </c>
      <c r="B405">
        <v>3.59</v>
      </c>
      <c r="C405">
        <v>0</v>
      </c>
      <c r="D405">
        <v>2.2682258064516123</v>
      </c>
    </row>
    <row r="406" spans="1:4" x14ac:dyDescent="0.25">
      <c r="A406" t="s">
        <v>1545</v>
      </c>
      <c r="B406">
        <v>3.58</v>
      </c>
      <c r="C406">
        <v>0</v>
      </c>
      <c r="D406">
        <v>0.23241935483870968</v>
      </c>
    </row>
    <row r="407" spans="1:4" x14ac:dyDescent="0.25">
      <c r="A407" t="s">
        <v>1307</v>
      </c>
      <c r="B407">
        <v>3.5</v>
      </c>
      <c r="C407">
        <v>0</v>
      </c>
      <c r="D407">
        <v>1.2600806451612907</v>
      </c>
    </row>
    <row r="408" spans="1:4" x14ac:dyDescent="0.25">
      <c r="A408" t="s">
        <v>2788</v>
      </c>
      <c r="B408">
        <v>3.4670000000000001</v>
      </c>
      <c r="C408">
        <v>0</v>
      </c>
      <c r="D408">
        <v>1.2207951612903227</v>
      </c>
    </row>
    <row r="409" spans="1:4" x14ac:dyDescent="0.25">
      <c r="A409" t="s">
        <v>1580</v>
      </c>
      <c r="B409">
        <v>3.4609999999999999</v>
      </c>
      <c r="C409">
        <v>0</v>
      </c>
      <c r="D409">
        <v>2.5397741935483862</v>
      </c>
    </row>
    <row r="410" spans="1:4" x14ac:dyDescent="0.25">
      <c r="A410" t="s">
        <v>2811</v>
      </c>
      <c r="B410">
        <v>3.4590000000000001</v>
      </c>
      <c r="C410">
        <v>0</v>
      </c>
      <c r="D410">
        <v>1.7264354838709672</v>
      </c>
    </row>
    <row r="411" spans="1:4" x14ac:dyDescent="0.25">
      <c r="A411" t="s">
        <v>1891</v>
      </c>
      <c r="B411">
        <v>3.4569999999999999</v>
      </c>
      <c r="C411">
        <v>0</v>
      </c>
      <c r="D411">
        <v>2.0067096774193551</v>
      </c>
    </row>
    <row r="412" spans="1:4" x14ac:dyDescent="0.25">
      <c r="A412" t="s">
        <v>59</v>
      </c>
      <c r="B412">
        <v>3.45</v>
      </c>
      <c r="C412">
        <v>0</v>
      </c>
      <c r="D412">
        <v>2.0788709677419352</v>
      </c>
    </row>
    <row r="413" spans="1:4" x14ac:dyDescent="0.25">
      <c r="A413" t="s">
        <v>2113</v>
      </c>
      <c r="B413">
        <v>3.44</v>
      </c>
      <c r="C413">
        <v>0</v>
      </c>
      <c r="D413">
        <v>1.725967741935484</v>
      </c>
    </row>
    <row r="414" spans="1:4" x14ac:dyDescent="0.25">
      <c r="A414" t="s">
        <v>1303</v>
      </c>
      <c r="B414">
        <v>3.4</v>
      </c>
      <c r="C414">
        <v>0</v>
      </c>
      <c r="D414">
        <v>0.76129032258064522</v>
      </c>
    </row>
    <row r="415" spans="1:4" x14ac:dyDescent="0.25">
      <c r="A415" t="s">
        <v>1315</v>
      </c>
      <c r="B415">
        <v>3.4</v>
      </c>
      <c r="C415">
        <v>0</v>
      </c>
      <c r="D415">
        <v>0.97903225806451588</v>
      </c>
    </row>
    <row r="416" spans="1:4" x14ac:dyDescent="0.25">
      <c r="A416" t="s">
        <v>89</v>
      </c>
      <c r="B416">
        <v>3.37</v>
      </c>
      <c r="C416">
        <v>0</v>
      </c>
      <c r="D416">
        <v>0.82708064516129043</v>
      </c>
    </row>
    <row r="417" spans="1:4" x14ac:dyDescent="0.25">
      <c r="A417" t="s">
        <v>2812</v>
      </c>
      <c r="B417">
        <v>3.355</v>
      </c>
      <c r="C417">
        <v>0</v>
      </c>
      <c r="D417">
        <v>1.8678548387096776</v>
      </c>
    </row>
    <row r="418" spans="1:4" x14ac:dyDescent="0.25">
      <c r="A418" t="s">
        <v>1748</v>
      </c>
      <c r="B418">
        <v>3.34</v>
      </c>
      <c r="C418">
        <v>0</v>
      </c>
      <c r="D418">
        <v>1.0968870967741933</v>
      </c>
    </row>
    <row r="419" spans="1:4" x14ac:dyDescent="0.25">
      <c r="A419" t="s">
        <v>2630</v>
      </c>
      <c r="B419">
        <v>3.34</v>
      </c>
      <c r="C419">
        <v>0</v>
      </c>
      <c r="D419">
        <v>1.7979508064516123</v>
      </c>
    </row>
    <row r="420" spans="1:4" x14ac:dyDescent="0.25">
      <c r="A420" t="s">
        <v>1548</v>
      </c>
      <c r="B420">
        <v>3.33</v>
      </c>
      <c r="C420">
        <v>0</v>
      </c>
      <c r="D420">
        <v>2.6319354838709672</v>
      </c>
    </row>
    <row r="421" spans="1:4" x14ac:dyDescent="0.25">
      <c r="A421" t="s">
        <v>1940</v>
      </c>
      <c r="B421">
        <v>3.3260000000000001</v>
      </c>
      <c r="C421">
        <v>0</v>
      </c>
      <c r="D421">
        <v>1.6907983870967744</v>
      </c>
    </row>
    <row r="422" spans="1:4" x14ac:dyDescent="0.25">
      <c r="A422" t="s">
        <v>2688</v>
      </c>
      <c r="B422">
        <v>3.319</v>
      </c>
      <c r="C422">
        <v>0</v>
      </c>
      <c r="D422">
        <v>2.7463467741935488</v>
      </c>
    </row>
    <row r="423" spans="1:4" x14ac:dyDescent="0.25">
      <c r="A423" t="s">
        <v>1782</v>
      </c>
      <c r="B423">
        <v>3.3035000000000001</v>
      </c>
      <c r="C423">
        <v>0</v>
      </c>
      <c r="D423">
        <v>1.0700185483870968</v>
      </c>
    </row>
    <row r="424" spans="1:4" x14ac:dyDescent="0.25">
      <c r="A424" t="s">
        <v>1490</v>
      </c>
      <c r="B424">
        <v>3.3</v>
      </c>
      <c r="C424">
        <v>0</v>
      </c>
      <c r="D424">
        <v>1.5037096774193546</v>
      </c>
    </row>
    <row r="425" spans="1:4" x14ac:dyDescent="0.25">
      <c r="A425" t="s">
        <v>470</v>
      </c>
      <c r="B425">
        <v>3.3</v>
      </c>
      <c r="C425">
        <v>0</v>
      </c>
      <c r="D425">
        <v>2.0647580645161288</v>
      </c>
    </row>
    <row r="426" spans="1:4" x14ac:dyDescent="0.25">
      <c r="A426" t="s">
        <v>1823</v>
      </c>
      <c r="B426">
        <v>3.2921999999999998</v>
      </c>
      <c r="C426">
        <v>0</v>
      </c>
      <c r="D426">
        <v>0.30890645161290325</v>
      </c>
    </row>
    <row r="427" spans="1:4" x14ac:dyDescent="0.25">
      <c r="A427" t="s">
        <v>1386</v>
      </c>
      <c r="B427">
        <v>3.27</v>
      </c>
      <c r="C427">
        <v>0</v>
      </c>
      <c r="D427">
        <v>2.1778</v>
      </c>
    </row>
    <row r="428" spans="1:4" x14ac:dyDescent="0.25">
      <c r="A428" t="s">
        <v>450</v>
      </c>
      <c r="B428">
        <v>3.27</v>
      </c>
      <c r="C428">
        <v>0</v>
      </c>
      <c r="D428">
        <v>2.2112903225806457</v>
      </c>
    </row>
    <row r="429" spans="1:4" x14ac:dyDescent="0.25">
      <c r="A429" t="s">
        <v>992</v>
      </c>
      <c r="B429">
        <v>3.2559999999999998</v>
      </c>
      <c r="C429">
        <v>0</v>
      </c>
      <c r="D429">
        <v>2.5576774193548393</v>
      </c>
    </row>
    <row r="430" spans="1:4" x14ac:dyDescent="0.25">
      <c r="A430" t="s">
        <v>2512</v>
      </c>
      <c r="B430">
        <v>3.25</v>
      </c>
      <c r="C430">
        <v>2.2200000000000002</v>
      </c>
      <c r="D430">
        <v>2.6554032258064519</v>
      </c>
    </row>
    <row r="431" spans="1:4" x14ac:dyDescent="0.25">
      <c r="A431" t="s">
        <v>91</v>
      </c>
      <c r="B431">
        <v>3.24</v>
      </c>
      <c r="C431">
        <v>0</v>
      </c>
      <c r="D431">
        <v>1.5592499999999991</v>
      </c>
    </row>
    <row r="432" spans="1:4" x14ac:dyDescent="0.25">
      <c r="A432" t="s">
        <v>1540</v>
      </c>
      <c r="B432">
        <v>3.226</v>
      </c>
      <c r="C432">
        <v>4.8000000000000001E-2</v>
      </c>
      <c r="D432">
        <v>0.88129838709677399</v>
      </c>
    </row>
    <row r="433" spans="1:4" x14ac:dyDescent="0.25">
      <c r="A433" t="s">
        <v>1565</v>
      </c>
      <c r="B433">
        <v>3.2189999999999999</v>
      </c>
      <c r="C433">
        <v>0</v>
      </c>
      <c r="D433">
        <v>1.9202322580645157</v>
      </c>
    </row>
    <row r="434" spans="1:4" x14ac:dyDescent="0.25">
      <c r="A434" t="s">
        <v>1516</v>
      </c>
      <c r="B434">
        <v>3.21</v>
      </c>
      <c r="C434">
        <v>0</v>
      </c>
      <c r="D434">
        <v>2.2460564516129029</v>
      </c>
    </row>
    <row r="435" spans="1:4" x14ac:dyDescent="0.25">
      <c r="A435" t="s">
        <v>1722</v>
      </c>
      <c r="B435">
        <v>3.2</v>
      </c>
      <c r="C435">
        <v>0</v>
      </c>
      <c r="D435">
        <v>1.3887096774193546</v>
      </c>
    </row>
    <row r="436" spans="1:4" x14ac:dyDescent="0.25">
      <c r="A436" t="s">
        <v>400</v>
      </c>
      <c r="B436">
        <v>3.2</v>
      </c>
      <c r="C436">
        <v>0</v>
      </c>
      <c r="D436">
        <v>1.0821774193548384</v>
      </c>
    </row>
    <row r="437" spans="1:4" x14ac:dyDescent="0.25">
      <c r="A437" t="s">
        <v>1326</v>
      </c>
      <c r="B437">
        <v>3.2</v>
      </c>
      <c r="C437">
        <v>0</v>
      </c>
      <c r="D437">
        <v>0.89758064516129044</v>
      </c>
    </row>
    <row r="438" spans="1:4" x14ac:dyDescent="0.25">
      <c r="A438" t="s">
        <v>596</v>
      </c>
      <c r="B438">
        <v>3.181</v>
      </c>
      <c r="C438">
        <v>1.7310000000000001</v>
      </c>
      <c r="D438">
        <v>2.2651370967741937</v>
      </c>
    </row>
    <row r="439" spans="1:4" x14ac:dyDescent="0.25">
      <c r="A439" t="s">
        <v>1974</v>
      </c>
      <c r="B439">
        <v>3.169</v>
      </c>
      <c r="C439">
        <v>0</v>
      </c>
      <c r="D439">
        <v>1.8277096774193553</v>
      </c>
    </row>
    <row r="440" spans="1:4" x14ac:dyDescent="0.25">
      <c r="A440" t="s">
        <v>1786</v>
      </c>
      <c r="B440">
        <v>3.1669999999999998</v>
      </c>
      <c r="C440">
        <v>0</v>
      </c>
      <c r="D440">
        <v>2.6222580645161297</v>
      </c>
    </row>
    <row r="441" spans="1:4" x14ac:dyDescent="0.25">
      <c r="A441" t="s">
        <v>932</v>
      </c>
      <c r="B441">
        <v>3.1261999999999999</v>
      </c>
      <c r="C441">
        <v>0</v>
      </c>
      <c r="D441">
        <v>1.0909008064516126</v>
      </c>
    </row>
    <row r="442" spans="1:4" x14ac:dyDescent="0.25">
      <c r="A442" t="s">
        <v>1925</v>
      </c>
      <c r="B442">
        <v>3.1059999999999999</v>
      </c>
      <c r="C442">
        <v>0</v>
      </c>
      <c r="D442">
        <v>1.9790000000000001</v>
      </c>
    </row>
    <row r="443" spans="1:4" x14ac:dyDescent="0.25">
      <c r="A443" t="s">
        <v>880</v>
      </c>
      <c r="B443">
        <v>3.105</v>
      </c>
      <c r="C443">
        <v>1.1479999999999999</v>
      </c>
      <c r="D443">
        <v>2.0850725806451615</v>
      </c>
    </row>
    <row r="444" spans="1:4" x14ac:dyDescent="0.25">
      <c r="A444" t="s">
        <v>1749</v>
      </c>
      <c r="B444">
        <v>3.1</v>
      </c>
      <c r="C444">
        <v>0</v>
      </c>
      <c r="D444">
        <v>1.3841451612903226</v>
      </c>
    </row>
    <row r="445" spans="1:4" x14ac:dyDescent="0.25">
      <c r="A445" t="s">
        <v>1053</v>
      </c>
      <c r="B445">
        <v>3.1</v>
      </c>
      <c r="C445">
        <v>0</v>
      </c>
      <c r="D445">
        <v>1.4420161290322586</v>
      </c>
    </row>
    <row r="446" spans="1:4" x14ac:dyDescent="0.25">
      <c r="A446" t="s">
        <v>1075</v>
      </c>
      <c r="B446">
        <v>3.1</v>
      </c>
      <c r="C446">
        <v>0</v>
      </c>
      <c r="D446">
        <v>2.7524193548387106</v>
      </c>
    </row>
    <row r="447" spans="1:4" x14ac:dyDescent="0.25">
      <c r="A447" t="s">
        <v>1297</v>
      </c>
      <c r="B447">
        <v>3.1</v>
      </c>
      <c r="C447">
        <v>0</v>
      </c>
      <c r="D447">
        <v>0.58225806451612916</v>
      </c>
    </row>
    <row r="448" spans="1:4" x14ac:dyDescent="0.25">
      <c r="A448" t="s">
        <v>662</v>
      </c>
      <c r="B448">
        <v>3.09</v>
      </c>
      <c r="C448">
        <v>0</v>
      </c>
      <c r="D448">
        <v>0.3286290322580645</v>
      </c>
    </row>
    <row r="449" spans="1:4" x14ac:dyDescent="0.25">
      <c r="A449" t="s">
        <v>1873</v>
      </c>
      <c r="B449">
        <v>3.09</v>
      </c>
      <c r="C449">
        <v>0</v>
      </c>
      <c r="D449">
        <v>0.90811896774193523</v>
      </c>
    </row>
    <row r="450" spans="1:4" x14ac:dyDescent="0.25">
      <c r="A450" t="s">
        <v>64</v>
      </c>
      <c r="B450">
        <v>3.07</v>
      </c>
      <c r="C450">
        <v>0</v>
      </c>
      <c r="D450">
        <v>1.7310483870967739</v>
      </c>
    </row>
    <row r="451" spans="1:4" x14ac:dyDescent="0.25">
      <c r="A451" t="s">
        <v>924</v>
      </c>
      <c r="B451">
        <v>3.05789</v>
      </c>
      <c r="C451">
        <v>0</v>
      </c>
      <c r="D451">
        <v>0.38654862903225806</v>
      </c>
    </row>
    <row r="452" spans="1:4" x14ac:dyDescent="0.25">
      <c r="A452" t="s">
        <v>612</v>
      </c>
      <c r="B452">
        <v>3.0489000000000002</v>
      </c>
      <c r="C452">
        <v>0</v>
      </c>
      <c r="D452">
        <v>2.2314177419354837</v>
      </c>
    </row>
    <row r="453" spans="1:4" x14ac:dyDescent="0.25">
      <c r="A453" t="s">
        <v>2671</v>
      </c>
      <c r="B453">
        <v>3.04</v>
      </c>
      <c r="C453">
        <v>0</v>
      </c>
      <c r="D453">
        <v>2.0239919354838709</v>
      </c>
    </row>
    <row r="454" spans="1:4" x14ac:dyDescent="0.25">
      <c r="A454" t="s">
        <v>639</v>
      </c>
      <c r="B454">
        <v>3.04</v>
      </c>
      <c r="C454">
        <v>0.21</v>
      </c>
      <c r="D454">
        <v>1.6930645161290325</v>
      </c>
    </row>
    <row r="455" spans="1:4" x14ac:dyDescent="0.25">
      <c r="A455" t="s">
        <v>1543</v>
      </c>
      <c r="B455">
        <v>3</v>
      </c>
      <c r="C455">
        <v>1.2</v>
      </c>
      <c r="D455">
        <v>1.382258064516128</v>
      </c>
    </row>
    <row r="456" spans="1:4" x14ac:dyDescent="0.25">
      <c r="A456" t="s">
        <v>561</v>
      </c>
      <c r="B456">
        <v>3</v>
      </c>
      <c r="C456">
        <v>0</v>
      </c>
      <c r="D456">
        <v>1.3224263064516129</v>
      </c>
    </row>
    <row r="457" spans="1:4" x14ac:dyDescent="0.25">
      <c r="A457" t="s">
        <v>2542</v>
      </c>
      <c r="B457">
        <v>3</v>
      </c>
      <c r="C457">
        <v>0</v>
      </c>
      <c r="D457">
        <v>0.35347903225806454</v>
      </c>
    </row>
    <row r="458" spans="1:4" x14ac:dyDescent="0.25">
      <c r="A458" t="s">
        <v>2240</v>
      </c>
      <c r="B458">
        <v>3</v>
      </c>
      <c r="C458">
        <v>0.4</v>
      </c>
      <c r="D458">
        <v>1.5951612903225809</v>
      </c>
    </row>
    <row r="459" spans="1:4" x14ac:dyDescent="0.25">
      <c r="A459" t="s">
        <v>1869</v>
      </c>
      <c r="B459">
        <v>2.9929999999999999</v>
      </c>
      <c r="C459">
        <v>0</v>
      </c>
      <c r="D459">
        <v>2.3185967741935487</v>
      </c>
    </row>
    <row r="460" spans="1:4" x14ac:dyDescent="0.25">
      <c r="A460" t="s">
        <v>593</v>
      </c>
      <c r="B460">
        <v>2.9750000000000001</v>
      </c>
      <c r="C460">
        <v>0</v>
      </c>
      <c r="D460">
        <v>2.5491358225806464</v>
      </c>
    </row>
    <row r="461" spans="1:4" x14ac:dyDescent="0.25">
      <c r="A461" t="s">
        <v>2596</v>
      </c>
      <c r="B461">
        <v>2.9740000000000002</v>
      </c>
      <c r="C461">
        <v>0</v>
      </c>
      <c r="D461">
        <v>0.35764516129032259</v>
      </c>
    </row>
    <row r="462" spans="1:4" x14ac:dyDescent="0.25">
      <c r="A462" t="s">
        <v>936</v>
      </c>
      <c r="B462">
        <v>2.9409999999999998</v>
      </c>
      <c r="C462">
        <v>1.123</v>
      </c>
      <c r="D462">
        <v>1.7704354838709677</v>
      </c>
    </row>
    <row r="463" spans="1:4" x14ac:dyDescent="0.25">
      <c r="A463" t="s">
        <v>1778</v>
      </c>
      <c r="B463">
        <v>2.92</v>
      </c>
      <c r="C463">
        <v>1.84</v>
      </c>
      <c r="D463">
        <v>2.3620161290322583</v>
      </c>
    </row>
    <row r="464" spans="1:4" x14ac:dyDescent="0.25">
      <c r="A464" t="s">
        <v>876</v>
      </c>
      <c r="B464">
        <v>2.9043290000000002</v>
      </c>
      <c r="C464">
        <v>0</v>
      </c>
      <c r="D464">
        <v>1.0689580120967745</v>
      </c>
    </row>
    <row r="465" spans="1:4" x14ac:dyDescent="0.25">
      <c r="A465" t="s">
        <v>771</v>
      </c>
      <c r="B465">
        <v>2.9040300000000001</v>
      </c>
      <c r="C465">
        <v>5.94E-3</v>
      </c>
      <c r="D465">
        <v>0.71253048387096807</v>
      </c>
    </row>
    <row r="466" spans="1:4" x14ac:dyDescent="0.25">
      <c r="A466" t="s">
        <v>2229</v>
      </c>
      <c r="B466">
        <v>2.9</v>
      </c>
      <c r="C466">
        <v>0</v>
      </c>
      <c r="D466">
        <v>0.62950703225806459</v>
      </c>
    </row>
    <row r="467" spans="1:4" x14ac:dyDescent="0.25">
      <c r="A467" t="s">
        <v>823</v>
      </c>
      <c r="B467">
        <v>2.8881000000000001</v>
      </c>
      <c r="C467">
        <v>1.0724</v>
      </c>
      <c r="D467">
        <v>1.7915483870967741</v>
      </c>
    </row>
    <row r="468" spans="1:4" x14ac:dyDescent="0.25">
      <c r="A468" t="s">
        <v>1918</v>
      </c>
      <c r="B468">
        <v>2.8740000000000001</v>
      </c>
      <c r="C468">
        <v>0</v>
      </c>
      <c r="D468">
        <v>2.4231854838709666</v>
      </c>
    </row>
    <row r="469" spans="1:4" x14ac:dyDescent="0.25">
      <c r="A469" t="s">
        <v>815</v>
      </c>
      <c r="B469">
        <v>2.867489</v>
      </c>
      <c r="C469">
        <v>0</v>
      </c>
      <c r="D469">
        <v>0.87310550806451637</v>
      </c>
    </row>
    <row r="470" spans="1:4" x14ac:dyDescent="0.25">
      <c r="A470" t="s">
        <v>1469</v>
      </c>
      <c r="B470">
        <v>2.867</v>
      </c>
      <c r="C470">
        <v>0</v>
      </c>
      <c r="D470">
        <v>2.161903225806451</v>
      </c>
    </row>
    <row r="471" spans="1:4" x14ac:dyDescent="0.25">
      <c r="A471" t="s">
        <v>1926</v>
      </c>
      <c r="B471">
        <v>2.86</v>
      </c>
      <c r="C471">
        <v>0</v>
      </c>
      <c r="D471">
        <v>1.9753951612903227</v>
      </c>
    </row>
    <row r="472" spans="1:4" x14ac:dyDescent="0.25">
      <c r="A472" t="s">
        <v>1995</v>
      </c>
      <c r="B472">
        <v>2.859</v>
      </c>
      <c r="C472">
        <v>0</v>
      </c>
      <c r="D472">
        <v>0.76320161290322563</v>
      </c>
    </row>
    <row r="473" spans="1:4" x14ac:dyDescent="0.25">
      <c r="A473" t="s">
        <v>1562</v>
      </c>
      <c r="B473">
        <v>2.8380000000000001</v>
      </c>
      <c r="C473">
        <v>0</v>
      </c>
      <c r="D473">
        <v>1.967741935483871</v>
      </c>
    </row>
    <row r="474" spans="1:4" x14ac:dyDescent="0.25">
      <c r="A474" t="s">
        <v>1675</v>
      </c>
      <c r="B474">
        <v>2.831</v>
      </c>
      <c r="C474">
        <v>0</v>
      </c>
      <c r="D474">
        <v>0.90058064516129033</v>
      </c>
    </row>
    <row r="475" spans="1:4" x14ac:dyDescent="0.25">
      <c r="A475" t="s">
        <v>253</v>
      </c>
      <c r="B475">
        <v>2.8039999999999998</v>
      </c>
      <c r="C475">
        <v>0</v>
      </c>
      <c r="D475">
        <v>0.79716935483870988</v>
      </c>
    </row>
    <row r="476" spans="1:4" x14ac:dyDescent="0.25">
      <c r="A476" t="s">
        <v>1704</v>
      </c>
      <c r="B476">
        <v>2.8</v>
      </c>
      <c r="C476">
        <v>0</v>
      </c>
      <c r="D476">
        <v>1.8749354838709673</v>
      </c>
    </row>
    <row r="477" spans="1:4" x14ac:dyDescent="0.25">
      <c r="A477" t="s">
        <v>2525</v>
      </c>
      <c r="B477">
        <v>2.8</v>
      </c>
      <c r="C477">
        <v>1.1000000000000001</v>
      </c>
      <c r="D477">
        <v>1.641290322580645</v>
      </c>
    </row>
    <row r="478" spans="1:4" x14ac:dyDescent="0.25">
      <c r="A478" t="s">
        <v>1195</v>
      </c>
      <c r="B478">
        <v>2.7959999999999998</v>
      </c>
      <c r="C478">
        <v>0</v>
      </c>
      <c r="D478">
        <v>1.770717741935484</v>
      </c>
    </row>
    <row r="479" spans="1:4" x14ac:dyDescent="0.25">
      <c r="A479" t="s">
        <v>1631</v>
      </c>
      <c r="B479">
        <v>2.7913230000000002</v>
      </c>
      <c r="C479">
        <v>0</v>
      </c>
      <c r="D479">
        <v>1.4835801854838713</v>
      </c>
    </row>
    <row r="480" spans="1:4" x14ac:dyDescent="0.25">
      <c r="A480" t="s">
        <v>1901</v>
      </c>
      <c r="B480">
        <v>2.77711</v>
      </c>
      <c r="C480">
        <v>0</v>
      </c>
      <c r="D480">
        <v>1.8698095403225807</v>
      </c>
    </row>
    <row r="481" spans="1:4" x14ac:dyDescent="0.25">
      <c r="A481" t="s">
        <v>1459</v>
      </c>
      <c r="B481">
        <v>2.71</v>
      </c>
      <c r="C481">
        <v>0</v>
      </c>
      <c r="D481">
        <v>2.1150306451612901</v>
      </c>
    </row>
    <row r="482" spans="1:4" x14ac:dyDescent="0.25">
      <c r="A482" t="s">
        <v>1687</v>
      </c>
      <c r="B482">
        <v>2.7</v>
      </c>
      <c r="C482">
        <v>0</v>
      </c>
      <c r="D482">
        <v>0.72971032903225796</v>
      </c>
    </row>
    <row r="483" spans="1:4" x14ac:dyDescent="0.25">
      <c r="A483" t="s">
        <v>1486</v>
      </c>
      <c r="B483">
        <v>2.7</v>
      </c>
      <c r="C483">
        <v>0</v>
      </c>
      <c r="D483">
        <v>0.84556451612903227</v>
      </c>
    </row>
    <row r="484" spans="1:4" x14ac:dyDescent="0.25">
      <c r="A484" t="s">
        <v>374</v>
      </c>
      <c r="B484">
        <v>2.69</v>
      </c>
      <c r="C484">
        <v>1.006</v>
      </c>
      <c r="D484">
        <v>1.693072580645161</v>
      </c>
    </row>
    <row r="485" spans="1:4" x14ac:dyDescent="0.25">
      <c r="A485" t="s">
        <v>1885</v>
      </c>
      <c r="B485">
        <v>2.6890000000000001</v>
      </c>
      <c r="C485">
        <v>0</v>
      </c>
      <c r="D485">
        <v>1.9731774193548384</v>
      </c>
    </row>
    <row r="486" spans="1:4" x14ac:dyDescent="0.25">
      <c r="A486" t="s">
        <v>29</v>
      </c>
      <c r="B486">
        <v>2.6709999999999998</v>
      </c>
      <c r="C486">
        <v>0</v>
      </c>
      <c r="D486">
        <v>1.7694919354838714</v>
      </c>
    </row>
    <row r="487" spans="1:4" x14ac:dyDescent="0.25">
      <c r="A487" t="s">
        <v>867</v>
      </c>
      <c r="B487">
        <v>2.67</v>
      </c>
      <c r="C487">
        <v>0</v>
      </c>
      <c r="D487">
        <v>1.0563548387096773</v>
      </c>
    </row>
    <row r="488" spans="1:4" x14ac:dyDescent="0.25">
      <c r="A488" t="s">
        <v>2841</v>
      </c>
      <c r="B488">
        <v>2.66899</v>
      </c>
      <c r="C488">
        <v>1.9319999999999999</v>
      </c>
      <c r="D488">
        <v>2.2405025806451615</v>
      </c>
    </row>
    <row r="489" spans="1:4" x14ac:dyDescent="0.25">
      <c r="A489" t="s">
        <v>1843</v>
      </c>
      <c r="B489">
        <v>2.64</v>
      </c>
      <c r="C489">
        <v>0</v>
      </c>
      <c r="D489">
        <v>1.9493548387096784</v>
      </c>
    </row>
    <row r="490" spans="1:4" x14ac:dyDescent="0.25">
      <c r="A490" t="s">
        <v>380</v>
      </c>
      <c r="B490">
        <v>2.6379999999999999</v>
      </c>
      <c r="C490">
        <v>0</v>
      </c>
      <c r="D490">
        <v>2.2848870967741939</v>
      </c>
    </row>
    <row r="491" spans="1:4" x14ac:dyDescent="0.25">
      <c r="A491" t="s">
        <v>2430</v>
      </c>
      <c r="B491">
        <v>2.6081289999999999</v>
      </c>
      <c r="C491">
        <v>0</v>
      </c>
      <c r="D491">
        <v>1.5238721854838704</v>
      </c>
    </row>
    <row r="492" spans="1:4" x14ac:dyDescent="0.25">
      <c r="A492" t="s">
        <v>402</v>
      </c>
      <c r="B492">
        <v>2.6</v>
      </c>
      <c r="C492">
        <v>0</v>
      </c>
      <c r="D492">
        <v>0.47144354838709684</v>
      </c>
    </row>
    <row r="493" spans="1:4" x14ac:dyDescent="0.25">
      <c r="A493" t="s">
        <v>371</v>
      </c>
      <c r="B493">
        <v>2.6</v>
      </c>
      <c r="C493">
        <v>1.5</v>
      </c>
      <c r="D493">
        <v>1.9104838709677421</v>
      </c>
    </row>
    <row r="494" spans="1:4" x14ac:dyDescent="0.25">
      <c r="A494" t="s">
        <v>2711</v>
      </c>
      <c r="B494">
        <v>2.6</v>
      </c>
      <c r="C494">
        <v>0.8</v>
      </c>
      <c r="D494">
        <v>1.6341935483870966</v>
      </c>
    </row>
    <row r="495" spans="1:4" x14ac:dyDescent="0.25">
      <c r="A495" t="s">
        <v>1674</v>
      </c>
      <c r="B495">
        <v>2.6</v>
      </c>
      <c r="C495">
        <v>0</v>
      </c>
      <c r="D495">
        <v>2.0376129032258059</v>
      </c>
    </row>
    <row r="496" spans="1:4" x14ac:dyDescent="0.25">
      <c r="A496" t="s">
        <v>1893</v>
      </c>
      <c r="B496">
        <v>2.59</v>
      </c>
      <c r="C496">
        <v>0</v>
      </c>
      <c r="D496">
        <v>1.9801612903225811</v>
      </c>
    </row>
    <row r="497" spans="1:4" x14ac:dyDescent="0.25">
      <c r="A497" t="s">
        <v>1903</v>
      </c>
      <c r="B497">
        <v>2.5880000000000001</v>
      </c>
      <c r="C497">
        <v>0</v>
      </c>
      <c r="D497">
        <v>1.8050564516129035</v>
      </c>
    </row>
    <row r="498" spans="1:4" x14ac:dyDescent="0.25">
      <c r="A498" t="s">
        <v>1646</v>
      </c>
      <c r="B498">
        <v>2.5640000000000001</v>
      </c>
      <c r="C498">
        <v>0</v>
      </c>
      <c r="D498">
        <v>1.3118709677419356</v>
      </c>
    </row>
    <row r="499" spans="1:4" x14ac:dyDescent="0.25">
      <c r="A499" t="s">
        <v>1561</v>
      </c>
      <c r="B499">
        <v>2.5590000000000002</v>
      </c>
      <c r="C499">
        <v>0</v>
      </c>
      <c r="D499">
        <v>1.7622258064516123</v>
      </c>
    </row>
    <row r="500" spans="1:4" x14ac:dyDescent="0.25">
      <c r="A500" t="s">
        <v>165</v>
      </c>
      <c r="B500">
        <v>2.5510000000000002</v>
      </c>
      <c r="C500">
        <v>0</v>
      </c>
      <c r="D500">
        <v>1.763001612903226</v>
      </c>
    </row>
    <row r="501" spans="1:4" x14ac:dyDescent="0.25">
      <c r="A501" t="s">
        <v>2232</v>
      </c>
      <c r="B501">
        <v>2.5299999999999998</v>
      </c>
      <c r="C501">
        <v>0</v>
      </c>
      <c r="D501">
        <v>2.0561290322580641</v>
      </c>
    </row>
    <row r="502" spans="1:4" x14ac:dyDescent="0.25">
      <c r="A502" t="s">
        <v>375</v>
      </c>
      <c r="B502">
        <v>2.5259</v>
      </c>
      <c r="C502">
        <v>0</v>
      </c>
      <c r="D502">
        <v>1.7086733870967736</v>
      </c>
    </row>
    <row r="503" spans="1:4" x14ac:dyDescent="0.25">
      <c r="A503" t="s">
        <v>2703</v>
      </c>
      <c r="B503">
        <v>2.5099999999999998</v>
      </c>
      <c r="C503">
        <v>0</v>
      </c>
      <c r="D503">
        <v>1.0863870967741938</v>
      </c>
    </row>
    <row r="504" spans="1:4" x14ac:dyDescent="0.25">
      <c r="A504" t="s">
        <v>144</v>
      </c>
      <c r="B504">
        <v>2.5089999999999999</v>
      </c>
      <c r="C504">
        <v>1.113</v>
      </c>
      <c r="D504">
        <v>1.6055161290322577</v>
      </c>
    </row>
    <row r="505" spans="1:4" x14ac:dyDescent="0.25">
      <c r="A505" t="s">
        <v>2789</v>
      </c>
      <c r="B505">
        <v>2.5</v>
      </c>
      <c r="C505">
        <v>0</v>
      </c>
      <c r="D505">
        <v>0.19633064516129028</v>
      </c>
    </row>
    <row r="506" spans="1:4" x14ac:dyDescent="0.25">
      <c r="A506" t="s">
        <v>1044</v>
      </c>
      <c r="B506">
        <v>2.5</v>
      </c>
      <c r="C506">
        <v>0</v>
      </c>
      <c r="D506">
        <v>1.937258064516129</v>
      </c>
    </row>
    <row r="507" spans="1:4" x14ac:dyDescent="0.25">
      <c r="A507" t="s">
        <v>115</v>
      </c>
      <c r="B507">
        <v>2.5</v>
      </c>
      <c r="C507">
        <v>1.4</v>
      </c>
      <c r="D507">
        <v>1.7649677419354834</v>
      </c>
    </row>
    <row r="508" spans="1:4" x14ac:dyDescent="0.25">
      <c r="A508" t="s">
        <v>1008</v>
      </c>
      <c r="B508">
        <v>2.5</v>
      </c>
      <c r="C508">
        <v>1.91</v>
      </c>
      <c r="D508">
        <v>2.1260483870967741</v>
      </c>
    </row>
    <row r="509" spans="1:4" x14ac:dyDescent="0.25">
      <c r="A509" t="s">
        <v>916</v>
      </c>
      <c r="B509">
        <v>2.4750000000000001</v>
      </c>
      <c r="C509">
        <v>0.61199999999999999</v>
      </c>
      <c r="D509">
        <v>1.5066935483870965</v>
      </c>
    </row>
    <row r="510" spans="1:4" x14ac:dyDescent="0.25">
      <c r="A510" t="s">
        <v>1738</v>
      </c>
      <c r="B510">
        <v>2.4700000000000002</v>
      </c>
      <c r="C510">
        <v>0</v>
      </c>
      <c r="D510">
        <v>1.3543225806451613</v>
      </c>
    </row>
    <row r="511" spans="1:4" x14ac:dyDescent="0.25">
      <c r="A511" t="s">
        <v>1247</v>
      </c>
      <c r="B511">
        <v>2.4700000000000002</v>
      </c>
      <c r="C511">
        <v>0</v>
      </c>
      <c r="D511">
        <v>1.819427419354839</v>
      </c>
    </row>
    <row r="512" spans="1:4" x14ac:dyDescent="0.25">
      <c r="A512" t="s">
        <v>1833</v>
      </c>
      <c r="B512">
        <v>2.4677419999999999</v>
      </c>
      <c r="C512">
        <v>0</v>
      </c>
      <c r="D512">
        <v>2.0143171290322583</v>
      </c>
    </row>
    <row r="513" spans="1:4" x14ac:dyDescent="0.25">
      <c r="A513" t="s">
        <v>504</v>
      </c>
      <c r="B513">
        <v>2.44</v>
      </c>
      <c r="C513">
        <v>0</v>
      </c>
      <c r="D513">
        <v>1.2447016129032256</v>
      </c>
    </row>
    <row r="514" spans="1:4" x14ac:dyDescent="0.25">
      <c r="A514" t="s">
        <v>2594</v>
      </c>
      <c r="B514">
        <v>2.4340000000000002</v>
      </c>
      <c r="C514">
        <v>0</v>
      </c>
      <c r="D514">
        <v>0.64184677419354852</v>
      </c>
    </row>
    <row r="515" spans="1:4" x14ac:dyDescent="0.25">
      <c r="A515" t="s">
        <v>412</v>
      </c>
      <c r="B515">
        <v>2.4300000000000002</v>
      </c>
      <c r="C515">
        <v>0</v>
      </c>
      <c r="D515">
        <v>0.68370638709677412</v>
      </c>
    </row>
    <row r="516" spans="1:4" x14ac:dyDescent="0.25">
      <c r="A516" t="s">
        <v>1849</v>
      </c>
      <c r="B516">
        <v>2.4072</v>
      </c>
      <c r="C516">
        <v>0.49993500000000002</v>
      </c>
      <c r="D516">
        <v>1.2821783709677423</v>
      </c>
    </row>
    <row r="517" spans="1:4" x14ac:dyDescent="0.25">
      <c r="A517" t="s">
        <v>1497</v>
      </c>
      <c r="B517">
        <v>2.3759999999999999</v>
      </c>
      <c r="C517">
        <v>0</v>
      </c>
      <c r="D517">
        <v>0.30822500000000003</v>
      </c>
    </row>
    <row r="518" spans="1:4" x14ac:dyDescent="0.25">
      <c r="A518" t="s">
        <v>1077</v>
      </c>
      <c r="B518">
        <v>2.37</v>
      </c>
      <c r="C518">
        <v>0</v>
      </c>
      <c r="D518">
        <v>1.345322580645161</v>
      </c>
    </row>
    <row r="519" spans="1:4" x14ac:dyDescent="0.25">
      <c r="A519" t="s">
        <v>2139</v>
      </c>
      <c r="B519">
        <v>2.3639999999999999</v>
      </c>
      <c r="C519">
        <v>0</v>
      </c>
      <c r="D519">
        <v>1.9267177419354837</v>
      </c>
    </row>
    <row r="520" spans="1:4" x14ac:dyDescent="0.25">
      <c r="A520" t="s">
        <v>2097</v>
      </c>
      <c r="B520">
        <v>2.36</v>
      </c>
      <c r="C520">
        <v>0</v>
      </c>
      <c r="D520">
        <v>0.72764516129032253</v>
      </c>
    </row>
    <row r="521" spans="1:4" x14ac:dyDescent="0.25">
      <c r="A521" t="s">
        <v>1977</v>
      </c>
      <c r="B521">
        <v>2.3570000000000002</v>
      </c>
      <c r="C521">
        <v>0</v>
      </c>
      <c r="D521">
        <v>1.0823635806451615</v>
      </c>
    </row>
    <row r="522" spans="1:4" x14ac:dyDescent="0.25">
      <c r="A522" t="s">
        <v>1076</v>
      </c>
      <c r="B522">
        <v>2.35</v>
      </c>
      <c r="C522">
        <v>0</v>
      </c>
      <c r="D522">
        <v>1.6440322580645164</v>
      </c>
    </row>
    <row r="523" spans="1:4" x14ac:dyDescent="0.25">
      <c r="A523" t="s">
        <v>51</v>
      </c>
      <c r="B523">
        <v>2.35</v>
      </c>
      <c r="C523">
        <v>0</v>
      </c>
      <c r="D523">
        <v>0.73804838709677489</v>
      </c>
    </row>
    <row r="524" spans="1:4" x14ac:dyDescent="0.25">
      <c r="A524" t="s">
        <v>147</v>
      </c>
      <c r="B524">
        <v>2.3479999999999999</v>
      </c>
      <c r="C524">
        <v>1.4239999999999999</v>
      </c>
      <c r="D524">
        <v>1.7971129032258066</v>
      </c>
    </row>
    <row r="525" spans="1:4" x14ac:dyDescent="0.25">
      <c r="A525" t="s">
        <v>1697</v>
      </c>
      <c r="B525">
        <v>2.347</v>
      </c>
      <c r="C525">
        <v>0</v>
      </c>
      <c r="D525">
        <v>1.9401129032258071</v>
      </c>
    </row>
    <row r="526" spans="1:4" x14ac:dyDescent="0.25">
      <c r="A526" t="s">
        <v>1682</v>
      </c>
      <c r="B526">
        <v>2.3403</v>
      </c>
      <c r="C526">
        <v>0</v>
      </c>
      <c r="D526">
        <v>0.80668548387096772</v>
      </c>
    </row>
    <row r="527" spans="1:4" x14ac:dyDescent="0.25">
      <c r="A527" t="s">
        <v>86</v>
      </c>
      <c r="B527">
        <v>2.339</v>
      </c>
      <c r="C527">
        <v>0.2</v>
      </c>
      <c r="D527">
        <v>1.0195645161290321</v>
      </c>
    </row>
    <row r="528" spans="1:4" x14ac:dyDescent="0.25">
      <c r="A528" t="s">
        <v>1499</v>
      </c>
      <c r="B528">
        <v>2.3130999999999999</v>
      </c>
      <c r="C528">
        <v>0</v>
      </c>
      <c r="D528">
        <v>0.31578306451612909</v>
      </c>
    </row>
    <row r="529" spans="1:4" x14ac:dyDescent="0.25">
      <c r="A529" t="s">
        <v>1009</v>
      </c>
      <c r="B529">
        <v>2.306</v>
      </c>
      <c r="C529">
        <v>0</v>
      </c>
      <c r="D529">
        <v>2.0389112903225799</v>
      </c>
    </row>
    <row r="530" spans="1:4" x14ac:dyDescent="0.25">
      <c r="A530" t="s">
        <v>1907</v>
      </c>
      <c r="B530">
        <v>2.3039999999999998</v>
      </c>
      <c r="C530">
        <v>0</v>
      </c>
      <c r="D530">
        <v>1.781814516129032</v>
      </c>
    </row>
    <row r="531" spans="1:4" x14ac:dyDescent="0.25">
      <c r="A531" t="s">
        <v>129</v>
      </c>
      <c r="B531">
        <v>2.2999999999999998</v>
      </c>
      <c r="C531">
        <v>0</v>
      </c>
      <c r="D531">
        <v>1.6368548387096775</v>
      </c>
    </row>
    <row r="532" spans="1:4" x14ac:dyDescent="0.25">
      <c r="A532" t="s">
        <v>384</v>
      </c>
      <c r="B532">
        <v>2.29</v>
      </c>
      <c r="C532">
        <v>0</v>
      </c>
      <c r="D532">
        <v>1.2593951612903225</v>
      </c>
    </row>
    <row r="533" spans="1:4" x14ac:dyDescent="0.25">
      <c r="A533" t="s">
        <v>872</v>
      </c>
      <c r="B533">
        <v>2.2892999999999999</v>
      </c>
      <c r="C533">
        <v>4.0000000000000003E-5</v>
      </c>
      <c r="D533">
        <v>0.69980306451612895</v>
      </c>
    </row>
    <row r="534" spans="1:4" x14ac:dyDescent="0.25">
      <c r="A534" t="s">
        <v>2522</v>
      </c>
      <c r="B534">
        <v>2.2829999999999999</v>
      </c>
      <c r="C534">
        <v>0</v>
      </c>
      <c r="D534">
        <v>1.2812704193548388</v>
      </c>
    </row>
    <row r="535" spans="1:4" x14ac:dyDescent="0.25">
      <c r="A535" t="s">
        <v>631</v>
      </c>
      <c r="B535">
        <v>2.2799999999999998</v>
      </c>
      <c r="C535">
        <v>0</v>
      </c>
      <c r="D535">
        <v>1.6319677419354841</v>
      </c>
    </row>
    <row r="536" spans="1:4" x14ac:dyDescent="0.25">
      <c r="A536" t="s">
        <v>2700</v>
      </c>
      <c r="B536">
        <v>2.2799999999999998</v>
      </c>
      <c r="C536">
        <v>0</v>
      </c>
      <c r="D536">
        <v>1.3814209677419362</v>
      </c>
    </row>
    <row r="537" spans="1:4" x14ac:dyDescent="0.25">
      <c r="A537" t="s">
        <v>2865</v>
      </c>
      <c r="B537">
        <v>2.2519999999999998</v>
      </c>
      <c r="C537">
        <v>1.129</v>
      </c>
      <c r="D537">
        <v>1.5888548387096775</v>
      </c>
    </row>
    <row r="538" spans="1:4" x14ac:dyDescent="0.25">
      <c r="A538" t="s">
        <v>1156</v>
      </c>
      <c r="B538">
        <v>2.2509999999999999</v>
      </c>
      <c r="C538">
        <v>0.69899999999999995</v>
      </c>
      <c r="D538">
        <v>1.1833064516129037</v>
      </c>
    </row>
    <row r="539" spans="1:4" x14ac:dyDescent="0.25">
      <c r="A539" t="s">
        <v>1480</v>
      </c>
      <c r="B539">
        <v>2.25</v>
      </c>
      <c r="C539">
        <v>0</v>
      </c>
      <c r="D539">
        <v>1.6648387096774193</v>
      </c>
    </row>
    <row r="540" spans="1:4" x14ac:dyDescent="0.25">
      <c r="A540" t="s">
        <v>760</v>
      </c>
      <c r="B540">
        <v>2.2400000000000002</v>
      </c>
      <c r="C540">
        <v>0</v>
      </c>
      <c r="D540">
        <v>1.0524338709677417</v>
      </c>
    </row>
    <row r="541" spans="1:4" x14ac:dyDescent="0.25">
      <c r="A541" t="s">
        <v>1810</v>
      </c>
      <c r="B541">
        <v>2.2399</v>
      </c>
      <c r="C541">
        <v>2E-3</v>
      </c>
      <c r="D541">
        <v>0.59844440645161301</v>
      </c>
    </row>
    <row r="542" spans="1:4" x14ac:dyDescent="0.25">
      <c r="A542" t="s">
        <v>283</v>
      </c>
      <c r="B542">
        <v>2.2349999999999999</v>
      </c>
      <c r="C542">
        <v>0</v>
      </c>
      <c r="D542">
        <v>1.2331290322580644</v>
      </c>
    </row>
    <row r="543" spans="1:4" x14ac:dyDescent="0.25">
      <c r="A543" t="s">
        <v>104</v>
      </c>
      <c r="B543">
        <v>2.21</v>
      </c>
      <c r="C543">
        <v>7.0000000000000001E-3</v>
      </c>
      <c r="D543">
        <v>0.98732096774193545</v>
      </c>
    </row>
    <row r="544" spans="1:4" x14ac:dyDescent="0.25">
      <c r="A544" t="s">
        <v>1721</v>
      </c>
      <c r="B544">
        <v>2.2000000000000002</v>
      </c>
      <c r="C544">
        <v>0</v>
      </c>
      <c r="D544">
        <v>1.626661290322581</v>
      </c>
    </row>
    <row r="545" spans="1:4" x14ac:dyDescent="0.25">
      <c r="A545" t="s">
        <v>2284</v>
      </c>
      <c r="B545">
        <v>2.2000000000000002</v>
      </c>
      <c r="C545">
        <v>0</v>
      </c>
      <c r="D545">
        <v>0.77071774193548426</v>
      </c>
    </row>
    <row r="546" spans="1:4" x14ac:dyDescent="0.25">
      <c r="A546" t="s">
        <v>155</v>
      </c>
      <c r="B546">
        <v>2.1840000000000002</v>
      </c>
      <c r="C546">
        <v>0</v>
      </c>
      <c r="D546">
        <v>1.3627725806451612</v>
      </c>
    </row>
    <row r="547" spans="1:4" x14ac:dyDescent="0.25">
      <c r="A547" t="s">
        <v>1593</v>
      </c>
      <c r="B547">
        <v>2.1819999999999999</v>
      </c>
      <c r="C547">
        <v>0</v>
      </c>
      <c r="D547">
        <v>1.8619938145161288</v>
      </c>
    </row>
    <row r="548" spans="1:4" x14ac:dyDescent="0.25">
      <c r="A548" t="s">
        <v>742</v>
      </c>
      <c r="B548">
        <v>2.17</v>
      </c>
      <c r="C548">
        <v>0</v>
      </c>
      <c r="D548">
        <v>0.29537096774193539</v>
      </c>
    </row>
    <row r="549" spans="1:4" x14ac:dyDescent="0.25">
      <c r="A549" t="s">
        <v>1489</v>
      </c>
      <c r="B549">
        <v>2.1509999999999998</v>
      </c>
      <c r="C549">
        <v>0</v>
      </c>
      <c r="D549">
        <v>1.6043548387096775</v>
      </c>
    </row>
    <row r="550" spans="1:4" x14ac:dyDescent="0.25">
      <c r="A550" t="s">
        <v>1495</v>
      </c>
      <c r="B550">
        <v>2.1379999999999999</v>
      </c>
      <c r="C550">
        <v>0</v>
      </c>
      <c r="D550">
        <v>0.88819354838709685</v>
      </c>
    </row>
    <row r="551" spans="1:4" x14ac:dyDescent="0.25">
      <c r="A551" t="s">
        <v>1554</v>
      </c>
      <c r="B551">
        <v>2.13</v>
      </c>
      <c r="C551">
        <v>0</v>
      </c>
      <c r="D551">
        <v>2.0956451612903209</v>
      </c>
    </row>
    <row r="552" spans="1:4" x14ac:dyDescent="0.25">
      <c r="A552" t="s">
        <v>1353</v>
      </c>
      <c r="B552">
        <v>2.1158220000000001</v>
      </c>
      <c r="C552">
        <v>0</v>
      </c>
      <c r="D552">
        <v>0.29798416935483879</v>
      </c>
    </row>
    <row r="553" spans="1:4" x14ac:dyDescent="0.25">
      <c r="A553" t="s">
        <v>2604</v>
      </c>
      <c r="B553">
        <v>2.1</v>
      </c>
      <c r="C553">
        <v>0</v>
      </c>
      <c r="D553">
        <v>1.1282258064516129</v>
      </c>
    </row>
    <row r="554" spans="1:4" x14ac:dyDescent="0.25">
      <c r="A554" t="s">
        <v>185</v>
      </c>
      <c r="B554">
        <v>2.0960000000000001</v>
      </c>
      <c r="C554">
        <v>0</v>
      </c>
      <c r="D554">
        <v>1.489224193548387</v>
      </c>
    </row>
    <row r="555" spans="1:4" x14ac:dyDescent="0.25">
      <c r="A555" t="s">
        <v>1732</v>
      </c>
      <c r="B555">
        <v>2.09</v>
      </c>
      <c r="C555">
        <v>0</v>
      </c>
      <c r="D555">
        <v>1.6760645161290326</v>
      </c>
    </row>
    <row r="556" spans="1:4" x14ac:dyDescent="0.25">
      <c r="A556" t="s">
        <v>345</v>
      </c>
      <c r="B556">
        <v>2.0880000000000001</v>
      </c>
      <c r="C556">
        <v>2.0880000000000001</v>
      </c>
      <c r="D556">
        <v>2.0879999999999974</v>
      </c>
    </row>
    <row r="557" spans="1:4" x14ac:dyDescent="0.25">
      <c r="A557" t="s">
        <v>1252</v>
      </c>
      <c r="B557">
        <v>2.081</v>
      </c>
      <c r="C557">
        <v>0</v>
      </c>
      <c r="D557">
        <v>1.7892661290322585</v>
      </c>
    </row>
    <row r="558" spans="1:4" x14ac:dyDescent="0.25">
      <c r="A558" t="s">
        <v>1822</v>
      </c>
      <c r="B558">
        <v>2.08</v>
      </c>
      <c r="C558">
        <v>1.49</v>
      </c>
      <c r="D558">
        <v>1.8880041935483869</v>
      </c>
    </row>
    <row r="559" spans="1:4" x14ac:dyDescent="0.25">
      <c r="A559" t="s">
        <v>294</v>
      </c>
      <c r="B559">
        <v>2.06</v>
      </c>
      <c r="C559">
        <v>0</v>
      </c>
      <c r="D559">
        <v>1.6177338709677416</v>
      </c>
    </row>
    <row r="560" spans="1:4" x14ac:dyDescent="0.25">
      <c r="A560" t="s">
        <v>1992</v>
      </c>
      <c r="B560">
        <v>2.0590000000000002</v>
      </c>
      <c r="C560">
        <v>0</v>
      </c>
      <c r="D560">
        <v>0.55412096774193531</v>
      </c>
    </row>
    <row r="561" spans="1:4" x14ac:dyDescent="0.25">
      <c r="A561" t="s">
        <v>2024</v>
      </c>
      <c r="B561">
        <v>2.0470000000000002</v>
      </c>
      <c r="C561">
        <v>0</v>
      </c>
      <c r="D561">
        <v>1.7900887096774196</v>
      </c>
    </row>
    <row r="562" spans="1:4" x14ac:dyDescent="0.25">
      <c r="A562" t="s">
        <v>267</v>
      </c>
      <c r="B562">
        <v>2.02</v>
      </c>
      <c r="C562">
        <v>0</v>
      </c>
      <c r="D562">
        <v>1.6254032258064517</v>
      </c>
    </row>
    <row r="563" spans="1:4" x14ac:dyDescent="0.25">
      <c r="A563" t="s">
        <v>1248</v>
      </c>
      <c r="B563">
        <v>2.0169999999999999</v>
      </c>
      <c r="C563">
        <v>0</v>
      </c>
      <c r="D563">
        <v>1.215241935483871</v>
      </c>
    </row>
    <row r="564" spans="1:4" x14ac:dyDescent="0.25">
      <c r="A564" t="s">
        <v>1883</v>
      </c>
      <c r="B564">
        <v>2.016</v>
      </c>
      <c r="C564">
        <v>0</v>
      </c>
      <c r="D564">
        <v>1.3427903225806455</v>
      </c>
    </row>
    <row r="565" spans="1:4" x14ac:dyDescent="0.25">
      <c r="A565" t="s">
        <v>1617</v>
      </c>
      <c r="B565">
        <v>2.0099999999999998</v>
      </c>
      <c r="C565">
        <v>0</v>
      </c>
      <c r="D565">
        <v>1.0012903225806451</v>
      </c>
    </row>
    <row r="566" spans="1:4" x14ac:dyDescent="0.25">
      <c r="A566" t="s">
        <v>1831</v>
      </c>
      <c r="B566">
        <v>2.0070000000000001</v>
      </c>
      <c r="C566">
        <v>0</v>
      </c>
      <c r="D566">
        <v>1.4273629032258066</v>
      </c>
    </row>
    <row r="567" spans="1:4" x14ac:dyDescent="0.25">
      <c r="A567" t="s">
        <v>94</v>
      </c>
      <c r="B567">
        <v>2.0049999999999999</v>
      </c>
      <c r="C567">
        <v>0</v>
      </c>
      <c r="D567">
        <v>0.97477419354838701</v>
      </c>
    </row>
    <row r="568" spans="1:4" x14ac:dyDescent="0.25">
      <c r="A568" t="s">
        <v>2705</v>
      </c>
      <c r="B568">
        <v>2</v>
      </c>
      <c r="C568">
        <v>0</v>
      </c>
      <c r="D568">
        <v>0.49899193548387105</v>
      </c>
    </row>
    <row r="569" spans="1:4" x14ac:dyDescent="0.25">
      <c r="A569" t="s">
        <v>2727</v>
      </c>
      <c r="B569">
        <v>2</v>
      </c>
      <c r="C569">
        <v>0</v>
      </c>
      <c r="D569">
        <v>0.72319999999999995</v>
      </c>
    </row>
    <row r="570" spans="1:4" x14ac:dyDescent="0.25">
      <c r="A570" t="s">
        <v>1298</v>
      </c>
      <c r="B570">
        <v>2</v>
      </c>
      <c r="C570">
        <v>0</v>
      </c>
      <c r="D570">
        <v>0.39274193548387093</v>
      </c>
    </row>
    <row r="571" spans="1:4" x14ac:dyDescent="0.25">
      <c r="A571" t="s">
        <v>1313</v>
      </c>
      <c r="B571">
        <v>2</v>
      </c>
      <c r="C571">
        <v>0</v>
      </c>
      <c r="D571">
        <v>0.63387096774193541</v>
      </c>
    </row>
    <row r="572" spans="1:4" x14ac:dyDescent="0.25">
      <c r="A572" t="s">
        <v>176</v>
      </c>
      <c r="B572">
        <v>2</v>
      </c>
      <c r="C572">
        <v>0</v>
      </c>
      <c r="D572">
        <v>1.4198112903225806</v>
      </c>
    </row>
    <row r="573" spans="1:4" x14ac:dyDescent="0.25">
      <c r="A573" t="s">
        <v>181</v>
      </c>
      <c r="B573">
        <v>2</v>
      </c>
      <c r="C573">
        <v>0</v>
      </c>
      <c r="D573">
        <v>0.22580645161290322</v>
      </c>
    </row>
    <row r="574" spans="1:4" x14ac:dyDescent="0.25">
      <c r="A574" t="s">
        <v>496</v>
      </c>
      <c r="B574">
        <v>2</v>
      </c>
      <c r="C574">
        <v>0.95399999999999996</v>
      </c>
      <c r="D574">
        <v>1.3260725806451621</v>
      </c>
    </row>
    <row r="575" spans="1:4" x14ac:dyDescent="0.25">
      <c r="A575" t="s">
        <v>2797</v>
      </c>
      <c r="B575">
        <v>2</v>
      </c>
      <c r="C575">
        <v>0</v>
      </c>
      <c r="D575">
        <v>1.64366935483871</v>
      </c>
    </row>
    <row r="576" spans="1:4" x14ac:dyDescent="0.25">
      <c r="A576" t="s">
        <v>321</v>
      </c>
      <c r="B576">
        <v>2</v>
      </c>
      <c r="C576">
        <v>0</v>
      </c>
      <c r="D576">
        <v>0.4838709677419355</v>
      </c>
    </row>
    <row r="577" spans="1:4" x14ac:dyDescent="0.25">
      <c r="A577" t="s">
        <v>322</v>
      </c>
      <c r="B577">
        <v>2</v>
      </c>
      <c r="C577">
        <v>0</v>
      </c>
      <c r="D577">
        <v>0.4838709677419355</v>
      </c>
    </row>
    <row r="578" spans="1:4" x14ac:dyDescent="0.25">
      <c r="A578" t="s">
        <v>323</v>
      </c>
      <c r="B578">
        <v>2</v>
      </c>
      <c r="C578">
        <v>0</v>
      </c>
      <c r="D578">
        <v>0.4838709677419355</v>
      </c>
    </row>
    <row r="579" spans="1:4" x14ac:dyDescent="0.25">
      <c r="A579" t="s">
        <v>324</v>
      </c>
      <c r="B579">
        <v>2</v>
      </c>
      <c r="C579">
        <v>0</v>
      </c>
      <c r="D579">
        <v>0.4838709677419355</v>
      </c>
    </row>
    <row r="580" spans="1:4" x14ac:dyDescent="0.25">
      <c r="A580" t="s">
        <v>325</v>
      </c>
      <c r="B580">
        <v>2</v>
      </c>
      <c r="C580">
        <v>0</v>
      </c>
      <c r="D580">
        <v>0.4838709677419355</v>
      </c>
    </row>
    <row r="581" spans="1:4" x14ac:dyDescent="0.25">
      <c r="A581" t="s">
        <v>326</v>
      </c>
      <c r="B581">
        <v>2</v>
      </c>
      <c r="C581">
        <v>0</v>
      </c>
      <c r="D581">
        <v>0.4838709677419355</v>
      </c>
    </row>
    <row r="582" spans="1:4" x14ac:dyDescent="0.25">
      <c r="A582" t="s">
        <v>327</v>
      </c>
      <c r="B582">
        <v>2</v>
      </c>
      <c r="C582">
        <v>0</v>
      </c>
      <c r="D582">
        <v>0.4838709677419355</v>
      </c>
    </row>
    <row r="583" spans="1:4" x14ac:dyDescent="0.25">
      <c r="A583" t="s">
        <v>328</v>
      </c>
      <c r="B583">
        <v>2</v>
      </c>
      <c r="C583">
        <v>0</v>
      </c>
      <c r="D583">
        <v>0.4838709677419355</v>
      </c>
    </row>
    <row r="584" spans="1:4" x14ac:dyDescent="0.25">
      <c r="A584" t="s">
        <v>2345</v>
      </c>
      <c r="B584">
        <v>2</v>
      </c>
      <c r="C584">
        <v>0</v>
      </c>
      <c r="D584">
        <v>5.0694008064516127E-2</v>
      </c>
    </row>
    <row r="585" spans="1:4" x14ac:dyDescent="0.25">
      <c r="A585" t="s">
        <v>500</v>
      </c>
      <c r="B585">
        <v>2</v>
      </c>
      <c r="C585">
        <v>0</v>
      </c>
      <c r="D585">
        <v>0.17401612903225799</v>
      </c>
    </row>
    <row r="586" spans="1:4" x14ac:dyDescent="0.25">
      <c r="A586" t="s">
        <v>382</v>
      </c>
      <c r="B586">
        <v>1.9910000000000001</v>
      </c>
      <c r="C586">
        <v>0</v>
      </c>
      <c r="D586">
        <v>1.485425806451613</v>
      </c>
    </row>
    <row r="587" spans="1:4" x14ac:dyDescent="0.25">
      <c r="A587" t="s">
        <v>1949</v>
      </c>
      <c r="B587">
        <v>1.99</v>
      </c>
      <c r="C587">
        <v>0</v>
      </c>
      <c r="D587">
        <v>1.6493709677419355</v>
      </c>
    </row>
    <row r="588" spans="1:4" x14ac:dyDescent="0.25">
      <c r="A588" t="s">
        <v>1771</v>
      </c>
      <c r="B588">
        <v>1.9830000000000001</v>
      </c>
      <c r="C588">
        <v>0</v>
      </c>
      <c r="D588">
        <v>0.71554032258064504</v>
      </c>
    </row>
    <row r="589" spans="1:4" x14ac:dyDescent="0.25">
      <c r="A589" t="s">
        <v>535</v>
      </c>
      <c r="B589">
        <v>1.9670000000000001</v>
      </c>
      <c r="C589">
        <v>0</v>
      </c>
      <c r="D589">
        <v>1.2489435483870963</v>
      </c>
    </row>
    <row r="590" spans="1:4" x14ac:dyDescent="0.25">
      <c r="A590" t="s">
        <v>166</v>
      </c>
      <c r="B590">
        <v>1.962</v>
      </c>
      <c r="C590">
        <v>0</v>
      </c>
      <c r="D590">
        <v>1.5563548387096777</v>
      </c>
    </row>
    <row r="591" spans="1:4" x14ac:dyDescent="0.25">
      <c r="A591" t="s">
        <v>1654</v>
      </c>
      <c r="B591">
        <v>1.9550000000000001</v>
      </c>
      <c r="C591">
        <v>0</v>
      </c>
      <c r="D591">
        <v>1.5156451612903228</v>
      </c>
    </row>
    <row r="592" spans="1:4" x14ac:dyDescent="0.25">
      <c r="A592" t="s">
        <v>1665</v>
      </c>
      <c r="B592">
        <v>1.95</v>
      </c>
      <c r="C592">
        <v>0.90300000000000002</v>
      </c>
      <c r="D592">
        <v>1.2882580645161286</v>
      </c>
    </row>
    <row r="593" spans="1:4" x14ac:dyDescent="0.25">
      <c r="A593" t="s">
        <v>773</v>
      </c>
      <c r="B593">
        <v>1.95</v>
      </c>
      <c r="C593">
        <v>0</v>
      </c>
      <c r="D593">
        <v>0.86233870967741921</v>
      </c>
    </row>
    <row r="594" spans="1:4" x14ac:dyDescent="0.25">
      <c r="A594" t="s">
        <v>2265</v>
      </c>
      <c r="B594">
        <v>1.9340599999999999</v>
      </c>
      <c r="C594">
        <v>0</v>
      </c>
      <c r="D594">
        <v>0.55987923064516154</v>
      </c>
    </row>
    <row r="595" spans="1:4" x14ac:dyDescent="0.25">
      <c r="A595" t="s">
        <v>1725</v>
      </c>
      <c r="B595">
        <v>1.9</v>
      </c>
      <c r="C595">
        <v>0</v>
      </c>
      <c r="D595">
        <v>0.83467741935483875</v>
      </c>
    </row>
    <row r="596" spans="1:4" x14ac:dyDescent="0.25">
      <c r="A596" t="s">
        <v>1314</v>
      </c>
      <c r="B596">
        <v>1.9</v>
      </c>
      <c r="C596">
        <v>0</v>
      </c>
      <c r="D596">
        <v>0.67177419354838708</v>
      </c>
    </row>
    <row r="597" spans="1:4" x14ac:dyDescent="0.25">
      <c r="A597" t="s">
        <v>647</v>
      </c>
      <c r="B597">
        <v>1.9</v>
      </c>
      <c r="C597">
        <v>0</v>
      </c>
      <c r="D597">
        <v>0.9619354838709675</v>
      </c>
    </row>
    <row r="598" spans="1:4" x14ac:dyDescent="0.25">
      <c r="A598" t="s">
        <v>2862</v>
      </c>
      <c r="B598">
        <v>1.891</v>
      </c>
      <c r="C598">
        <v>0.68799999999999994</v>
      </c>
      <c r="D598">
        <v>1.3792258064516127</v>
      </c>
    </row>
    <row r="599" spans="1:4" x14ac:dyDescent="0.25">
      <c r="A599" t="s">
        <v>1952</v>
      </c>
      <c r="B599">
        <v>1.88</v>
      </c>
      <c r="C599">
        <v>0</v>
      </c>
      <c r="D599">
        <v>0.23432741935483872</v>
      </c>
    </row>
    <row r="600" spans="1:4" x14ac:dyDescent="0.25">
      <c r="A600" t="s">
        <v>2014</v>
      </c>
      <c r="B600">
        <v>1.853</v>
      </c>
      <c r="C600">
        <v>0</v>
      </c>
      <c r="D600">
        <v>1.5646129032258067</v>
      </c>
    </row>
    <row r="601" spans="1:4" x14ac:dyDescent="0.25">
      <c r="A601" t="s">
        <v>1063</v>
      </c>
      <c r="B601">
        <v>1.85</v>
      </c>
      <c r="C601">
        <v>0</v>
      </c>
      <c r="D601">
        <v>1.4197499999999994</v>
      </c>
    </row>
    <row r="602" spans="1:4" x14ac:dyDescent="0.25">
      <c r="A602" t="s">
        <v>92</v>
      </c>
      <c r="B602">
        <v>1.84</v>
      </c>
      <c r="C602">
        <v>0</v>
      </c>
      <c r="D602">
        <v>0.68775806451612898</v>
      </c>
    </row>
    <row r="603" spans="1:4" x14ac:dyDescent="0.25">
      <c r="A603" t="s">
        <v>622</v>
      </c>
      <c r="B603">
        <v>1.84</v>
      </c>
      <c r="C603">
        <v>0</v>
      </c>
      <c r="D603">
        <v>1.2928709677419352</v>
      </c>
    </row>
    <row r="604" spans="1:4" x14ac:dyDescent="0.25">
      <c r="A604" t="s">
        <v>1213</v>
      </c>
      <c r="B604">
        <v>1.84</v>
      </c>
      <c r="C604">
        <v>0</v>
      </c>
      <c r="D604">
        <v>0.97741935483870979</v>
      </c>
    </row>
    <row r="605" spans="1:4" x14ac:dyDescent="0.25">
      <c r="A605" t="s">
        <v>218</v>
      </c>
      <c r="B605">
        <v>1.83</v>
      </c>
      <c r="C605">
        <v>0</v>
      </c>
      <c r="D605">
        <v>0.46077804032258063</v>
      </c>
    </row>
    <row r="606" spans="1:4" x14ac:dyDescent="0.25">
      <c r="A606" t="s">
        <v>2846</v>
      </c>
      <c r="B606">
        <v>1.8260000000000001</v>
      </c>
      <c r="C606">
        <v>0</v>
      </c>
      <c r="D606">
        <v>1.4510322580645161</v>
      </c>
    </row>
    <row r="607" spans="1:4" x14ac:dyDescent="0.25">
      <c r="A607" t="s">
        <v>834</v>
      </c>
      <c r="B607">
        <v>1.82</v>
      </c>
      <c r="C607">
        <v>0</v>
      </c>
      <c r="D607">
        <v>1.050258064516129</v>
      </c>
    </row>
    <row r="608" spans="1:4" x14ac:dyDescent="0.25">
      <c r="A608" t="s">
        <v>1978</v>
      </c>
      <c r="B608">
        <v>1.82</v>
      </c>
      <c r="C608">
        <v>0</v>
      </c>
      <c r="D608">
        <v>0.8405980322580644</v>
      </c>
    </row>
    <row r="609" spans="1:4" x14ac:dyDescent="0.25">
      <c r="A609" t="s">
        <v>738</v>
      </c>
      <c r="B609">
        <v>1.81</v>
      </c>
      <c r="C609">
        <v>0</v>
      </c>
      <c r="D609">
        <v>0.92894516129032256</v>
      </c>
    </row>
    <row r="610" spans="1:4" x14ac:dyDescent="0.25">
      <c r="A610" t="s">
        <v>1680</v>
      </c>
      <c r="B610">
        <v>1.8092999999999999</v>
      </c>
      <c r="C610">
        <v>0</v>
      </c>
      <c r="D610">
        <v>0.67530403225806457</v>
      </c>
    </row>
    <row r="611" spans="1:4" x14ac:dyDescent="0.25">
      <c r="A611" t="s">
        <v>541</v>
      </c>
      <c r="B611">
        <v>1.8069999999999999</v>
      </c>
      <c r="C611">
        <v>0</v>
      </c>
      <c r="D611">
        <v>1.1895322580645162</v>
      </c>
    </row>
    <row r="612" spans="1:4" x14ac:dyDescent="0.25">
      <c r="A612" t="s">
        <v>183</v>
      </c>
      <c r="B612">
        <v>1.8049999999999999</v>
      </c>
      <c r="C612">
        <v>0</v>
      </c>
      <c r="D612">
        <v>1.3126354838709677</v>
      </c>
    </row>
    <row r="613" spans="1:4" x14ac:dyDescent="0.25">
      <c r="A613" t="s">
        <v>1001</v>
      </c>
      <c r="B613">
        <v>1.8009999999999999</v>
      </c>
      <c r="C613">
        <v>0</v>
      </c>
      <c r="D613">
        <v>1.4439193548387095</v>
      </c>
    </row>
    <row r="614" spans="1:4" x14ac:dyDescent="0.25">
      <c r="A614" t="s">
        <v>759</v>
      </c>
      <c r="B614">
        <v>1.8</v>
      </c>
      <c r="C614">
        <v>0</v>
      </c>
      <c r="D614">
        <v>1.4620967741935482</v>
      </c>
    </row>
    <row r="615" spans="1:4" x14ac:dyDescent="0.25">
      <c r="A615" t="s">
        <v>2606</v>
      </c>
      <c r="B615">
        <v>1.8</v>
      </c>
      <c r="C615">
        <v>0</v>
      </c>
      <c r="D615">
        <v>0.72338709677419344</v>
      </c>
    </row>
    <row r="616" spans="1:4" x14ac:dyDescent="0.25">
      <c r="A616" t="s">
        <v>376</v>
      </c>
      <c r="B616">
        <v>1.8</v>
      </c>
      <c r="C616">
        <v>0</v>
      </c>
      <c r="D616">
        <v>1.0599677419354838</v>
      </c>
    </row>
    <row r="617" spans="1:4" x14ac:dyDescent="0.25">
      <c r="A617" t="s">
        <v>1953</v>
      </c>
      <c r="B617">
        <v>1.8</v>
      </c>
      <c r="C617">
        <v>0</v>
      </c>
      <c r="D617">
        <v>0.71902419354838731</v>
      </c>
    </row>
    <row r="618" spans="1:4" x14ac:dyDescent="0.25">
      <c r="A618" t="s">
        <v>863</v>
      </c>
      <c r="B618">
        <v>1.79</v>
      </c>
      <c r="C618">
        <v>0</v>
      </c>
      <c r="D618">
        <v>0.31995967741935488</v>
      </c>
    </row>
    <row r="619" spans="1:4" x14ac:dyDescent="0.25">
      <c r="A619" t="s">
        <v>1785</v>
      </c>
      <c r="B619">
        <v>1.79</v>
      </c>
      <c r="C619">
        <v>0</v>
      </c>
      <c r="D619">
        <v>0.64612903225806451</v>
      </c>
    </row>
    <row r="620" spans="1:4" x14ac:dyDescent="0.25">
      <c r="A620" t="s">
        <v>1475</v>
      </c>
      <c r="B620">
        <v>1.78627</v>
      </c>
      <c r="C620">
        <v>0</v>
      </c>
      <c r="D620">
        <v>1.4868140645161299</v>
      </c>
    </row>
    <row r="621" spans="1:4" x14ac:dyDescent="0.25">
      <c r="A621" t="s">
        <v>1416</v>
      </c>
      <c r="B621">
        <v>1.7819</v>
      </c>
      <c r="C621">
        <v>0</v>
      </c>
      <c r="D621">
        <v>1.1900951612903226</v>
      </c>
    </row>
    <row r="622" spans="1:4" x14ac:dyDescent="0.25">
      <c r="A622" t="s">
        <v>1278</v>
      </c>
      <c r="B622">
        <v>1.78</v>
      </c>
      <c r="C622">
        <v>0</v>
      </c>
      <c r="D622">
        <v>1.2460483870967745</v>
      </c>
    </row>
    <row r="623" spans="1:4" x14ac:dyDescent="0.25">
      <c r="A623" t="s">
        <v>1005</v>
      </c>
      <c r="B623">
        <v>1.78</v>
      </c>
      <c r="C623">
        <v>0</v>
      </c>
      <c r="D623">
        <v>1.5140322580645158</v>
      </c>
    </row>
    <row r="624" spans="1:4" x14ac:dyDescent="0.25">
      <c r="A624" t="s">
        <v>341</v>
      </c>
      <c r="B624">
        <v>1.7769999999999999</v>
      </c>
      <c r="C624">
        <v>0</v>
      </c>
      <c r="D624">
        <v>0.71172580645161276</v>
      </c>
    </row>
    <row r="625" spans="1:4" x14ac:dyDescent="0.25">
      <c r="A625" t="s">
        <v>5</v>
      </c>
      <c r="B625">
        <v>1.756</v>
      </c>
      <c r="C625">
        <v>0</v>
      </c>
      <c r="D625">
        <v>1.4760564516129029</v>
      </c>
    </row>
    <row r="626" spans="1:4" x14ac:dyDescent="0.25">
      <c r="A626" t="s">
        <v>1776</v>
      </c>
      <c r="B626">
        <v>1.74</v>
      </c>
      <c r="C626">
        <v>0</v>
      </c>
      <c r="D626">
        <v>0.92320967741935511</v>
      </c>
    </row>
    <row r="627" spans="1:4" x14ac:dyDescent="0.25">
      <c r="A627" t="s">
        <v>1036</v>
      </c>
      <c r="B627">
        <v>1.74</v>
      </c>
      <c r="C627">
        <v>0</v>
      </c>
      <c r="D627">
        <v>1.3424193548387091</v>
      </c>
    </row>
    <row r="628" spans="1:4" x14ac:dyDescent="0.25">
      <c r="A628" t="s">
        <v>2549</v>
      </c>
      <c r="B628">
        <v>1.737986</v>
      </c>
      <c r="C628">
        <v>0</v>
      </c>
      <c r="D628">
        <v>0.80262723387096768</v>
      </c>
    </row>
    <row r="629" spans="1:4" x14ac:dyDescent="0.25">
      <c r="A629" t="s">
        <v>1832</v>
      </c>
      <c r="B629">
        <v>1.734</v>
      </c>
      <c r="C629">
        <v>0.89900000000000002</v>
      </c>
      <c r="D629">
        <v>1.2666822580645161</v>
      </c>
    </row>
    <row r="630" spans="1:4" x14ac:dyDescent="0.25">
      <c r="A630" t="s">
        <v>20</v>
      </c>
      <c r="B630">
        <v>1.7310000000000001</v>
      </c>
      <c r="C630">
        <v>1.1020000000000001</v>
      </c>
      <c r="D630">
        <v>1.4551451612903226</v>
      </c>
    </row>
    <row r="631" spans="1:4" x14ac:dyDescent="0.25">
      <c r="A631" t="s">
        <v>1777</v>
      </c>
      <c r="B631">
        <v>1.73</v>
      </c>
      <c r="C631">
        <v>0</v>
      </c>
      <c r="D631">
        <v>0.78959677419354846</v>
      </c>
    </row>
    <row r="632" spans="1:4" x14ac:dyDescent="0.25">
      <c r="A632" t="s">
        <v>2263</v>
      </c>
      <c r="B632">
        <v>1.73</v>
      </c>
      <c r="C632">
        <v>0</v>
      </c>
      <c r="D632">
        <v>0.43100185806451596</v>
      </c>
    </row>
    <row r="633" spans="1:4" x14ac:dyDescent="0.25">
      <c r="A633" t="s">
        <v>1415</v>
      </c>
      <c r="B633">
        <v>1.722</v>
      </c>
      <c r="C633">
        <v>0</v>
      </c>
      <c r="D633">
        <v>0.59925322580645191</v>
      </c>
    </row>
    <row r="634" spans="1:4" x14ac:dyDescent="0.25">
      <c r="A634" t="s">
        <v>2608</v>
      </c>
      <c r="B634">
        <v>1.7210000000000001</v>
      </c>
      <c r="C634">
        <v>0</v>
      </c>
      <c r="D634">
        <v>0.72408870967741945</v>
      </c>
    </row>
    <row r="635" spans="1:4" x14ac:dyDescent="0.25">
      <c r="A635" t="s">
        <v>1735</v>
      </c>
      <c r="B635">
        <v>1.72</v>
      </c>
      <c r="C635">
        <v>0</v>
      </c>
      <c r="D635">
        <v>0.43324193548387091</v>
      </c>
    </row>
    <row r="636" spans="1:4" x14ac:dyDescent="0.25">
      <c r="A636" t="s">
        <v>2514</v>
      </c>
      <c r="B636">
        <v>1.72</v>
      </c>
      <c r="C636">
        <v>0.9</v>
      </c>
      <c r="D636">
        <v>1.303064516129032</v>
      </c>
    </row>
    <row r="637" spans="1:4" x14ac:dyDescent="0.25">
      <c r="A637" t="s">
        <v>2543</v>
      </c>
      <c r="B637">
        <v>1.7190000000000001</v>
      </c>
      <c r="C637">
        <v>0</v>
      </c>
      <c r="D637">
        <v>1.0081129032258065</v>
      </c>
    </row>
    <row r="638" spans="1:4" x14ac:dyDescent="0.25">
      <c r="A638" t="s">
        <v>178</v>
      </c>
      <c r="B638">
        <v>1.714</v>
      </c>
      <c r="C638">
        <v>0</v>
      </c>
      <c r="D638">
        <v>1.2218250000000002</v>
      </c>
    </row>
    <row r="639" spans="1:4" x14ac:dyDescent="0.25">
      <c r="A639" t="s">
        <v>330</v>
      </c>
      <c r="B639">
        <v>1.712</v>
      </c>
      <c r="C639">
        <v>0.83299999999999996</v>
      </c>
      <c r="D639">
        <v>1.1296693548387098</v>
      </c>
    </row>
    <row r="640" spans="1:4" x14ac:dyDescent="0.25">
      <c r="A640" t="s">
        <v>786</v>
      </c>
      <c r="B640">
        <v>1.71</v>
      </c>
      <c r="C640">
        <v>0</v>
      </c>
      <c r="D640">
        <v>0.5585381854838708</v>
      </c>
    </row>
    <row r="641" spans="1:4" x14ac:dyDescent="0.25">
      <c r="A641" t="s">
        <v>2602</v>
      </c>
      <c r="B641">
        <v>1.71</v>
      </c>
      <c r="C641">
        <v>0</v>
      </c>
      <c r="D641">
        <v>0.98996774193548376</v>
      </c>
    </row>
    <row r="642" spans="1:4" x14ac:dyDescent="0.25">
      <c r="A642" t="s">
        <v>1546</v>
      </c>
      <c r="B642">
        <v>1.7</v>
      </c>
      <c r="C642">
        <v>0</v>
      </c>
      <c r="D642">
        <v>1.2179032258064517</v>
      </c>
    </row>
    <row r="643" spans="1:4" x14ac:dyDescent="0.25">
      <c r="A643" t="s">
        <v>1676</v>
      </c>
      <c r="B643">
        <v>1.7</v>
      </c>
      <c r="C643">
        <v>0</v>
      </c>
      <c r="D643">
        <v>0.59766129032258075</v>
      </c>
    </row>
    <row r="644" spans="1:4" x14ac:dyDescent="0.25">
      <c r="A644" t="s">
        <v>378</v>
      </c>
      <c r="B644">
        <v>1.7</v>
      </c>
      <c r="C644">
        <v>0</v>
      </c>
      <c r="D644">
        <v>0.69935483870967741</v>
      </c>
    </row>
    <row r="645" spans="1:4" x14ac:dyDescent="0.25">
      <c r="A645" t="s">
        <v>1027</v>
      </c>
      <c r="B645">
        <v>1.7</v>
      </c>
      <c r="C645">
        <v>0</v>
      </c>
      <c r="D645">
        <v>1.4177822580645159</v>
      </c>
    </row>
    <row r="646" spans="1:4" x14ac:dyDescent="0.25">
      <c r="A646" t="s">
        <v>1070</v>
      </c>
      <c r="B646">
        <v>1.6990000000000001</v>
      </c>
      <c r="C646">
        <v>0.59699999999999998</v>
      </c>
      <c r="D646">
        <v>0.98710483870967769</v>
      </c>
    </row>
    <row r="647" spans="1:4" x14ac:dyDescent="0.25">
      <c r="A647" t="s">
        <v>1019</v>
      </c>
      <c r="B647">
        <v>1.6870000000000001</v>
      </c>
      <c r="C647">
        <v>0</v>
      </c>
      <c r="D647">
        <v>1.2027580645161289</v>
      </c>
    </row>
    <row r="648" spans="1:4" x14ac:dyDescent="0.25">
      <c r="A648" t="s">
        <v>901</v>
      </c>
      <c r="B648">
        <v>1.6759999999999999</v>
      </c>
      <c r="C648">
        <v>0</v>
      </c>
      <c r="D648">
        <v>0.11495564516129031</v>
      </c>
    </row>
    <row r="649" spans="1:4" x14ac:dyDescent="0.25">
      <c r="A649" t="s">
        <v>1456</v>
      </c>
      <c r="B649">
        <v>1.6739999999999999</v>
      </c>
      <c r="C649">
        <v>0</v>
      </c>
      <c r="D649">
        <v>0.92978577419354835</v>
      </c>
    </row>
    <row r="650" spans="1:4" x14ac:dyDescent="0.25">
      <c r="A650" t="s">
        <v>1048</v>
      </c>
      <c r="B650">
        <v>1.67</v>
      </c>
      <c r="C650">
        <v>0</v>
      </c>
      <c r="D650">
        <v>0.49900806451612911</v>
      </c>
    </row>
    <row r="651" spans="1:4" x14ac:dyDescent="0.25">
      <c r="A651" t="s">
        <v>819</v>
      </c>
      <c r="B651">
        <v>1.6619999999999999</v>
      </c>
      <c r="C651">
        <v>0</v>
      </c>
      <c r="D651">
        <v>0.88595161290322577</v>
      </c>
    </row>
    <row r="652" spans="1:4" x14ac:dyDescent="0.25">
      <c r="A652" t="s">
        <v>1737</v>
      </c>
      <c r="B652">
        <v>1.657</v>
      </c>
      <c r="C652">
        <v>0</v>
      </c>
      <c r="D652">
        <v>0.34781225806451604</v>
      </c>
    </row>
    <row r="653" spans="1:4" x14ac:dyDescent="0.25">
      <c r="A653" t="s">
        <v>1993</v>
      </c>
      <c r="B653">
        <v>1.655</v>
      </c>
      <c r="C653">
        <v>0</v>
      </c>
      <c r="D653">
        <v>0.41953225806451605</v>
      </c>
    </row>
    <row r="654" spans="1:4" x14ac:dyDescent="0.25">
      <c r="A654" t="s">
        <v>1542</v>
      </c>
      <c r="B654">
        <v>1.6539999999999999</v>
      </c>
      <c r="C654">
        <v>1.0999999999999999E-2</v>
      </c>
      <c r="D654">
        <v>0.39994354838709689</v>
      </c>
    </row>
    <row r="655" spans="1:4" x14ac:dyDescent="0.25">
      <c r="A655" t="s">
        <v>1904</v>
      </c>
      <c r="B655">
        <v>1.651</v>
      </c>
      <c r="C655">
        <v>0</v>
      </c>
      <c r="D655">
        <v>1.2133709677419351</v>
      </c>
    </row>
    <row r="656" spans="1:4" x14ac:dyDescent="0.25">
      <c r="A656" t="s">
        <v>1752</v>
      </c>
      <c r="B656">
        <v>1.65</v>
      </c>
      <c r="C656">
        <v>0</v>
      </c>
      <c r="D656">
        <v>0.24209677419354836</v>
      </c>
    </row>
    <row r="657" spans="1:4" x14ac:dyDescent="0.25">
      <c r="A657" t="s">
        <v>414</v>
      </c>
      <c r="B657">
        <v>1.649</v>
      </c>
      <c r="C657">
        <v>0</v>
      </c>
      <c r="D657">
        <v>0.49786698387096789</v>
      </c>
    </row>
    <row r="658" spans="1:4" x14ac:dyDescent="0.25">
      <c r="A658" t="s">
        <v>1347</v>
      </c>
      <c r="B658">
        <v>1.6415999999999999</v>
      </c>
      <c r="C658">
        <v>0</v>
      </c>
      <c r="D658">
        <v>0.92405645161290306</v>
      </c>
    </row>
    <row r="659" spans="1:4" x14ac:dyDescent="0.25">
      <c r="A659" t="s">
        <v>1813</v>
      </c>
      <c r="B659">
        <v>1.6415599999999999</v>
      </c>
      <c r="C659">
        <v>0.649038</v>
      </c>
      <c r="D659">
        <v>1.1925049193548385</v>
      </c>
    </row>
    <row r="660" spans="1:4" x14ac:dyDescent="0.25">
      <c r="A660" t="s">
        <v>848</v>
      </c>
      <c r="B660">
        <v>1.631</v>
      </c>
      <c r="C660">
        <v>0</v>
      </c>
      <c r="D660">
        <v>0.52468548387096781</v>
      </c>
    </row>
    <row r="661" spans="1:4" x14ac:dyDescent="0.25">
      <c r="A661" t="s">
        <v>1431</v>
      </c>
      <c r="B661">
        <v>1.629</v>
      </c>
      <c r="C661">
        <v>0</v>
      </c>
      <c r="D661">
        <v>0.62756451612903219</v>
      </c>
    </row>
    <row r="662" spans="1:4" x14ac:dyDescent="0.25">
      <c r="A662" t="s">
        <v>55</v>
      </c>
      <c r="B662">
        <v>1.62</v>
      </c>
      <c r="C662">
        <v>0.14829999999999999</v>
      </c>
      <c r="D662">
        <v>0.65564451612903218</v>
      </c>
    </row>
    <row r="663" spans="1:4" x14ac:dyDescent="0.25">
      <c r="A663" t="s">
        <v>1600</v>
      </c>
      <c r="B663">
        <v>1.61</v>
      </c>
      <c r="C663">
        <v>0</v>
      </c>
      <c r="D663">
        <v>0.80175806451612919</v>
      </c>
    </row>
    <row r="664" spans="1:4" x14ac:dyDescent="0.25">
      <c r="A664" t="s">
        <v>900</v>
      </c>
      <c r="B664">
        <v>1.61</v>
      </c>
      <c r="C664">
        <v>0</v>
      </c>
      <c r="D664">
        <v>0.23052165967741936</v>
      </c>
    </row>
    <row r="665" spans="1:4" x14ac:dyDescent="0.25">
      <c r="A665" t="s">
        <v>2033</v>
      </c>
      <c r="B665">
        <v>1.6</v>
      </c>
      <c r="C665">
        <v>0.5</v>
      </c>
      <c r="D665">
        <v>1.0677419354838706</v>
      </c>
    </row>
    <row r="666" spans="1:4" x14ac:dyDescent="0.25">
      <c r="A666" t="s">
        <v>1022</v>
      </c>
      <c r="B666">
        <v>1.6</v>
      </c>
      <c r="C666">
        <v>0</v>
      </c>
      <c r="D666">
        <v>1.1432258064516128</v>
      </c>
    </row>
    <row r="667" spans="1:4" x14ac:dyDescent="0.25">
      <c r="A667" t="s">
        <v>343</v>
      </c>
      <c r="B667">
        <v>1.5960000000000001</v>
      </c>
      <c r="C667">
        <v>0</v>
      </c>
      <c r="D667">
        <v>0.7829596774193549</v>
      </c>
    </row>
    <row r="668" spans="1:4" x14ac:dyDescent="0.25">
      <c r="A668" t="s">
        <v>160</v>
      </c>
      <c r="B668">
        <v>1.5920000000000001</v>
      </c>
      <c r="C668">
        <v>0.52200000000000002</v>
      </c>
      <c r="D668">
        <v>1.0547096774193547</v>
      </c>
    </row>
    <row r="669" spans="1:4" x14ac:dyDescent="0.25">
      <c r="A669" t="s">
        <v>661</v>
      </c>
      <c r="B669">
        <v>1.59</v>
      </c>
      <c r="C669">
        <v>0</v>
      </c>
      <c r="D669">
        <v>0.12064516129032257</v>
      </c>
    </row>
    <row r="670" spans="1:4" x14ac:dyDescent="0.25">
      <c r="A670" t="s">
        <v>1126</v>
      </c>
      <c r="B670">
        <v>1.59</v>
      </c>
      <c r="C670">
        <v>0</v>
      </c>
      <c r="D670">
        <v>0.55919354838709689</v>
      </c>
    </row>
    <row r="671" spans="1:4" x14ac:dyDescent="0.25">
      <c r="A671" t="s">
        <v>2002</v>
      </c>
      <c r="B671">
        <v>1.585</v>
      </c>
      <c r="C671">
        <v>0</v>
      </c>
      <c r="D671">
        <v>1.2583048387096778</v>
      </c>
    </row>
    <row r="672" spans="1:4" x14ac:dyDescent="0.25">
      <c r="A672" t="s">
        <v>394</v>
      </c>
      <c r="B672">
        <v>1.5840000000000001</v>
      </c>
      <c r="C672">
        <v>0</v>
      </c>
      <c r="D672">
        <v>1.2408145161290327</v>
      </c>
    </row>
    <row r="673" spans="1:4" x14ac:dyDescent="0.25">
      <c r="A673" t="s">
        <v>1853</v>
      </c>
      <c r="B673">
        <v>1.5640000000000001</v>
      </c>
      <c r="C673">
        <v>0</v>
      </c>
      <c r="D673">
        <v>1.1231532258064518</v>
      </c>
    </row>
    <row r="674" spans="1:4" x14ac:dyDescent="0.25">
      <c r="A674" t="s">
        <v>665</v>
      </c>
      <c r="B674">
        <v>1.56</v>
      </c>
      <c r="C674">
        <v>0</v>
      </c>
      <c r="D674">
        <v>1.0455806451612903</v>
      </c>
    </row>
    <row r="675" spans="1:4" x14ac:dyDescent="0.25">
      <c r="A675" t="s">
        <v>1636</v>
      </c>
      <c r="B675">
        <v>1.56</v>
      </c>
      <c r="C675">
        <v>0</v>
      </c>
      <c r="D675">
        <v>0.41375806451612906</v>
      </c>
    </row>
    <row r="676" spans="1:4" x14ac:dyDescent="0.25">
      <c r="A676" t="s">
        <v>1382</v>
      </c>
      <c r="B676">
        <v>1.56</v>
      </c>
      <c r="C676">
        <v>2.5999999999999999E-2</v>
      </c>
      <c r="D676">
        <v>0.8650000000000001</v>
      </c>
    </row>
    <row r="677" spans="1:4" x14ac:dyDescent="0.25">
      <c r="A677" t="s">
        <v>453</v>
      </c>
      <c r="B677">
        <v>1.5569999999999999</v>
      </c>
      <c r="C677">
        <v>0</v>
      </c>
      <c r="D677">
        <v>1.0952580645161292</v>
      </c>
    </row>
    <row r="678" spans="1:4" x14ac:dyDescent="0.25">
      <c r="A678" t="s">
        <v>847</v>
      </c>
      <c r="B678">
        <v>1.5509999999999999</v>
      </c>
      <c r="C678">
        <v>0</v>
      </c>
      <c r="D678">
        <v>0.49923387096774191</v>
      </c>
    </row>
    <row r="679" spans="1:4" x14ac:dyDescent="0.25">
      <c r="A679" t="s">
        <v>1443</v>
      </c>
      <c r="B679">
        <v>1.546</v>
      </c>
      <c r="C679">
        <v>0.33800000000000002</v>
      </c>
      <c r="D679">
        <v>0.70832096774193587</v>
      </c>
    </row>
    <row r="680" spans="1:4" x14ac:dyDescent="0.25">
      <c r="A680" t="s">
        <v>968</v>
      </c>
      <c r="B680">
        <v>1.5419</v>
      </c>
      <c r="C680">
        <v>0</v>
      </c>
      <c r="D680">
        <v>1.0637274193548387</v>
      </c>
    </row>
    <row r="681" spans="1:4" x14ac:dyDescent="0.25">
      <c r="A681" t="s">
        <v>950</v>
      </c>
      <c r="B681">
        <v>1.54</v>
      </c>
      <c r="C681">
        <v>0</v>
      </c>
      <c r="D681">
        <v>0.56901612903225784</v>
      </c>
    </row>
    <row r="682" spans="1:4" x14ac:dyDescent="0.25">
      <c r="A682" t="s">
        <v>816</v>
      </c>
      <c r="B682">
        <v>1.536581</v>
      </c>
      <c r="C682">
        <v>0</v>
      </c>
      <c r="D682">
        <v>0.63840879838709674</v>
      </c>
    </row>
    <row r="683" spans="1:4" x14ac:dyDescent="0.25">
      <c r="A683" t="s">
        <v>1669</v>
      </c>
      <c r="B683">
        <v>1.53</v>
      </c>
      <c r="C683">
        <v>0.99399999999999999</v>
      </c>
      <c r="D683">
        <v>1.2684677419354837</v>
      </c>
    </row>
    <row r="684" spans="1:4" x14ac:dyDescent="0.25">
      <c r="A684" t="s">
        <v>1700</v>
      </c>
      <c r="B684">
        <v>1.53</v>
      </c>
      <c r="C684">
        <v>0</v>
      </c>
      <c r="D684">
        <v>1.0813064516129032</v>
      </c>
    </row>
    <row r="685" spans="1:4" x14ac:dyDescent="0.25">
      <c r="A685" t="s">
        <v>381</v>
      </c>
      <c r="B685">
        <v>1.5289999999999999</v>
      </c>
      <c r="C685">
        <v>0</v>
      </c>
      <c r="D685">
        <v>1.0303072580645161</v>
      </c>
    </row>
    <row r="686" spans="1:4" x14ac:dyDescent="0.25">
      <c r="A686" t="s">
        <v>82</v>
      </c>
      <c r="B686">
        <v>1.526</v>
      </c>
      <c r="C686">
        <v>6.7900000000000002E-2</v>
      </c>
      <c r="D686">
        <v>0.70143387096774179</v>
      </c>
    </row>
    <row r="687" spans="1:4" x14ac:dyDescent="0.25">
      <c r="A687" t="s">
        <v>1012</v>
      </c>
      <c r="B687">
        <v>1.524</v>
      </c>
      <c r="C687">
        <v>0</v>
      </c>
      <c r="D687">
        <v>0.96545161290322545</v>
      </c>
    </row>
    <row r="688" spans="1:4" x14ac:dyDescent="0.25">
      <c r="A688" t="s">
        <v>1989</v>
      </c>
      <c r="B688">
        <v>1.514</v>
      </c>
      <c r="C688">
        <v>1.085</v>
      </c>
      <c r="D688">
        <v>1.2833145161290325</v>
      </c>
    </row>
    <row r="689" spans="1:4" x14ac:dyDescent="0.25">
      <c r="A689" t="s">
        <v>878</v>
      </c>
      <c r="B689">
        <v>1.51</v>
      </c>
      <c r="C689">
        <v>0</v>
      </c>
      <c r="D689">
        <v>1.0433064516129031</v>
      </c>
    </row>
    <row r="690" spans="1:4" x14ac:dyDescent="0.25">
      <c r="A690" t="s">
        <v>1847</v>
      </c>
      <c r="B690">
        <v>1.51</v>
      </c>
      <c r="C690">
        <v>0</v>
      </c>
      <c r="D690">
        <v>0.5643709677419354</v>
      </c>
    </row>
    <row r="691" spans="1:4" x14ac:dyDescent="0.25">
      <c r="A691" t="s">
        <v>1724</v>
      </c>
      <c r="B691">
        <v>1.5</v>
      </c>
      <c r="C691">
        <v>0</v>
      </c>
      <c r="D691">
        <v>0.68830645161290327</v>
      </c>
    </row>
    <row r="692" spans="1:4" x14ac:dyDescent="0.25">
      <c r="A692" t="s">
        <v>1068</v>
      </c>
      <c r="B692">
        <v>1.5</v>
      </c>
      <c r="C692">
        <v>0</v>
      </c>
      <c r="D692">
        <v>1.0951612903225807</v>
      </c>
    </row>
    <row r="693" spans="1:4" x14ac:dyDescent="0.25">
      <c r="A693" t="s">
        <v>1492</v>
      </c>
      <c r="B693">
        <v>1.5</v>
      </c>
      <c r="C693">
        <v>0</v>
      </c>
      <c r="D693">
        <v>0.48624838709677443</v>
      </c>
    </row>
    <row r="694" spans="1:4" x14ac:dyDescent="0.25">
      <c r="A694" t="s">
        <v>1316</v>
      </c>
      <c r="B694">
        <v>1.5</v>
      </c>
      <c r="C694">
        <v>0</v>
      </c>
      <c r="D694">
        <v>0.51370967741935503</v>
      </c>
    </row>
    <row r="695" spans="1:4" x14ac:dyDescent="0.25">
      <c r="A695" t="s">
        <v>1414</v>
      </c>
      <c r="B695">
        <v>1.4990000000000001</v>
      </c>
      <c r="C695">
        <v>0</v>
      </c>
      <c r="D695">
        <v>1.3357096774193544</v>
      </c>
    </row>
    <row r="696" spans="1:4" x14ac:dyDescent="0.25">
      <c r="A696" t="s">
        <v>523</v>
      </c>
      <c r="B696">
        <v>1.494</v>
      </c>
      <c r="C696">
        <v>0.66800000000000004</v>
      </c>
      <c r="D696">
        <v>1.1364516129032256</v>
      </c>
    </row>
    <row r="697" spans="1:4" x14ac:dyDescent="0.25">
      <c r="A697" t="s">
        <v>1624</v>
      </c>
      <c r="B697">
        <v>1.492</v>
      </c>
      <c r="C697">
        <v>0.42299999999999999</v>
      </c>
      <c r="D697">
        <v>0.8312016129032257</v>
      </c>
    </row>
    <row r="698" spans="1:4" x14ac:dyDescent="0.25">
      <c r="A698" t="s">
        <v>2667</v>
      </c>
      <c r="B698">
        <v>1.49</v>
      </c>
      <c r="C698">
        <v>0</v>
      </c>
      <c r="D698">
        <v>0.82354838709677458</v>
      </c>
    </row>
    <row r="699" spans="1:4" x14ac:dyDescent="0.25">
      <c r="A699" t="s">
        <v>421</v>
      </c>
      <c r="B699">
        <v>1.484623</v>
      </c>
      <c r="C699">
        <v>0</v>
      </c>
      <c r="D699">
        <v>0.26645454838709681</v>
      </c>
    </row>
    <row r="700" spans="1:4" x14ac:dyDescent="0.25">
      <c r="A700" t="s">
        <v>1640</v>
      </c>
      <c r="B700">
        <v>1.48</v>
      </c>
      <c r="C700">
        <v>0</v>
      </c>
      <c r="D700">
        <v>0.34604838709677438</v>
      </c>
    </row>
    <row r="701" spans="1:4" x14ac:dyDescent="0.25">
      <c r="A701" t="s">
        <v>2282</v>
      </c>
      <c r="B701">
        <v>1.48</v>
      </c>
      <c r="C701">
        <v>0</v>
      </c>
      <c r="D701">
        <v>1.1900806451612902</v>
      </c>
    </row>
    <row r="702" spans="1:4" x14ac:dyDescent="0.25">
      <c r="A702" t="s">
        <v>296</v>
      </c>
      <c r="B702">
        <v>1.474</v>
      </c>
      <c r="C702">
        <v>0</v>
      </c>
      <c r="D702">
        <v>0.81386290322580646</v>
      </c>
    </row>
    <row r="703" spans="1:4" x14ac:dyDescent="0.25">
      <c r="A703" t="s">
        <v>802</v>
      </c>
      <c r="B703">
        <v>1.47</v>
      </c>
      <c r="C703">
        <v>0</v>
      </c>
      <c r="D703">
        <v>0.94196875806451619</v>
      </c>
    </row>
    <row r="704" spans="1:4" x14ac:dyDescent="0.25">
      <c r="A704" t="s">
        <v>1111</v>
      </c>
      <c r="B704">
        <v>1.47</v>
      </c>
      <c r="C704">
        <v>0</v>
      </c>
      <c r="D704">
        <v>0.14216935483870966</v>
      </c>
    </row>
    <row r="705" spans="1:4" x14ac:dyDescent="0.25">
      <c r="A705" t="s">
        <v>1526</v>
      </c>
      <c r="B705">
        <v>1.466</v>
      </c>
      <c r="C705">
        <v>0</v>
      </c>
      <c r="D705">
        <v>1.1916129032258067</v>
      </c>
    </row>
    <row r="706" spans="1:4" x14ac:dyDescent="0.25">
      <c r="A706" t="s">
        <v>781</v>
      </c>
      <c r="B706">
        <v>1.4599</v>
      </c>
      <c r="C706">
        <v>0</v>
      </c>
      <c r="D706">
        <v>0.72697580645161286</v>
      </c>
    </row>
    <row r="707" spans="1:4" x14ac:dyDescent="0.25">
      <c r="A707" t="s">
        <v>2280</v>
      </c>
      <c r="B707">
        <v>1.458</v>
      </c>
      <c r="C707">
        <v>0</v>
      </c>
      <c r="D707">
        <v>0.94979838709677422</v>
      </c>
    </row>
    <row r="708" spans="1:4" x14ac:dyDescent="0.25">
      <c r="A708" t="s">
        <v>286</v>
      </c>
      <c r="B708">
        <v>1.4510000000000001</v>
      </c>
      <c r="C708">
        <v>0</v>
      </c>
      <c r="D708">
        <v>0.57949999999999979</v>
      </c>
    </row>
    <row r="709" spans="1:4" x14ac:dyDescent="0.25">
      <c r="A709" t="s">
        <v>2599</v>
      </c>
      <c r="B709">
        <v>1.45</v>
      </c>
      <c r="C709">
        <v>3.1923E-2</v>
      </c>
      <c r="D709">
        <v>0.58399756451612916</v>
      </c>
    </row>
    <row r="710" spans="1:4" x14ac:dyDescent="0.25">
      <c r="A710" t="s">
        <v>1627</v>
      </c>
      <c r="B710">
        <v>1.45</v>
      </c>
      <c r="C710">
        <v>0</v>
      </c>
      <c r="D710">
        <v>0.9246161290322582</v>
      </c>
    </row>
    <row r="711" spans="1:4" x14ac:dyDescent="0.25">
      <c r="A711" t="s">
        <v>927</v>
      </c>
      <c r="B711">
        <v>1.4450000000000001</v>
      </c>
      <c r="C711">
        <v>0</v>
      </c>
      <c r="D711">
        <v>0.43283999999999995</v>
      </c>
    </row>
    <row r="712" spans="1:4" x14ac:dyDescent="0.25">
      <c r="A712" t="s">
        <v>344</v>
      </c>
      <c r="B712">
        <v>1.44</v>
      </c>
      <c r="C712">
        <v>1.4039999999999999</v>
      </c>
      <c r="D712">
        <v>1.4071935483870945</v>
      </c>
    </row>
    <row r="713" spans="1:4" x14ac:dyDescent="0.25">
      <c r="A713" t="s">
        <v>2315</v>
      </c>
      <c r="B713">
        <v>1.44</v>
      </c>
      <c r="C713">
        <v>0</v>
      </c>
      <c r="D713">
        <v>0.36967741935483861</v>
      </c>
    </row>
    <row r="714" spans="1:4" x14ac:dyDescent="0.25">
      <c r="A714" t="s">
        <v>127</v>
      </c>
      <c r="B714">
        <v>1.435846</v>
      </c>
      <c r="C714">
        <v>0</v>
      </c>
      <c r="D714">
        <v>1.2230367741935482</v>
      </c>
    </row>
    <row r="715" spans="1:4" x14ac:dyDescent="0.25">
      <c r="A715" t="s">
        <v>2222</v>
      </c>
      <c r="B715">
        <v>1.43</v>
      </c>
      <c r="C715">
        <v>0</v>
      </c>
      <c r="D715">
        <v>1.1687096774193551</v>
      </c>
    </row>
    <row r="716" spans="1:4" x14ac:dyDescent="0.25">
      <c r="A716" t="s">
        <v>1034</v>
      </c>
      <c r="B716">
        <v>1.429</v>
      </c>
      <c r="C716">
        <v>0</v>
      </c>
      <c r="D716">
        <v>1.1350106129032254</v>
      </c>
    </row>
    <row r="717" spans="1:4" x14ac:dyDescent="0.25">
      <c r="A717" t="s">
        <v>295</v>
      </c>
      <c r="B717">
        <v>1.4219999999999999</v>
      </c>
      <c r="C717">
        <v>0.76800000000000002</v>
      </c>
      <c r="D717">
        <v>1.0471935483870964</v>
      </c>
    </row>
    <row r="718" spans="1:4" x14ac:dyDescent="0.25">
      <c r="A718" t="s">
        <v>145</v>
      </c>
      <c r="B718">
        <v>1.421</v>
      </c>
      <c r="C718">
        <v>0.40300000000000002</v>
      </c>
      <c r="D718">
        <v>0.85445967741935491</v>
      </c>
    </row>
    <row r="719" spans="1:4" x14ac:dyDescent="0.25">
      <c r="A719" t="s">
        <v>96</v>
      </c>
      <c r="B719">
        <v>1.413</v>
      </c>
      <c r="C719">
        <v>0</v>
      </c>
      <c r="D719">
        <v>0.91904032258064516</v>
      </c>
    </row>
    <row r="720" spans="1:4" x14ac:dyDescent="0.25">
      <c r="A720" t="s">
        <v>230</v>
      </c>
      <c r="B720">
        <v>1.41</v>
      </c>
      <c r="C720">
        <v>0</v>
      </c>
      <c r="D720">
        <v>1.0850806451612904</v>
      </c>
    </row>
    <row r="721" spans="1:4" x14ac:dyDescent="0.25">
      <c r="A721" t="s">
        <v>224</v>
      </c>
      <c r="B721">
        <v>1.4</v>
      </c>
      <c r="C721">
        <v>1.08</v>
      </c>
      <c r="D721">
        <v>1.2225806451612908</v>
      </c>
    </row>
    <row r="722" spans="1:4" x14ac:dyDescent="0.25">
      <c r="A722" t="s">
        <v>1773</v>
      </c>
      <c r="B722">
        <v>1.39</v>
      </c>
      <c r="C722">
        <v>0</v>
      </c>
      <c r="D722">
        <v>1.1569354838709678</v>
      </c>
    </row>
    <row r="723" spans="1:4" x14ac:dyDescent="0.25">
      <c r="A723" t="s">
        <v>1439</v>
      </c>
      <c r="B723">
        <v>1.39</v>
      </c>
      <c r="C723">
        <v>0.35299999999999998</v>
      </c>
      <c r="D723">
        <v>0.7132903225806454</v>
      </c>
    </row>
    <row r="724" spans="1:4" x14ac:dyDescent="0.25">
      <c r="A724" t="s">
        <v>1685</v>
      </c>
      <c r="B724">
        <v>1.39</v>
      </c>
      <c r="C724">
        <v>0.1</v>
      </c>
      <c r="D724">
        <v>0.65451612903225809</v>
      </c>
    </row>
    <row r="725" spans="1:4" x14ac:dyDescent="0.25">
      <c r="A725" t="s">
        <v>613</v>
      </c>
      <c r="B725">
        <v>1.39</v>
      </c>
      <c r="C725">
        <v>0</v>
      </c>
      <c r="D725">
        <v>0.47337096774193554</v>
      </c>
    </row>
    <row r="726" spans="1:4" x14ac:dyDescent="0.25">
      <c r="A726" t="s">
        <v>1240</v>
      </c>
      <c r="B726">
        <v>1.381</v>
      </c>
      <c r="C726">
        <v>0</v>
      </c>
      <c r="D726">
        <v>1.1191290322580645</v>
      </c>
    </row>
    <row r="727" spans="1:4" x14ac:dyDescent="0.25">
      <c r="A727" t="s">
        <v>581</v>
      </c>
      <c r="B727">
        <v>1.38</v>
      </c>
      <c r="C727">
        <v>0</v>
      </c>
      <c r="D727">
        <v>0.26666935483870974</v>
      </c>
    </row>
    <row r="728" spans="1:4" x14ac:dyDescent="0.25">
      <c r="A728" t="s">
        <v>1057</v>
      </c>
      <c r="B728">
        <v>1.38</v>
      </c>
      <c r="C728">
        <v>0</v>
      </c>
      <c r="D728">
        <v>1.129516129032258</v>
      </c>
    </row>
    <row r="729" spans="1:4" x14ac:dyDescent="0.25">
      <c r="A729" t="s">
        <v>1710</v>
      </c>
      <c r="B729">
        <v>1.38</v>
      </c>
      <c r="C729">
        <v>0</v>
      </c>
      <c r="D729">
        <v>1.2076612903225805</v>
      </c>
    </row>
    <row r="730" spans="1:4" x14ac:dyDescent="0.25">
      <c r="A730" t="s">
        <v>556</v>
      </c>
      <c r="B730">
        <v>1.3759999999999999</v>
      </c>
      <c r="C730">
        <v>0.54900000000000004</v>
      </c>
      <c r="D730">
        <v>0.7499274193548382</v>
      </c>
    </row>
    <row r="731" spans="1:4" x14ac:dyDescent="0.25">
      <c r="A731" t="s">
        <v>1473</v>
      </c>
      <c r="B731">
        <v>1.375</v>
      </c>
      <c r="C731">
        <v>0</v>
      </c>
      <c r="D731">
        <v>0.75972903225806443</v>
      </c>
    </row>
    <row r="732" spans="1:4" x14ac:dyDescent="0.25">
      <c r="A732" t="s">
        <v>1924</v>
      </c>
      <c r="B732">
        <v>1.3740000000000001</v>
      </c>
      <c r="C732">
        <v>0</v>
      </c>
      <c r="D732">
        <v>0.831451612903226</v>
      </c>
    </row>
    <row r="733" spans="1:4" x14ac:dyDescent="0.25">
      <c r="A733" t="s">
        <v>2774</v>
      </c>
      <c r="B733">
        <v>1.3724000000000001</v>
      </c>
      <c r="C733">
        <v>0</v>
      </c>
      <c r="D733">
        <v>0.72263241935483846</v>
      </c>
    </row>
    <row r="734" spans="1:4" x14ac:dyDescent="0.25">
      <c r="A734" t="s">
        <v>1745</v>
      </c>
      <c r="B734">
        <v>1.37</v>
      </c>
      <c r="C734">
        <v>0</v>
      </c>
      <c r="D734">
        <v>9.9959677419354853E-2</v>
      </c>
    </row>
    <row r="735" spans="1:4" x14ac:dyDescent="0.25">
      <c r="A735" t="s">
        <v>1744</v>
      </c>
      <c r="B735">
        <v>1.3640000000000001</v>
      </c>
      <c r="C735">
        <v>0</v>
      </c>
      <c r="D735">
        <v>0.33098387096774184</v>
      </c>
    </row>
    <row r="736" spans="1:4" x14ac:dyDescent="0.25">
      <c r="A736" t="s">
        <v>1917</v>
      </c>
      <c r="B736">
        <v>1.36</v>
      </c>
      <c r="C736">
        <v>0</v>
      </c>
      <c r="D736">
        <v>1.17225</v>
      </c>
    </row>
    <row r="737" spans="1:4" x14ac:dyDescent="0.25">
      <c r="A737" t="s">
        <v>1484</v>
      </c>
      <c r="B737">
        <v>1.36</v>
      </c>
      <c r="C737">
        <v>0</v>
      </c>
      <c r="D737">
        <v>0.25628225806451604</v>
      </c>
    </row>
    <row r="738" spans="1:4" x14ac:dyDescent="0.25">
      <c r="A738" t="s">
        <v>559</v>
      </c>
      <c r="B738">
        <v>1.359</v>
      </c>
      <c r="C738">
        <v>0</v>
      </c>
      <c r="D738">
        <v>0.59700000000000009</v>
      </c>
    </row>
    <row r="739" spans="1:4" x14ac:dyDescent="0.25">
      <c r="A739" t="s">
        <v>2551</v>
      </c>
      <c r="B739">
        <v>1.357802</v>
      </c>
      <c r="C739">
        <v>0</v>
      </c>
      <c r="D739">
        <v>0.62705241129032252</v>
      </c>
    </row>
    <row r="740" spans="1:4" x14ac:dyDescent="0.25">
      <c r="A740" t="s">
        <v>2258</v>
      </c>
      <c r="B740">
        <v>1.3480000000000001</v>
      </c>
      <c r="C740">
        <v>0.71499999999999997</v>
      </c>
      <c r="D740">
        <v>0.95316437903225804</v>
      </c>
    </row>
    <row r="741" spans="1:4" x14ac:dyDescent="0.25">
      <c r="A741" t="s">
        <v>2723</v>
      </c>
      <c r="B741">
        <v>1.3412999999999999</v>
      </c>
      <c r="C741">
        <v>0</v>
      </c>
      <c r="D741">
        <v>0.96649758064516145</v>
      </c>
    </row>
    <row r="742" spans="1:4" x14ac:dyDescent="0.25">
      <c r="A742" t="s">
        <v>2726</v>
      </c>
      <c r="B742">
        <v>1.34</v>
      </c>
      <c r="C742">
        <v>0</v>
      </c>
      <c r="D742">
        <v>0.32505161290322571</v>
      </c>
    </row>
    <row r="743" spans="1:4" x14ac:dyDescent="0.25">
      <c r="A743" t="s">
        <v>2244</v>
      </c>
      <c r="B743">
        <v>1.34</v>
      </c>
      <c r="C743">
        <v>0</v>
      </c>
      <c r="D743">
        <v>1.1679112903225806</v>
      </c>
    </row>
    <row r="744" spans="1:4" x14ac:dyDescent="0.25">
      <c r="A744" t="s">
        <v>2431</v>
      </c>
      <c r="B744">
        <v>1.339</v>
      </c>
      <c r="C744">
        <v>0</v>
      </c>
      <c r="D744">
        <v>0.84196774193548374</v>
      </c>
    </row>
    <row r="745" spans="1:4" x14ac:dyDescent="0.25">
      <c r="A745" t="s">
        <v>1134</v>
      </c>
      <c r="B745">
        <v>1.3360000000000001</v>
      </c>
      <c r="C745">
        <v>0.85</v>
      </c>
      <c r="D745">
        <v>1.0630241935483866</v>
      </c>
    </row>
    <row r="746" spans="1:4" x14ac:dyDescent="0.25">
      <c r="A746" t="s">
        <v>2568</v>
      </c>
      <c r="B746">
        <v>1.3320000000000001</v>
      </c>
      <c r="C746">
        <v>0.57799999999999996</v>
      </c>
      <c r="D746">
        <v>0.91205668548387131</v>
      </c>
    </row>
    <row r="747" spans="1:4" x14ac:dyDescent="0.25">
      <c r="A747" t="s">
        <v>1381</v>
      </c>
      <c r="B747">
        <v>1.33</v>
      </c>
      <c r="C747">
        <v>0.12</v>
      </c>
      <c r="D747">
        <v>0.75330645161290322</v>
      </c>
    </row>
    <row r="748" spans="1:4" x14ac:dyDescent="0.25">
      <c r="A748" t="s">
        <v>1894</v>
      </c>
      <c r="B748">
        <v>1.329</v>
      </c>
      <c r="C748">
        <v>0</v>
      </c>
      <c r="D748">
        <v>0.96265322580645118</v>
      </c>
    </row>
    <row r="749" spans="1:4" x14ac:dyDescent="0.25">
      <c r="A749" t="s">
        <v>617</v>
      </c>
      <c r="B749">
        <v>1.321</v>
      </c>
      <c r="C749">
        <v>0</v>
      </c>
      <c r="D749">
        <v>1.0969112903225804</v>
      </c>
    </row>
    <row r="750" spans="1:4" x14ac:dyDescent="0.25">
      <c r="A750" t="s">
        <v>1809</v>
      </c>
      <c r="B750">
        <v>1.32</v>
      </c>
      <c r="C750">
        <v>0</v>
      </c>
      <c r="D750">
        <v>0.8548952258064515</v>
      </c>
    </row>
    <row r="751" spans="1:4" x14ac:dyDescent="0.25">
      <c r="A751" t="s">
        <v>3</v>
      </c>
      <c r="B751">
        <v>1.3129999999999999</v>
      </c>
      <c r="C751">
        <v>0</v>
      </c>
      <c r="D751">
        <v>0.56030645161290349</v>
      </c>
    </row>
    <row r="752" spans="1:4" x14ac:dyDescent="0.25">
      <c r="A752" t="s">
        <v>1097</v>
      </c>
      <c r="B752">
        <v>1.3089999999999999</v>
      </c>
      <c r="C752">
        <v>0</v>
      </c>
      <c r="D752">
        <v>0.89641177419354834</v>
      </c>
    </row>
    <row r="753" spans="1:4" x14ac:dyDescent="0.25">
      <c r="A753" t="s">
        <v>1899</v>
      </c>
      <c r="B753">
        <v>1.3089999999999999</v>
      </c>
      <c r="C753">
        <v>0</v>
      </c>
      <c r="D753">
        <v>1.0964919354838711</v>
      </c>
    </row>
    <row r="754" spans="1:4" x14ac:dyDescent="0.25">
      <c r="A754" t="s">
        <v>1376</v>
      </c>
      <c r="B754">
        <v>1.306</v>
      </c>
      <c r="C754">
        <v>0</v>
      </c>
      <c r="D754">
        <v>0.77525806451612922</v>
      </c>
    </row>
    <row r="755" spans="1:4" x14ac:dyDescent="0.25">
      <c r="A755" t="s">
        <v>1352</v>
      </c>
      <c r="B755">
        <v>1.30575</v>
      </c>
      <c r="C755">
        <v>0</v>
      </c>
      <c r="D755">
        <v>0.18389680645161294</v>
      </c>
    </row>
    <row r="756" spans="1:4" x14ac:dyDescent="0.25">
      <c r="A756" t="s">
        <v>132</v>
      </c>
      <c r="B756">
        <v>1.304</v>
      </c>
      <c r="C756">
        <v>0</v>
      </c>
      <c r="D756">
        <v>0.89125806451612899</v>
      </c>
    </row>
    <row r="757" spans="1:4" x14ac:dyDescent="0.25">
      <c r="A757" t="s">
        <v>2022</v>
      </c>
      <c r="B757">
        <v>1.302</v>
      </c>
      <c r="C757">
        <v>0</v>
      </c>
      <c r="D757">
        <v>1.0136612903225806</v>
      </c>
    </row>
    <row r="758" spans="1:4" x14ac:dyDescent="0.25">
      <c r="A758" t="s">
        <v>1726</v>
      </c>
      <c r="B758">
        <v>1.3</v>
      </c>
      <c r="C758">
        <v>0</v>
      </c>
      <c r="D758">
        <v>0.5383870967741935</v>
      </c>
    </row>
    <row r="759" spans="1:4" x14ac:dyDescent="0.25">
      <c r="A759" t="s">
        <v>1783</v>
      </c>
      <c r="B759">
        <v>1.3</v>
      </c>
      <c r="C759">
        <v>0</v>
      </c>
      <c r="D759">
        <v>0.83570967741935442</v>
      </c>
    </row>
    <row r="760" spans="1:4" x14ac:dyDescent="0.25">
      <c r="A760" t="s">
        <v>1819</v>
      </c>
      <c r="B760">
        <v>1.3</v>
      </c>
      <c r="C760">
        <v>0</v>
      </c>
      <c r="D760">
        <v>1.0375000000000001</v>
      </c>
    </row>
    <row r="761" spans="1:4" x14ac:dyDescent="0.25">
      <c r="A761" t="s">
        <v>1572</v>
      </c>
      <c r="B761">
        <v>1.2949999999999999</v>
      </c>
      <c r="C761">
        <v>0</v>
      </c>
      <c r="D761">
        <v>1.042590322580645</v>
      </c>
    </row>
    <row r="762" spans="1:4" x14ac:dyDescent="0.25">
      <c r="A762" t="s">
        <v>141</v>
      </c>
      <c r="B762">
        <v>1.2889999999999999</v>
      </c>
      <c r="C762">
        <v>0.58199999999999996</v>
      </c>
      <c r="D762">
        <v>0.8377338709677421</v>
      </c>
    </row>
    <row r="763" spans="1:4" x14ac:dyDescent="0.25">
      <c r="A763" t="s">
        <v>944</v>
      </c>
      <c r="B763">
        <v>1.2837419999999999</v>
      </c>
      <c r="C763">
        <v>0</v>
      </c>
      <c r="D763">
        <v>0.60823387096774206</v>
      </c>
    </row>
    <row r="764" spans="1:4" x14ac:dyDescent="0.25">
      <c r="A764" t="s">
        <v>1125</v>
      </c>
      <c r="B764">
        <v>1.28</v>
      </c>
      <c r="C764">
        <v>0</v>
      </c>
      <c r="D764">
        <v>0.37104838709677423</v>
      </c>
    </row>
    <row r="765" spans="1:4" x14ac:dyDescent="0.25">
      <c r="A765" t="s">
        <v>1127</v>
      </c>
      <c r="B765">
        <v>1.28</v>
      </c>
      <c r="C765">
        <v>0</v>
      </c>
      <c r="D765">
        <v>0.56900967741935471</v>
      </c>
    </row>
    <row r="766" spans="1:4" x14ac:dyDescent="0.25">
      <c r="A766" t="s">
        <v>614</v>
      </c>
      <c r="B766">
        <v>1.28</v>
      </c>
      <c r="C766">
        <v>0</v>
      </c>
      <c r="D766">
        <v>0.23862903225806451</v>
      </c>
    </row>
    <row r="767" spans="1:4" x14ac:dyDescent="0.25">
      <c r="A767" t="s">
        <v>1634</v>
      </c>
      <c r="B767">
        <v>1.2789999999999999</v>
      </c>
      <c r="C767">
        <v>0.432</v>
      </c>
      <c r="D767">
        <v>0.80075806451612885</v>
      </c>
    </row>
    <row r="768" spans="1:4" x14ac:dyDescent="0.25">
      <c r="A768" t="s">
        <v>2</v>
      </c>
      <c r="B768">
        <v>1.276</v>
      </c>
      <c r="C768">
        <v>0</v>
      </c>
      <c r="D768">
        <v>0.66678178225806461</v>
      </c>
    </row>
    <row r="769" spans="1:4" x14ac:dyDescent="0.25">
      <c r="A769" t="s">
        <v>1914</v>
      </c>
      <c r="B769">
        <v>1.274</v>
      </c>
      <c r="C769">
        <v>0</v>
      </c>
      <c r="D769">
        <v>0.74497096774193539</v>
      </c>
    </row>
    <row r="770" spans="1:4" x14ac:dyDescent="0.25">
      <c r="A770" t="s">
        <v>926</v>
      </c>
      <c r="B770">
        <v>1.2725</v>
      </c>
      <c r="C770">
        <v>0</v>
      </c>
      <c r="D770">
        <v>0.28014930645161279</v>
      </c>
    </row>
    <row r="771" spans="1:4" x14ac:dyDescent="0.25">
      <c r="A771" t="s">
        <v>1922</v>
      </c>
      <c r="B771">
        <v>1.2703329999999999</v>
      </c>
      <c r="C771">
        <v>0.749</v>
      </c>
      <c r="D771">
        <v>0.96155643548387126</v>
      </c>
    </row>
    <row r="772" spans="1:4" x14ac:dyDescent="0.25">
      <c r="A772" t="s">
        <v>570</v>
      </c>
      <c r="B772">
        <v>1.2701899999999999</v>
      </c>
      <c r="C772">
        <v>1.5876000000000001E-2</v>
      </c>
      <c r="D772">
        <v>0.40216060564516126</v>
      </c>
    </row>
    <row r="773" spans="1:4" x14ac:dyDescent="0.25">
      <c r="A773" t="s">
        <v>1116</v>
      </c>
      <c r="B773">
        <v>1.27</v>
      </c>
      <c r="C773">
        <v>0.877</v>
      </c>
      <c r="D773">
        <v>1.0284967741935485</v>
      </c>
    </row>
    <row r="774" spans="1:4" x14ac:dyDescent="0.25">
      <c r="A774" t="s">
        <v>303</v>
      </c>
      <c r="B774">
        <v>1.27</v>
      </c>
      <c r="C774">
        <v>0.46700000000000003</v>
      </c>
      <c r="D774">
        <v>0.74622580645161285</v>
      </c>
    </row>
    <row r="775" spans="1:4" x14ac:dyDescent="0.25">
      <c r="A775" t="s">
        <v>1437</v>
      </c>
      <c r="B775">
        <v>1.2689999999999999</v>
      </c>
      <c r="C775">
        <v>0.435</v>
      </c>
      <c r="D775">
        <v>0.80930645161290327</v>
      </c>
    </row>
    <row r="776" spans="1:4" x14ac:dyDescent="0.25">
      <c r="A776" t="s">
        <v>243</v>
      </c>
      <c r="B776">
        <v>1.2669999999999999</v>
      </c>
      <c r="C776">
        <v>0</v>
      </c>
      <c r="D776">
        <v>0.61625161290322594</v>
      </c>
    </row>
    <row r="777" spans="1:4" x14ac:dyDescent="0.25">
      <c r="A777" t="s">
        <v>874</v>
      </c>
      <c r="B777">
        <v>1.2633000000000001</v>
      </c>
      <c r="C777">
        <v>0</v>
      </c>
      <c r="D777">
        <v>0.38104677419354838</v>
      </c>
    </row>
    <row r="778" spans="1:4" x14ac:dyDescent="0.25">
      <c r="A778" t="s">
        <v>1370</v>
      </c>
      <c r="B778">
        <v>1.25</v>
      </c>
      <c r="C778">
        <v>0</v>
      </c>
      <c r="D778">
        <v>0.71182419354838711</v>
      </c>
    </row>
    <row r="779" spans="1:4" x14ac:dyDescent="0.25">
      <c r="A779" t="s">
        <v>1672</v>
      </c>
      <c r="B779">
        <v>1.24</v>
      </c>
      <c r="C779">
        <v>0</v>
      </c>
      <c r="D779">
        <v>0.61112903225806459</v>
      </c>
    </row>
    <row r="780" spans="1:4" x14ac:dyDescent="0.25">
      <c r="A780" t="s">
        <v>403</v>
      </c>
      <c r="B780">
        <v>1.24</v>
      </c>
      <c r="C780">
        <v>0</v>
      </c>
      <c r="D780">
        <v>1.048</v>
      </c>
    </row>
    <row r="781" spans="1:4" x14ac:dyDescent="0.25">
      <c r="A781" t="s">
        <v>521</v>
      </c>
      <c r="B781">
        <v>1.24</v>
      </c>
      <c r="C781">
        <v>0.20300000000000001</v>
      </c>
      <c r="D781">
        <v>0.90491935483870989</v>
      </c>
    </row>
    <row r="782" spans="1:4" x14ac:dyDescent="0.25">
      <c r="A782" t="s">
        <v>130</v>
      </c>
      <c r="B782">
        <v>1.2250000000000001</v>
      </c>
      <c r="C782">
        <v>0.72099999999999997</v>
      </c>
      <c r="D782">
        <v>0.93166935483870983</v>
      </c>
    </row>
    <row r="783" spans="1:4" x14ac:dyDescent="0.25">
      <c r="A783" t="s">
        <v>2507</v>
      </c>
      <c r="B783">
        <v>1.22</v>
      </c>
      <c r="C783">
        <v>0.62</v>
      </c>
      <c r="D783">
        <v>0.84483870967741914</v>
      </c>
    </row>
    <row r="784" spans="1:4" x14ac:dyDescent="0.25">
      <c r="A784" t="s">
        <v>503</v>
      </c>
      <c r="B784">
        <v>1.22</v>
      </c>
      <c r="C784">
        <v>0</v>
      </c>
      <c r="D784">
        <v>0.72164224999999993</v>
      </c>
    </row>
    <row r="785" spans="1:4" x14ac:dyDescent="0.25">
      <c r="A785" t="s">
        <v>2213</v>
      </c>
      <c r="B785">
        <v>1.216</v>
      </c>
      <c r="C785">
        <v>0</v>
      </c>
      <c r="D785">
        <v>0.6913145161290325</v>
      </c>
    </row>
    <row r="786" spans="1:4" x14ac:dyDescent="0.25">
      <c r="A786" t="s">
        <v>2837</v>
      </c>
      <c r="B786">
        <v>1.214</v>
      </c>
      <c r="C786">
        <v>0</v>
      </c>
      <c r="D786">
        <v>0.97983870967741926</v>
      </c>
    </row>
    <row r="787" spans="1:4" x14ac:dyDescent="0.25">
      <c r="A787" t="s">
        <v>1976</v>
      </c>
      <c r="B787">
        <v>1.21</v>
      </c>
      <c r="C787">
        <v>0</v>
      </c>
      <c r="D787">
        <v>1.0698240483870971</v>
      </c>
    </row>
    <row r="788" spans="1:4" x14ac:dyDescent="0.25">
      <c r="A788" t="s">
        <v>406</v>
      </c>
      <c r="B788">
        <v>1.2090000000000001</v>
      </c>
      <c r="C788">
        <v>0</v>
      </c>
      <c r="D788">
        <v>0.99650327790322557</v>
      </c>
    </row>
    <row r="789" spans="1:4" x14ac:dyDescent="0.25">
      <c r="A789" t="s">
        <v>269</v>
      </c>
      <c r="B789">
        <v>1.2050000000000001</v>
      </c>
      <c r="C789">
        <v>0</v>
      </c>
      <c r="D789">
        <v>0.68817741935483878</v>
      </c>
    </row>
    <row r="790" spans="1:4" x14ac:dyDescent="0.25">
      <c r="A790" t="s">
        <v>1916</v>
      </c>
      <c r="B790">
        <v>1.2050000000000001</v>
      </c>
      <c r="C790">
        <v>0</v>
      </c>
      <c r="D790">
        <v>0.61087903225806439</v>
      </c>
    </row>
    <row r="791" spans="1:4" x14ac:dyDescent="0.25">
      <c r="A791" t="s">
        <v>1641</v>
      </c>
      <c r="B791">
        <v>1.2</v>
      </c>
      <c r="C791">
        <v>0.04</v>
      </c>
      <c r="D791">
        <v>0.3560887096774194</v>
      </c>
    </row>
    <row r="792" spans="1:4" x14ac:dyDescent="0.25">
      <c r="A792" t="s">
        <v>1920</v>
      </c>
      <c r="B792">
        <v>1.193516</v>
      </c>
      <c r="C792">
        <v>0</v>
      </c>
      <c r="D792">
        <v>0.92594038709677418</v>
      </c>
    </row>
    <row r="793" spans="1:4" x14ac:dyDescent="0.25">
      <c r="A793" t="s">
        <v>1815</v>
      </c>
      <c r="B793">
        <v>1.19</v>
      </c>
      <c r="C793">
        <v>0</v>
      </c>
      <c r="D793">
        <v>0.2852825322580646</v>
      </c>
    </row>
    <row r="794" spans="1:4" x14ac:dyDescent="0.25">
      <c r="A794" t="s">
        <v>1013</v>
      </c>
      <c r="B794">
        <v>1.1879999999999999</v>
      </c>
      <c r="C794">
        <v>0</v>
      </c>
      <c r="D794">
        <v>0.95064516129032262</v>
      </c>
    </row>
    <row r="795" spans="1:4" x14ac:dyDescent="0.25">
      <c r="A795" t="s">
        <v>1848</v>
      </c>
      <c r="B795">
        <v>1.1870000000000001</v>
      </c>
      <c r="C795">
        <v>0</v>
      </c>
      <c r="D795">
        <v>0.820810419354839</v>
      </c>
    </row>
    <row r="796" spans="1:4" x14ac:dyDescent="0.25">
      <c r="A796" t="s">
        <v>172</v>
      </c>
      <c r="B796">
        <v>1.1859999999999999</v>
      </c>
      <c r="C796">
        <v>0</v>
      </c>
      <c r="D796">
        <v>0.89993225806451582</v>
      </c>
    </row>
    <row r="797" spans="1:4" x14ac:dyDescent="0.25">
      <c r="A797" t="s">
        <v>297</v>
      </c>
      <c r="B797">
        <v>1.1739999999999999</v>
      </c>
      <c r="C797">
        <v>0</v>
      </c>
      <c r="D797">
        <v>0.19627419354838707</v>
      </c>
    </row>
    <row r="798" spans="1:4" x14ac:dyDescent="0.25">
      <c r="A798" t="s">
        <v>1264</v>
      </c>
      <c r="B798">
        <v>1.1717</v>
      </c>
      <c r="C798">
        <v>0</v>
      </c>
      <c r="D798">
        <v>0.74004435483870945</v>
      </c>
    </row>
    <row r="799" spans="1:4" x14ac:dyDescent="0.25">
      <c r="A799" t="s">
        <v>1529</v>
      </c>
      <c r="B799">
        <v>1.1667000000000001</v>
      </c>
      <c r="C799">
        <v>0</v>
      </c>
      <c r="D799">
        <v>0.79932903225806462</v>
      </c>
    </row>
    <row r="800" spans="1:4" x14ac:dyDescent="0.25">
      <c r="A800" t="s">
        <v>931</v>
      </c>
      <c r="B800">
        <v>1.161235</v>
      </c>
      <c r="C800">
        <v>0</v>
      </c>
      <c r="D800">
        <v>0.53925792741935485</v>
      </c>
    </row>
    <row r="801" spans="1:4" x14ac:dyDescent="0.25">
      <c r="A801" t="s">
        <v>1052</v>
      </c>
      <c r="B801">
        <v>1.1599999999999999</v>
      </c>
      <c r="C801">
        <v>0</v>
      </c>
      <c r="D801">
        <v>0.40280967741935497</v>
      </c>
    </row>
    <row r="802" spans="1:4" x14ac:dyDescent="0.25">
      <c r="A802" t="s">
        <v>1889</v>
      </c>
      <c r="B802">
        <v>1.159</v>
      </c>
      <c r="C802">
        <v>0</v>
      </c>
      <c r="D802">
        <v>0.62672580645161269</v>
      </c>
    </row>
    <row r="803" spans="1:4" x14ac:dyDescent="0.25">
      <c r="A803" t="s">
        <v>2406</v>
      </c>
      <c r="B803">
        <v>1.1559999999999999</v>
      </c>
      <c r="C803">
        <v>0.80200000000000005</v>
      </c>
      <c r="D803">
        <v>0.92670967741935484</v>
      </c>
    </row>
    <row r="804" spans="1:4" x14ac:dyDescent="0.25">
      <c r="A804" t="s">
        <v>2003</v>
      </c>
      <c r="B804">
        <v>1.155</v>
      </c>
      <c r="C804">
        <v>0</v>
      </c>
      <c r="D804">
        <v>0.99057419354838694</v>
      </c>
    </row>
    <row r="805" spans="1:4" x14ac:dyDescent="0.25">
      <c r="A805" t="s">
        <v>2276</v>
      </c>
      <c r="B805">
        <v>1.1519999999999999</v>
      </c>
      <c r="C805">
        <v>0</v>
      </c>
      <c r="D805">
        <v>1.0962580645161295</v>
      </c>
    </row>
    <row r="806" spans="1:4" x14ac:dyDescent="0.25">
      <c r="A806" t="s">
        <v>309</v>
      </c>
      <c r="B806">
        <v>1.1499999999999999</v>
      </c>
      <c r="C806">
        <v>0</v>
      </c>
      <c r="D806">
        <v>0.89218548387096774</v>
      </c>
    </row>
    <row r="807" spans="1:4" x14ac:dyDescent="0.25">
      <c r="A807" t="s">
        <v>2858</v>
      </c>
      <c r="B807">
        <v>1.1479999999999999</v>
      </c>
      <c r="C807">
        <v>0.35499999999999998</v>
      </c>
      <c r="D807">
        <v>0.69319354838709701</v>
      </c>
    </row>
    <row r="808" spans="1:4" x14ac:dyDescent="0.25">
      <c r="A808" t="s">
        <v>180</v>
      </c>
      <c r="B808">
        <v>1.141</v>
      </c>
      <c r="C808">
        <v>0</v>
      </c>
      <c r="D808">
        <v>0.98889999999999989</v>
      </c>
    </row>
    <row r="809" spans="1:4" x14ac:dyDescent="0.25">
      <c r="A809" t="s">
        <v>2907</v>
      </c>
      <c r="B809">
        <v>1.1399999999999999</v>
      </c>
      <c r="C809">
        <v>0</v>
      </c>
      <c r="D809">
        <v>0.76391935483870965</v>
      </c>
    </row>
    <row r="810" spans="1:4" x14ac:dyDescent="0.25">
      <c r="A810" t="s">
        <v>598</v>
      </c>
      <c r="B810">
        <v>1.1399999999999999</v>
      </c>
      <c r="C810">
        <v>0</v>
      </c>
      <c r="D810">
        <v>0.6306235</v>
      </c>
    </row>
    <row r="811" spans="1:4" x14ac:dyDescent="0.25">
      <c r="A811" t="s">
        <v>170</v>
      </c>
      <c r="B811">
        <v>1.1399999999999999</v>
      </c>
      <c r="C811">
        <v>0</v>
      </c>
      <c r="D811">
        <v>1.0179032258064518</v>
      </c>
    </row>
    <row r="812" spans="1:4" x14ac:dyDescent="0.25">
      <c r="A812" t="s">
        <v>1514</v>
      </c>
      <c r="B812">
        <v>1.1399999999999999</v>
      </c>
      <c r="C812">
        <v>0</v>
      </c>
      <c r="D812">
        <v>0.59766129032258064</v>
      </c>
    </row>
    <row r="813" spans="1:4" x14ac:dyDescent="0.25">
      <c r="A813" t="s">
        <v>2114</v>
      </c>
      <c r="B813">
        <v>1.1399999999999999</v>
      </c>
      <c r="C813">
        <v>0</v>
      </c>
      <c r="D813">
        <v>0.96730645161290341</v>
      </c>
    </row>
    <row r="814" spans="1:4" x14ac:dyDescent="0.25">
      <c r="A814" t="s">
        <v>284</v>
      </c>
      <c r="B814">
        <v>1.1399999999999999</v>
      </c>
      <c r="C814">
        <v>0</v>
      </c>
      <c r="D814">
        <v>0.36225806451612913</v>
      </c>
    </row>
    <row r="815" spans="1:4" x14ac:dyDescent="0.25">
      <c r="A815" t="s">
        <v>2004</v>
      </c>
      <c r="B815">
        <v>1.1379999999999999</v>
      </c>
      <c r="C815">
        <v>0</v>
      </c>
      <c r="D815">
        <v>0.86837580645161316</v>
      </c>
    </row>
    <row r="816" spans="1:4" x14ac:dyDescent="0.25">
      <c r="A816" t="s">
        <v>241</v>
      </c>
      <c r="B816">
        <v>1.1379999999999999</v>
      </c>
      <c r="C816">
        <v>0.251</v>
      </c>
      <c r="D816">
        <v>0.614040322580645</v>
      </c>
    </row>
    <row r="817" spans="1:4" x14ac:dyDescent="0.25">
      <c r="A817" t="s">
        <v>1371</v>
      </c>
      <c r="B817">
        <v>1.1299999999999999</v>
      </c>
      <c r="C817">
        <v>6.7000000000000004E-2</v>
      </c>
      <c r="D817">
        <v>0.50114516129032249</v>
      </c>
    </row>
    <row r="818" spans="1:4" x14ac:dyDescent="0.25">
      <c r="A818" t="s">
        <v>190</v>
      </c>
      <c r="B818">
        <v>1.129</v>
      </c>
      <c r="C818">
        <v>0</v>
      </c>
      <c r="D818">
        <v>0.95687580645161308</v>
      </c>
    </row>
    <row r="819" spans="1:4" x14ac:dyDescent="0.25">
      <c r="A819" t="s">
        <v>455</v>
      </c>
      <c r="B819">
        <v>1.1259999999999999</v>
      </c>
      <c r="C819">
        <v>0</v>
      </c>
      <c r="D819">
        <v>0.94927419354838727</v>
      </c>
    </row>
    <row r="820" spans="1:4" x14ac:dyDescent="0.25">
      <c r="A820" t="s">
        <v>1515</v>
      </c>
      <c r="B820">
        <v>1.1200000000000001</v>
      </c>
      <c r="C820">
        <v>0</v>
      </c>
      <c r="D820">
        <v>0.61120967741935484</v>
      </c>
    </row>
    <row r="821" spans="1:4" x14ac:dyDescent="0.25">
      <c r="A821" t="s">
        <v>12</v>
      </c>
      <c r="B821">
        <v>1.1180000000000001</v>
      </c>
      <c r="C821">
        <v>0</v>
      </c>
      <c r="D821">
        <v>0.86627419354838719</v>
      </c>
    </row>
    <row r="822" spans="1:4" x14ac:dyDescent="0.25">
      <c r="A822" t="s">
        <v>1241</v>
      </c>
      <c r="B822">
        <v>1.113</v>
      </c>
      <c r="C822">
        <v>0.68678099999999997</v>
      </c>
      <c r="D822">
        <v>0.88791985483870983</v>
      </c>
    </row>
    <row r="823" spans="1:4" x14ac:dyDescent="0.25">
      <c r="A823" t="s">
        <v>2689</v>
      </c>
      <c r="B823">
        <v>1.1066</v>
      </c>
      <c r="C823">
        <v>0.82440000000000002</v>
      </c>
      <c r="D823">
        <v>0.95164596774193544</v>
      </c>
    </row>
    <row r="824" spans="1:4" x14ac:dyDescent="0.25">
      <c r="A824" t="s">
        <v>1884</v>
      </c>
      <c r="B824">
        <v>1.103</v>
      </c>
      <c r="C824">
        <v>0</v>
      </c>
      <c r="D824">
        <v>0.69748387096774189</v>
      </c>
    </row>
    <row r="825" spans="1:4" x14ac:dyDescent="0.25">
      <c r="A825" t="s">
        <v>1723</v>
      </c>
      <c r="B825">
        <v>1.1000000000000001</v>
      </c>
      <c r="C825">
        <v>0</v>
      </c>
      <c r="D825">
        <v>0.46387096774193559</v>
      </c>
    </row>
    <row r="826" spans="1:4" x14ac:dyDescent="0.25">
      <c r="A826" t="s">
        <v>1818</v>
      </c>
      <c r="B826">
        <v>1.1000000000000001</v>
      </c>
      <c r="C826">
        <v>0</v>
      </c>
      <c r="D826">
        <v>0.28630645161290313</v>
      </c>
    </row>
    <row r="827" spans="1:4" x14ac:dyDescent="0.25">
      <c r="A827" t="s">
        <v>879</v>
      </c>
      <c r="B827">
        <v>1.1000000000000001</v>
      </c>
      <c r="C827">
        <v>0</v>
      </c>
      <c r="D827">
        <v>1.0818709677419363</v>
      </c>
    </row>
    <row r="828" spans="1:4" x14ac:dyDescent="0.25">
      <c r="A828" t="s">
        <v>1124</v>
      </c>
      <c r="B828">
        <v>1.1000000000000001</v>
      </c>
      <c r="C828">
        <v>0</v>
      </c>
      <c r="D828">
        <v>0.24018548387096772</v>
      </c>
    </row>
    <row r="829" spans="1:4" x14ac:dyDescent="0.25">
      <c r="A829" t="s">
        <v>1309</v>
      </c>
      <c r="B829">
        <v>1.1000000000000001</v>
      </c>
      <c r="C829">
        <v>0</v>
      </c>
      <c r="D829">
        <v>0.41048387096774203</v>
      </c>
    </row>
    <row r="830" spans="1:4" x14ac:dyDescent="0.25">
      <c r="A830" t="s">
        <v>2085</v>
      </c>
      <c r="B830">
        <v>1.096533</v>
      </c>
      <c r="C830">
        <v>0</v>
      </c>
      <c r="D830">
        <v>0.95198317741935456</v>
      </c>
    </row>
    <row r="831" spans="1:4" x14ac:dyDescent="0.25">
      <c r="A831" t="s">
        <v>1699</v>
      </c>
      <c r="B831">
        <v>1.0960000000000001</v>
      </c>
      <c r="C831">
        <v>0</v>
      </c>
      <c r="D831">
        <v>0.88146774193548372</v>
      </c>
    </row>
    <row r="832" spans="1:4" x14ac:dyDescent="0.25">
      <c r="A832" t="s">
        <v>2720</v>
      </c>
      <c r="B832">
        <v>1.0958810000000001</v>
      </c>
      <c r="C832">
        <v>0.13600000000000001</v>
      </c>
      <c r="D832">
        <v>0.39600190322580647</v>
      </c>
    </row>
    <row r="833" spans="1:4" x14ac:dyDescent="0.25">
      <c r="A833" t="s">
        <v>1791</v>
      </c>
      <c r="B833">
        <v>1.0940000000000001</v>
      </c>
      <c r="C833">
        <v>0</v>
      </c>
      <c r="D833">
        <v>0.93704032258064518</v>
      </c>
    </row>
    <row r="834" spans="1:4" x14ac:dyDescent="0.25">
      <c r="A834" t="s">
        <v>53</v>
      </c>
      <c r="B834">
        <v>1.0912999999999999</v>
      </c>
      <c r="C834">
        <v>0</v>
      </c>
      <c r="D834">
        <v>0.16230483870967749</v>
      </c>
    </row>
    <row r="835" spans="1:4" x14ac:dyDescent="0.25">
      <c r="A835" t="s">
        <v>1065</v>
      </c>
      <c r="B835">
        <v>1.0900000000000001</v>
      </c>
      <c r="C835">
        <v>0</v>
      </c>
      <c r="D835">
        <v>0.2885532258064516</v>
      </c>
    </row>
    <row r="836" spans="1:4" x14ac:dyDescent="0.25">
      <c r="A836" t="s">
        <v>1650</v>
      </c>
      <c r="B836">
        <v>1.0900000000000001</v>
      </c>
      <c r="C836">
        <v>0</v>
      </c>
      <c r="D836">
        <v>0.54678225806451619</v>
      </c>
    </row>
    <row r="837" spans="1:4" x14ac:dyDescent="0.25">
      <c r="A837" t="s">
        <v>873</v>
      </c>
      <c r="B837">
        <v>1.0892999999999999</v>
      </c>
      <c r="C837">
        <v>0</v>
      </c>
      <c r="D837">
        <v>0.32750629032258061</v>
      </c>
    </row>
    <row r="838" spans="1:4" x14ac:dyDescent="0.25">
      <c r="A838" t="s">
        <v>789</v>
      </c>
      <c r="B838">
        <v>1.0785</v>
      </c>
      <c r="C838">
        <v>0.37290000000000001</v>
      </c>
      <c r="D838">
        <v>0.67444516129032261</v>
      </c>
    </row>
    <row r="839" spans="1:4" x14ac:dyDescent="0.25">
      <c r="A839" t="s">
        <v>978</v>
      </c>
      <c r="B839">
        <v>1.0723</v>
      </c>
      <c r="C839">
        <v>0</v>
      </c>
      <c r="D839">
        <v>0.70534596774193559</v>
      </c>
    </row>
    <row r="840" spans="1:4" x14ac:dyDescent="0.25">
      <c r="A840" t="s">
        <v>1844</v>
      </c>
      <c r="B840">
        <v>1.069</v>
      </c>
      <c r="C840">
        <v>0.4526</v>
      </c>
      <c r="D840">
        <v>0.64835260483870949</v>
      </c>
    </row>
    <row r="841" spans="1:4" x14ac:dyDescent="0.25">
      <c r="A841" t="s">
        <v>2067</v>
      </c>
      <c r="B841">
        <v>1.0669999999999999</v>
      </c>
      <c r="C841">
        <v>0</v>
      </c>
      <c r="D841">
        <v>0.79369354838709705</v>
      </c>
    </row>
    <row r="842" spans="1:4" x14ac:dyDescent="0.25">
      <c r="A842" t="s">
        <v>668</v>
      </c>
      <c r="B842">
        <v>1.0666</v>
      </c>
      <c r="C842">
        <v>0</v>
      </c>
      <c r="D842">
        <v>0.28969483870967738</v>
      </c>
    </row>
    <row r="843" spans="1:4" x14ac:dyDescent="0.25">
      <c r="A843" t="s">
        <v>19</v>
      </c>
      <c r="B843">
        <v>1.0649999999999999</v>
      </c>
      <c r="C843">
        <v>0.73099999999999998</v>
      </c>
      <c r="D843">
        <v>0.91280645161290308</v>
      </c>
    </row>
    <row r="844" spans="1:4" x14ac:dyDescent="0.25">
      <c r="A844" t="s">
        <v>143</v>
      </c>
      <c r="B844">
        <v>1.0589999999999999</v>
      </c>
      <c r="C844">
        <v>0.42399999999999999</v>
      </c>
      <c r="D844">
        <v>0.63537903225806436</v>
      </c>
    </row>
    <row r="845" spans="1:4" x14ac:dyDescent="0.25">
      <c r="A845" t="s">
        <v>1227</v>
      </c>
      <c r="B845">
        <v>1.0580000000000001</v>
      </c>
      <c r="C845">
        <v>0</v>
      </c>
      <c r="D845">
        <v>0.65558419354838715</v>
      </c>
    </row>
    <row r="846" spans="1:4" x14ac:dyDescent="0.25">
      <c r="A846" t="s">
        <v>99</v>
      </c>
      <c r="B846">
        <v>1.0568</v>
      </c>
      <c r="C846">
        <v>0</v>
      </c>
      <c r="D846">
        <v>0.42763954838709695</v>
      </c>
    </row>
    <row r="847" spans="1:4" x14ac:dyDescent="0.25">
      <c r="A847" t="s">
        <v>2000</v>
      </c>
      <c r="B847">
        <v>1.05</v>
      </c>
      <c r="C847">
        <v>0.68899999999999995</v>
      </c>
      <c r="D847">
        <v>0.82683870967741924</v>
      </c>
    </row>
    <row r="848" spans="1:4" x14ac:dyDescent="0.25">
      <c r="A848" t="s">
        <v>131</v>
      </c>
      <c r="B848">
        <v>1.05</v>
      </c>
      <c r="C848">
        <v>0.4</v>
      </c>
      <c r="D848">
        <v>0.74285483870967739</v>
      </c>
    </row>
    <row r="849" spans="1:4" x14ac:dyDescent="0.25">
      <c r="A849" t="s">
        <v>508</v>
      </c>
      <c r="B849">
        <v>1.0429999999999999</v>
      </c>
      <c r="C849">
        <v>0</v>
      </c>
      <c r="D849">
        <v>0.65819354838709643</v>
      </c>
    </row>
    <row r="850" spans="1:4" x14ac:dyDescent="0.25">
      <c r="A850" t="s">
        <v>964</v>
      </c>
      <c r="B850">
        <v>1.042</v>
      </c>
      <c r="C850">
        <v>0</v>
      </c>
      <c r="D850">
        <v>0.64930645161290323</v>
      </c>
    </row>
    <row r="851" spans="1:4" x14ac:dyDescent="0.25">
      <c r="A851" t="s">
        <v>1425</v>
      </c>
      <c r="B851">
        <v>1.04</v>
      </c>
      <c r="C851">
        <v>0</v>
      </c>
      <c r="D851">
        <v>0.7344516129032258</v>
      </c>
    </row>
    <row r="852" spans="1:4" x14ac:dyDescent="0.25">
      <c r="A852" t="s">
        <v>1985</v>
      </c>
      <c r="B852">
        <v>1.036</v>
      </c>
      <c r="C852">
        <v>0</v>
      </c>
      <c r="D852">
        <v>0.74033064516129043</v>
      </c>
    </row>
    <row r="853" spans="1:4" x14ac:dyDescent="0.25">
      <c r="A853" t="s">
        <v>2552</v>
      </c>
      <c r="B853">
        <v>1.0349999999999999</v>
      </c>
      <c r="C853">
        <v>0</v>
      </c>
      <c r="D853">
        <v>0.61806129032258061</v>
      </c>
    </row>
    <row r="854" spans="1:4" x14ac:dyDescent="0.25">
      <c r="A854" t="s">
        <v>167</v>
      </c>
      <c r="B854">
        <v>1.028</v>
      </c>
      <c r="C854">
        <v>0</v>
      </c>
      <c r="D854">
        <v>0.83992741935483839</v>
      </c>
    </row>
    <row r="855" spans="1:4" x14ac:dyDescent="0.25">
      <c r="A855" t="s">
        <v>93</v>
      </c>
      <c r="B855">
        <v>1.0269999999999999</v>
      </c>
      <c r="C855">
        <v>0</v>
      </c>
      <c r="D855">
        <v>0.41284677419354843</v>
      </c>
    </row>
    <row r="856" spans="1:4" x14ac:dyDescent="0.25">
      <c r="A856" t="s">
        <v>1923</v>
      </c>
      <c r="B856">
        <v>1.026</v>
      </c>
      <c r="C856">
        <v>0</v>
      </c>
      <c r="D856">
        <v>0.50961890322580661</v>
      </c>
    </row>
    <row r="857" spans="1:4" x14ac:dyDescent="0.25">
      <c r="A857" t="s">
        <v>899</v>
      </c>
      <c r="B857">
        <v>1.025172</v>
      </c>
      <c r="C857">
        <v>0.85722699999999996</v>
      </c>
      <c r="D857">
        <v>0.94800908419354823</v>
      </c>
    </row>
    <row r="858" spans="1:4" x14ac:dyDescent="0.25">
      <c r="A858" t="s">
        <v>1668</v>
      </c>
      <c r="B858">
        <v>1.0229999999999999</v>
      </c>
      <c r="C858">
        <v>0</v>
      </c>
      <c r="D858">
        <v>0.68348387096774199</v>
      </c>
    </row>
    <row r="859" spans="1:4" x14ac:dyDescent="0.25">
      <c r="A859" t="s">
        <v>1982</v>
      </c>
      <c r="B859">
        <v>1.022033</v>
      </c>
      <c r="C859">
        <v>0</v>
      </c>
      <c r="D859">
        <v>0.83554509677419353</v>
      </c>
    </row>
    <row r="860" spans="1:4" x14ac:dyDescent="0.25">
      <c r="A860" t="s">
        <v>538</v>
      </c>
      <c r="B860">
        <v>1.02</v>
      </c>
      <c r="C860">
        <v>0</v>
      </c>
      <c r="D860">
        <v>0.21431654838709682</v>
      </c>
    </row>
    <row r="861" spans="1:4" x14ac:dyDescent="0.25">
      <c r="A861" t="s">
        <v>1388</v>
      </c>
      <c r="B861">
        <v>1.02</v>
      </c>
      <c r="C861">
        <v>0</v>
      </c>
      <c r="D861">
        <v>0.4627258064516131</v>
      </c>
    </row>
    <row r="862" spans="1:4" x14ac:dyDescent="0.25">
      <c r="A862" t="s">
        <v>1834</v>
      </c>
      <c r="B862">
        <v>1.0169999999999999</v>
      </c>
      <c r="C862">
        <v>0</v>
      </c>
      <c r="D862">
        <v>0.76788709677419409</v>
      </c>
    </row>
    <row r="863" spans="1:4" x14ac:dyDescent="0.25">
      <c r="A863" t="s">
        <v>2060</v>
      </c>
      <c r="B863">
        <v>1.0149999999999999</v>
      </c>
      <c r="C863">
        <v>0.64200000000000002</v>
      </c>
      <c r="D863">
        <v>0.77239219354838695</v>
      </c>
    </row>
    <row r="864" spans="1:4" x14ac:dyDescent="0.25">
      <c r="A864" t="s">
        <v>7</v>
      </c>
      <c r="B864">
        <v>1.0129999999999999</v>
      </c>
      <c r="C864">
        <v>0.69</v>
      </c>
      <c r="D864">
        <v>0.84196774193548374</v>
      </c>
    </row>
    <row r="865" spans="1:4" x14ac:dyDescent="0.25">
      <c r="A865" t="s">
        <v>611</v>
      </c>
      <c r="B865">
        <v>1.012</v>
      </c>
      <c r="C865">
        <v>0</v>
      </c>
      <c r="D865">
        <v>0.68302903225806444</v>
      </c>
    </row>
    <row r="866" spans="1:4" x14ac:dyDescent="0.25">
      <c r="A866" t="s">
        <v>106</v>
      </c>
      <c r="B866">
        <v>1.01</v>
      </c>
      <c r="C866">
        <v>0.621</v>
      </c>
      <c r="D866">
        <v>0.80595161290322603</v>
      </c>
    </row>
    <row r="867" spans="1:4" x14ac:dyDescent="0.25">
      <c r="A867" t="s">
        <v>774</v>
      </c>
      <c r="B867">
        <v>1.01</v>
      </c>
      <c r="C867">
        <v>0</v>
      </c>
      <c r="D867">
        <v>0.5376532258064517</v>
      </c>
    </row>
    <row r="868" spans="1:4" x14ac:dyDescent="0.25">
      <c r="A868" t="s">
        <v>1504</v>
      </c>
      <c r="B868">
        <v>1.008</v>
      </c>
      <c r="C868">
        <v>0</v>
      </c>
      <c r="D868">
        <v>0.58524838709677407</v>
      </c>
    </row>
    <row r="869" spans="1:4" x14ac:dyDescent="0.25">
      <c r="A869" t="s">
        <v>2644</v>
      </c>
      <c r="B869">
        <v>1.004</v>
      </c>
      <c r="C869">
        <v>0</v>
      </c>
      <c r="D869">
        <v>0.50129838709677421</v>
      </c>
    </row>
    <row r="870" spans="1:4" x14ac:dyDescent="0.25">
      <c r="A870" t="s">
        <v>1373</v>
      </c>
      <c r="B870">
        <v>1.0029999999999999</v>
      </c>
      <c r="C870">
        <v>0.5111</v>
      </c>
      <c r="D870">
        <v>0.76643870967741978</v>
      </c>
    </row>
    <row r="871" spans="1:4" x14ac:dyDescent="0.25">
      <c r="A871" t="s">
        <v>2028</v>
      </c>
      <c r="B871">
        <v>1.0029999999999999</v>
      </c>
      <c r="C871">
        <v>0</v>
      </c>
      <c r="D871">
        <v>0.83606758064516107</v>
      </c>
    </row>
    <row r="872" spans="1:4" x14ac:dyDescent="0.25">
      <c r="A872" t="s">
        <v>1105</v>
      </c>
      <c r="B872">
        <v>1.002</v>
      </c>
      <c r="C872">
        <v>0</v>
      </c>
      <c r="D872">
        <v>0.84887903225806438</v>
      </c>
    </row>
    <row r="873" spans="1:4" x14ac:dyDescent="0.25">
      <c r="A873" t="s">
        <v>1739</v>
      </c>
      <c r="B873">
        <v>1</v>
      </c>
      <c r="C873">
        <v>0</v>
      </c>
      <c r="D873">
        <v>0.41177419354838701</v>
      </c>
    </row>
    <row r="874" spans="1:4" x14ac:dyDescent="0.25">
      <c r="A874" t="s">
        <v>1779</v>
      </c>
      <c r="B874">
        <v>1</v>
      </c>
      <c r="C874">
        <v>0</v>
      </c>
      <c r="D874">
        <v>0.80695161290322537</v>
      </c>
    </row>
    <row r="875" spans="1:4" x14ac:dyDescent="0.25">
      <c r="A875" t="s">
        <v>1820</v>
      </c>
      <c r="B875">
        <v>1</v>
      </c>
      <c r="C875">
        <v>0</v>
      </c>
      <c r="D875">
        <v>0.55697982258064527</v>
      </c>
    </row>
    <row r="876" spans="1:4" x14ac:dyDescent="0.25">
      <c r="A876" t="s">
        <v>1426</v>
      </c>
      <c r="B876">
        <v>1</v>
      </c>
      <c r="C876">
        <v>0</v>
      </c>
      <c r="D876">
        <v>0.47151677419354832</v>
      </c>
    </row>
    <row r="877" spans="1:4" x14ac:dyDescent="0.25">
      <c r="A877" t="s">
        <v>607</v>
      </c>
      <c r="B877">
        <v>1</v>
      </c>
      <c r="C877">
        <v>0</v>
      </c>
      <c r="D877">
        <v>0.72612419354838709</v>
      </c>
    </row>
    <row r="878" spans="1:4" x14ac:dyDescent="0.25">
      <c r="A878" t="s">
        <v>2825</v>
      </c>
      <c r="B878">
        <v>0.998</v>
      </c>
      <c r="C878">
        <v>0.51400000000000001</v>
      </c>
      <c r="D878">
        <v>0.71302419354838686</v>
      </c>
    </row>
    <row r="879" spans="1:4" x14ac:dyDescent="0.25">
      <c r="A879" t="s">
        <v>1772</v>
      </c>
      <c r="B879">
        <v>0.99399999999999999</v>
      </c>
      <c r="C879">
        <v>0</v>
      </c>
      <c r="D879">
        <v>0.26561693548387094</v>
      </c>
    </row>
    <row r="880" spans="1:4" x14ac:dyDescent="0.25">
      <c r="A880" t="s">
        <v>1736</v>
      </c>
      <c r="B880">
        <v>0.99</v>
      </c>
      <c r="C880">
        <v>0</v>
      </c>
      <c r="D880">
        <v>0.11127387096774197</v>
      </c>
    </row>
    <row r="881" spans="1:4" x14ac:dyDescent="0.25">
      <c r="A881" t="s">
        <v>1706</v>
      </c>
      <c r="B881">
        <v>0.98799999999999999</v>
      </c>
      <c r="C881">
        <v>0</v>
      </c>
      <c r="D881">
        <v>0.70828225806451584</v>
      </c>
    </row>
    <row r="882" spans="1:4" x14ac:dyDescent="0.25">
      <c r="A882" t="s">
        <v>1424</v>
      </c>
      <c r="B882">
        <v>0.98699999999999999</v>
      </c>
      <c r="C882">
        <v>0</v>
      </c>
      <c r="D882">
        <v>0.51180645161290317</v>
      </c>
    </row>
    <row r="883" spans="1:4" x14ac:dyDescent="0.25">
      <c r="A883" t="s">
        <v>2170</v>
      </c>
      <c r="B883">
        <v>0.98699999999999999</v>
      </c>
      <c r="C883">
        <v>0</v>
      </c>
      <c r="D883">
        <v>0.6701129032258063</v>
      </c>
    </row>
    <row r="884" spans="1:4" x14ac:dyDescent="0.25">
      <c r="A884" t="s">
        <v>1471</v>
      </c>
      <c r="B884">
        <v>0.984101</v>
      </c>
      <c r="C884">
        <v>0</v>
      </c>
      <c r="D884">
        <v>0.73058564516129032</v>
      </c>
    </row>
    <row r="885" spans="1:4" x14ac:dyDescent="0.25">
      <c r="A885" t="s">
        <v>1958</v>
      </c>
      <c r="B885">
        <v>0.98229999999999995</v>
      </c>
      <c r="C885">
        <v>0</v>
      </c>
      <c r="D885">
        <v>0.71160483870967739</v>
      </c>
    </row>
    <row r="886" spans="1:4" x14ac:dyDescent="0.25">
      <c r="A886" t="s">
        <v>1193</v>
      </c>
      <c r="B886">
        <v>0.98199999999999998</v>
      </c>
      <c r="C886">
        <v>0</v>
      </c>
      <c r="D886">
        <v>0.54081612903225795</v>
      </c>
    </row>
    <row r="887" spans="1:4" x14ac:dyDescent="0.25">
      <c r="A887" t="s">
        <v>217</v>
      </c>
      <c r="B887">
        <v>0.98</v>
      </c>
      <c r="C887">
        <v>0.43</v>
      </c>
      <c r="D887">
        <v>0.6224193548387098</v>
      </c>
    </row>
    <row r="888" spans="1:4" x14ac:dyDescent="0.25">
      <c r="A888" t="s">
        <v>1021</v>
      </c>
      <c r="B888">
        <v>0.98</v>
      </c>
      <c r="C888">
        <v>0.49</v>
      </c>
      <c r="D888">
        <v>0.73722580645161273</v>
      </c>
    </row>
    <row r="889" spans="1:4" x14ac:dyDescent="0.25">
      <c r="A889" t="s">
        <v>2558</v>
      </c>
      <c r="B889">
        <v>0.97499999999999998</v>
      </c>
      <c r="C889">
        <v>0</v>
      </c>
      <c r="D889">
        <v>0.47003409677419361</v>
      </c>
    </row>
    <row r="890" spans="1:4" x14ac:dyDescent="0.25">
      <c r="A890" t="s">
        <v>1594</v>
      </c>
      <c r="B890">
        <v>0.97299999999999998</v>
      </c>
      <c r="C890">
        <v>0</v>
      </c>
      <c r="D890">
        <v>0.71329838709677407</v>
      </c>
    </row>
    <row r="891" spans="1:4" x14ac:dyDescent="0.25">
      <c r="A891" t="s">
        <v>2747</v>
      </c>
      <c r="B891">
        <v>0.97050000000000003</v>
      </c>
      <c r="C891">
        <v>0</v>
      </c>
      <c r="D891">
        <v>0.69738629032258048</v>
      </c>
    </row>
    <row r="892" spans="1:4" x14ac:dyDescent="0.25">
      <c r="A892" t="s">
        <v>2516</v>
      </c>
      <c r="B892">
        <v>0.969526</v>
      </c>
      <c r="C892">
        <v>0.22183900000000001</v>
      </c>
      <c r="D892">
        <v>0.4156520161290323</v>
      </c>
    </row>
    <row r="893" spans="1:4" x14ac:dyDescent="0.25">
      <c r="A893" t="s">
        <v>2171</v>
      </c>
      <c r="B893">
        <v>0.96799999999999997</v>
      </c>
      <c r="C893">
        <v>0</v>
      </c>
      <c r="D893">
        <v>0.45343548387096766</v>
      </c>
    </row>
    <row r="894" spans="1:4" x14ac:dyDescent="0.25">
      <c r="A894" t="s">
        <v>2578</v>
      </c>
      <c r="B894">
        <v>0.96799999999999997</v>
      </c>
      <c r="C894">
        <v>0</v>
      </c>
      <c r="D894">
        <v>0.6457096774193547</v>
      </c>
    </row>
    <row r="895" spans="1:4" x14ac:dyDescent="0.25">
      <c r="A895" t="s">
        <v>1091</v>
      </c>
      <c r="B895">
        <v>0.96699999999999997</v>
      </c>
      <c r="C895">
        <v>0</v>
      </c>
      <c r="D895">
        <v>0.43043064516129032</v>
      </c>
    </row>
    <row r="896" spans="1:4" x14ac:dyDescent="0.25">
      <c r="A896" t="s">
        <v>1106</v>
      </c>
      <c r="B896">
        <v>0.96099999999999997</v>
      </c>
      <c r="C896">
        <v>0</v>
      </c>
      <c r="D896">
        <v>0.18327419354838712</v>
      </c>
    </row>
    <row r="897" spans="1:4" x14ac:dyDescent="0.25">
      <c r="A897" t="s">
        <v>1055</v>
      </c>
      <c r="B897">
        <v>0.96</v>
      </c>
      <c r="C897">
        <v>0</v>
      </c>
      <c r="D897">
        <v>0.3794354838709677</v>
      </c>
    </row>
    <row r="898" spans="1:4" x14ac:dyDescent="0.25">
      <c r="A898" t="s">
        <v>73</v>
      </c>
      <c r="B898">
        <v>0.96</v>
      </c>
      <c r="C898">
        <v>0</v>
      </c>
      <c r="D898">
        <v>0.20482258064516123</v>
      </c>
    </row>
    <row r="899" spans="1:4" x14ac:dyDescent="0.25">
      <c r="A899" t="s">
        <v>2593</v>
      </c>
      <c r="B899">
        <v>0.95699999999999996</v>
      </c>
      <c r="C899">
        <v>0</v>
      </c>
      <c r="D899">
        <v>0.2753951612903226</v>
      </c>
    </row>
    <row r="900" spans="1:4" x14ac:dyDescent="0.25">
      <c r="A900" t="s">
        <v>458</v>
      </c>
      <c r="B900">
        <v>0.95609999999999995</v>
      </c>
      <c r="C900">
        <v>0.49719999999999998</v>
      </c>
      <c r="D900">
        <v>0.63847661290322588</v>
      </c>
    </row>
    <row r="901" spans="1:4" x14ac:dyDescent="0.25">
      <c r="A901" t="s">
        <v>2713</v>
      </c>
      <c r="B901">
        <v>0.95</v>
      </c>
      <c r="C901">
        <v>0</v>
      </c>
      <c r="D901">
        <v>0.65046612903225853</v>
      </c>
    </row>
    <row r="902" spans="1:4" x14ac:dyDescent="0.25">
      <c r="A902" t="s">
        <v>919</v>
      </c>
      <c r="B902">
        <v>0.95</v>
      </c>
      <c r="C902">
        <v>0</v>
      </c>
      <c r="D902">
        <v>0.43989516129032252</v>
      </c>
    </row>
    <row r="903" spans="1:4" x14ac:dyDescent="0.25">
      <c r="A903" t="s">
        <v>2735</v>
      </c>
      <c r="B903">
        <v>0.95</v>
      </c>
      <c r="C903">
        <v>0.33</v>
      </c>
      <c r="D903">
        <v>0.67516129032258054</v>
      </c>
    </row>
    <row r="904" spans="1:4" x14ac:dyDescent="0.25">
      <c r="A904" t="s">
        <v>1932</v>
      </c>
      <c r="B904">
        <v>0.94799999999999995</v>
      </c>
      <c r="C904">
        <v>0</v>
      </c>
      <c r="D904">
        <v>0.73558487903225811</v>
      </c>
    </row>
    <row r="905" spans="1:4" x14ac:dyDescent="0.25">
      <c r="A905" t="s">
        <v>2266</v>
      </c>
      <c r="B905">
        <v>0.94499999999999995</v>
      </c>
      <c r="C905">
        <v>0</v>
      </c>
      <c r="D905">
        <v>0.24387096774193553</v>
      </c>
    </row>
    <row r="906" spans="1:4" x14ac:dyDescent="0.25">
      <c r="A906" t="s">
        <v>558</v>
      </c>
      <c r="B906">
        <v>0.94399999999999995</v>
      </c>
      <c r="C906">
        <v>7.7999999999999996E-3</v>
      </c>
      <c r="D906">
        <v>0.40250322580645165</v>
      </c>
    </row>
    <row r="907" spans="1:4" x14ac:dyDescent="0.25">
      <c r="A907" t="s">
        <v>871</v>
      </c>
      <c r="B907">
        <v>0.94330000000000003</v>
      </c>
      <c r="C907">
        <v>0</v>
      </c>
      <c r="D907">
        <v>0.2557161290322581</v>
      </c>
    </row>
    <row r="908" spans="1:4" x14ac:dyDescent="0.25">
      <c r="A908" t="s">
        <v>1104</v>
      </c>
      <c r="B908">
        <v>0.94240000000000002</v>
      </c>
      <c r="C908">
        <v>0</v>
      </c>
      <c r="D908">
        <v>0.55081021500000005</v>
      </c>
    </row>
    <row r="909" spans="1:4" x14ac:dyDescent="0.25">
      <c r="A909" t="s">
        <v>1787</v>
      </c>
      <c r="B909">
        <v>0.94</v>
      </c>
      <c r="C909">
        <v>0</v>
      </c>
      <c r="D909">
        <v>0.35675806451612907</v>
      </c>
    </row>
    <row r="910" spans="1:4" x14ac:dyDescent="0.25">
      <c r="A910" t="s">
        <v>223</v>
      </c>
      <c r="B910">
        <v>0.94</v>
      </c>
      <c r="C910">
        <v>0</v>
      </c>
      <c r="D910">
        <v>0.64146774193548384</v>
      </c>
    </row>
    <row r="911" spans="1:4" x14ac:dyDescent="0.25">
      <c r="A911" t="s">
        <v>108</v>
      </c>
      <c r="B911">
        <v>0.93700000000000006</v>
      </c>
      <c r="C911">
        <v>0.58099999999999996</v>
      </c>
      <c r="D911">
        <v>0.74437903225806445</v>
      </c>
    </row>
    <row r="912" spans="1:4" x14ac:dyDescent="0.25">
      <c r="A912" t="s">
        <v>1283</v>
      </c>
      <c r="B912">
        <v>0.93200000000000005</v>
      </c>
      <c r="C912">
        <v>0.23100000000000001</v>
      </c>
      <c r="D912">
        <v>0.46667741935483853</v>
      </c>
    </row>
    <row r="913" spans="1:4" x14ac:dyDescent="0.25">
      <c r="A913" t="s">
        <v>1947</v>
      </c>
      <c r="B913">
        <v>0.93</v>
      </c>
      <c r="C913">
        <v>0</v>
      </c>
      <c r="D913">
        <v>0.19315806451612902</v>
      </c>
    </row>
    <row r="914" spans="1:4" x14ac:dyDescent="0.25">
      <c r="A914" t="s">
        <v>1360</v>
      </c>
      <c r="B914">
        <v>0.92949999999999999</v>
      </c>
      <c r="C914">
        <v>0.21779999999999999</v>
      </c>
      <c r="D914">
        <v>0.51215641935483891</v>
      </c>
    </row>
    <row r="915" spans="1:4" x14ac:dyDescent="0.25">
      <c r="A915" t="s">
        <v>1147</v>
      </c>
      <c r="B915">
        <v>0.92479999999999996</v>
      </c>
      <c r="C915">
        <v>0</v>
      </c>
      <c r="D915">
        <v>0.48110161290322589</v>
      </c>
    </row>
    <row r="916" spans="1:4" x14ac:dyDescent="0.25">
      <c r="A916" t="s">
        <v>9</v>
      </c>
      <c r="B916">
        <v>0.92</v>
      </c>
      <c r="C916">
        <v>0.66600000000000004</v>
      </c>
      <c r="D916">
        <v>0.76284677419354852</v>
      </c>
    </row>
    <row r="917" spans="1:4" x14ac:dyDescent="0.25">
      <c r="A917" t="s">
        <v>2795</v>
      </c>
      <c r="B917">
        <v>0.92</v>
      </c>
      <c r="C917">
        <v>0</v>
      </c>
      <c r="D917">
        <v>0.64233870967741935</v>
      </c>
    </row>
    <row r="918" spans="1:4" x14ac:dyDescent="0.25">
      <c r="A918" t="s">
        <v>1197</v>
      </c>
      <c r="B918">
        <v>0.91900000000000004</v>
      </c>
      <c r="C918">
        <v>0</v>
      </c>
      <c r="D918">
        <v>0.80587903225806456</v>
      </c>
    </row>
    <row r="919" spans="1:4" x14ac:dyDescent="0.25">
      <c r="A919" t="s">
        <v>1102</v>
      </c>
      <c r="B919">
        <v>0.91590000000000005</v>
      </c>
      <c r="C919">
        <v>0</v>
      </c>
      <c r="D919">
        <v>0.6049975806451614</v>
      </c>
    </row>
    <row r="920" spans="1:4" x14ac:dyDescent="0.25">
      <c r="A920" t="s">
        <v>2045</v>
      </c>
      <c r="B920">
        <v>0.91400000000000003</v>
      </c>
      <c r="C920">
        <v>0</v>
      </c>
      <c r="D920">
        <v>0.7570080645161289</v>
      </c>
    </row>
    <row r="921" spans="1:4" x14ac:dyDescent="0.25">
      <c r="A921" t="s">
        <v>2653</v>
      </c>
      <c r="B921">
        <v>0.91200000000000003</v>
      </c>
      <c r="C921">
        <v>0.18</v>
      </c>
      <c r="D921">
        <v>0.4088870967741936</v>
      </c>
    </row>
    <row r="922" spans="1:4" x14ac:dyDescent="0.25">
      <c r="A922" t="s">
        <v>392</v>
      </c>
      <c r="B922">
        <v>0.91120000000000001</v>
      </c>
      <c r="C922">
        <v>0</v>
      </c>
      <c r="D922">
        <v>0.68353951612903197</v>
      </c>
    </row>
    <row r="923" spans="1:4" x14ac:dyDescent="0.25">
      <c r="A923" t="s">
        <v>2296</v>
      </c>
      <c r="B923">
        <v>0.91</v>
      </c>
      <c r="C923">
        <v>0.47</v>
      </c>
      <c r="D923">
        <v>0.69000000000000028</v>
      </c>
    </row>
    <row r="924" spans="1:4" x14ac:dyDescent="0.25">
      <c r="A924" t="s">
        <v>1930</v>
      </c>
      <c r="B924">
        <v>0.90923299999999996</v>
      </c>
      <c r="C924">
        <v>0</v>
      </c>
      <c r="D924">
        <v>0.6296164032258067</v>
      </c>
    </row>
    <row r="925" spans="1:4" x14ac:dyDescent="0.25">
      <c r="A925" t="s">
        <v>2915</v>
      </c>
      <c r="B925">
        <v>0.90600000000000003</v>
      </c>
      <c r="C925">
        <v>0</v>
      </c>
      <c r="D925">
        <v>0.57555483870967739</v>
      </c>
    </row>
    <row r="926" spans="1:4" x14ac:dyDescent="0.25">
      <c r="A926" t="s">
        <v>337</v>
      </c>
      <c r="B926">
        <v>0.90300000000000002</v>
      </c>
      <c r="C926">
        <v>0.35299999999999998</v>
      </c>
      <c r="D926">
        <v>0.54699193548387082</v>
      </c>
    </row>
    <row r="927" spans="1:4" x14ac:dyDescent="0.25">
      <c r="A927" t="s">
        <v>1698</v>
      </c>
      <c r="B927">
        <v>0.90300000000000002</v>
      </c>
      <c r="C927">
        <v>0</v>
      </c>
      <c r="D927">
        <v>0.65054032258064509</v>
      </c>
    </row>
    <row r="928" spans="1:4" x14ac:dyDescent="0.25">
      <c r="A928" t="s">
        <v>2748</v>
      </c>
      <c r="B928">
        <v>0.90280000000000005</v>
      </c>
      <c r="C928">
        <v>0</v>
      </c>
      <c r="D928">
        <v>0.57497096774193568</v>
      </c>
    </row>
    <row r="929" spans="1:4" x14ac:dyDescent="0.25">
      <c r="A929" t="s">
        <v>397</v>
      </c>
      <c r="B929">
        <v>0.90100000000000002</v>
      </c>
      <c r="C929">
        <v>0</v>
      </c>
      <c r="D929">
        <v>0.82966129032258074</v>
      </c>
    </row>
    <row r="930" spans="1:4" x14ac:dyDescent="0.25">
      <c r="A930" t="s">
        <v>2066</v>
      </c>
      <c r="B930">
        <v>0.90100000000000002</v>
      </c>
      <c r="C930">
        <v>0</v>
      </c>
      <c r="D930">
        <v>0.72061290322580651</v>
      </c>
    </row>
    <row r="931" spans="1:4" x14ac:dyDescent="0.25">
      <c r="A931" t="s">
        <v>1741</v>
      </c>
      <c r="B931">
        <v>0.9</v>
      </c>
      <c r="C931">
        <v>0</v>
      </c>
      <c r="D931">
        <v>0.14527720967741933</v>
      </c>
    </row>
    <row r="932" spans="1:4" x14ac:dyDescent="0.25">
      <c r="A932" t="s">
        <v>1045</v>
      </c>
      <c r="B932">
        <v>0.9</v>
      </c>
      <c r="C932">
        <v>0</v>
      </c>
      <c r="D932">
        <v>0.64495161290322556</v>
      </c>
    </row>
    <row r="933" spans="1:4" x14ac:dyDescent="0.25">
      <c r="A933" t="s">
        <v>1023</v>
      </c>
      <c r="B933">
        <v>0.9</v>
      </c>
      <c r="C933">
        <v>0.7</v>
      </c>
      <c r="D933">
        <v>0.80975806451612919</v>
      </c>
    </row>
    <row r="934" spans="1:4" x14ac:dyDescent="0.25">
      <c r="A934" t="s">
        <v>2057</v>
      </c>
      <c r="B934">
        <v>0.89815999999999996</v>
      </c>
      <c r="C934">
        <v>0</v>
      </c>
      <c r="D934">
        <v>0.6601856451612903</v>
      </c>
    </row>
    <row r="935" spans="1:4" x14ac:dyDescent="0.25">
      <c r="A935" t="s">
        <v>1064</v>
      </c>
      <c r="B935">
        <v>0.89</v>
      </c>
      <c r="C935">
        <v>0</v>
      </c>
      <c r="D935">
        <v>0.41178830645161285</v>
      </c>
    </row>
    <row r="936" spans="1:4" x14ac:dyDescent="0.25">
      <c r="A936" t="s">
        <v>1642</v>
      </c>
      <c r="B936">
        <v>0.88900000000000001</v>
      </c>
      <c r="C936">
        <v>0</v>
      </c>
      <c r="D936">
        <v>0.56086290322580645</v>
      </c>
    </row>
    <row r="937" spans="1:4" x14ac:dyDescent="0.25">
      <c r="A937" t="s">
        <v>1681</v>
      </c>
      <c r="B937">
        <v>0.8841</v>
      </c>
      <c r="C937">
        <v>0</v>
      </c>
      <c r="D937">
        <v>0.29490403225806439</v>
      </c>
    </row>
    <row r="938" spans="1:4" x14ac:dyDescent="0.25">
      <c r="A938" t="s">
        <v>2737</v>
      </c>
      <c r="B938">
        <v>0.88400000000000001</v>
      </c>
      <c r="C938">
        <v>3.1E-2</v>
      </c>
      <c r="D938">
        <v>0.442307129032258</v>
      </c>
    </row>
    <row r="939" spans="1:4" x14ac:dyDescent="0.25">
      <c r="A939" t="s">
        <v>2896</v>
      </c>
      <c r="B939">
        <v>0.88400000000000001</v>
      </c>
      <c r="C939">
        <v>0</v>
      </c>
      <c r="D939">
        <v>0.4116693548387097</v>
      </c>
    </row>
    <row r="940" spans="1:4" x14ac:dyDescent="0.25">
      <c r="A940" t="s">
        <v>2249</v>
      </c>
      <c r="B940">
        <v>0.88332299999999997</v>
      </c>
      <c r="C940">
        <v>0</v>
      </c>
      <c r="D940">
        <v>0.71679356451612908</v>
      </c>
    </row>
    <row r="941" spans="1:4" x14ac:dyDescent="0.25">
      <c r="A941" t="s">
        <v>1047</v>
      </c>
      <c r="B941">
        <v>0.88300000000000001</v>
      </c>
      <c r="C941">
        <v>0</v>
      </c>
      <c r="D941">
        <v>0.15965322580645158</v>
      </c>
    </row>
    <row r="942" spans="1:4" x14ac:dyDescent="0.25">
      <c r="A942" t="s">
        <v>2318</v>
      </c>
      <c r="B942">
        <v>0.88100000000000001</v>
      </c>
      <c r="C942">
        <v>0</v>
      </c>
      <c r="D942">
        <v>0.73676290322580651</v>
      </c>
    </row>
    <row r="943" spans="1:4" x14ac:dyDescent="0.25">
      <c r="A943" t="s">
        <v>2040</v>
      </c>
      <c r="B943">
        <v>0.879</v>
      </c>
      <c r="C943">
        <v>0.57699999999999996</v>
      </c>
      <c r="D943">
        <v>0.69469354838709663</v>
      </c>
    </row>
    <row r="944" spans="1:4" x14ac:dyDescent="0.25">
      <c r="A944" t="s">
        <v>111</v>
      </c>
      <c r="B944">
        <v>0.875</v>
      </c>
      <c r="C944">
        <v>0</v>
      </c>
      <c r="D944">
        <v>0.35893548387096758</v>
      </c>
    </row>
    <row r="945" spans="1:4" x14ac:dyDescent="0.25">
      <c r="A945" t="s">
        <v>2298</v>
      </c>
      <c r="B945">
        <v>0.874</v>
      </c>
      <c r="C945">
        <v>0</v>
      </c>
      <c r="D945">
        <v>0.61924193548387119</v>
      </c>
    </row>
    <row r="946" spans="1:4" x14ac:dyDescent="0.25">
      <c r="A946" t="s">
        <v>56</v>
      </c>
      <c r="B946">
        <v>0.872</v>
      </c>
      <c r="C946">
        <v>0</v>
      </c>
      <c r="D946">
        <v>0.53274193548387094</v>
      </c>
    </row>
    <row r="947" spans="1:4" x14ac:dyDescent="0.25">
      <c r="A947" t="s">
        <v>1366</v>
      </c>
      <c r="B947">
        <v>0.871</v>
      </c>
      <c r="C947">
        <v>0</v>
      </c>
      <c r="D947">
        <v>0.65808064516129028</v>
      </c>
    </row>
    <row r="948" spans="1:4" x14ac:dyDescent="0.25">
      <c r="A948" t="s">
        <v>2529</v>
      </c>
      <c r="B948">
        <v>0.86799999999999999</v>
      </c>
      <c r="C948">
        <v>0</v>
      </c>
      <c r="D948">
        <v>0.51092741935483854</v>
      </c>
    </row>
    <row r="949" spans="1:4" x14ac:dyDescent="0.25">
      <c r="A949" t="s">
        <v>2292</v>
      </c>
      <c r="B949">
        <v>0.86599999999999999</v>
      </c>
      <c r="C949">
        <v>0</v>
      </c>
      <c r="D949">
        <v>0.25658460322580645</v>
      </c>
    </row>
    <row r="950" spans="1:4" x14ac:dyDescent="0.25">
      <c r="A950" t="s">
        <v>979</v>
      </c>
      <c r="B950">
        <v>0.86439999999999995</v>
      </c>
      <c r="C950">
        <v>0</v>
      </c>
      <c r="D950">
        <v>0.66724354838709699</v>
      </c>
    </row>
    <row r="951" spans="1:4" x14ac:dyDescent="0.25">
      <c r="A951" t="s">
        <v>401</v>
      </c>
      <c r="B951">
        <v>0.86399999999999999</v>
      </c>
      <c r="C951">
        <v>0</v>
      </c>
      <c r="D951">
        <v>0.29534677419354849</v>
      </c>
    </row>
    <row r="952" spans="1:4" x14ac:dyDescent="0.25">
      <c r="A952" t="s">
        <v>2031</v>
      </c>
      <c r="B952">
        <v>0.863533</v>
      </c>
      <c r="C952">
        <v>0</v>
      </c>
      <c r="D952">
        <v>0.73282829838709695</v>
      </c>
    </row>
    <row r="953" spans="1:4" x14ac:dyDescent="0.25">
      <c r="A953" t="s">
        <v>1638</v>
      </c>
      <c r="B953">
        <v>0.86</v>
      </c>
      <c r="C953">
        <v>1.9E-2</v>
      </c>
      <c r="D953">
        <v>0.22654838709677422</v>
      </c>
    </row>
    <row r="954" spans="1:4" x14ac:dyDescent="0.25">
      <c r="A954" t="s">
        <v>2285</v>
      </c>
      <c r="B954">
        <v>0.85799999999999998</v>
      </c>
      <c r="C954">
        <v>0</v>
      </c>
      <c r="D954">
        <v>0.7020483870967742</v>
      </c>
    </row>
    <row r="955" spans="1:4" x14ac:dyDescent="0.25">
      <c r="A955" t="s">
        <v>387</v>
      </c>
      <c r="B955">
        <v>0.85399999999999998</v>
      </c>
      <c r="C955">
        <v>0</v>
      </c>
      <c r="D955">
        <v>0.43169354838709673</v>
      </c>
    </row>
    <row r="956" spans="1:4" x14ac:dyDescent="0.25">
      <c r="A956" t="s">
        <v>838</v>
      </c>
      <c r="B956">
        <v>0.85</v>
      </c>
      <c r="C956">
        <v>0</v>
      </c>
      <c r="D956">
        <v>0.15914919354838719</v>
      </c>
    </row>
    <row r="957" spans="1:4" x14ac:dyDescent="0.25">
      <c r="A957" t="s">
        <v>918</v>
      </c>
      <c r="B957">
        <v>0.85</v>
      </c>
      <c r="C957">
        <v>0</v>
      </c>
      <c r="D957">
        <v>0.32152419354838707</v>
      </c>
    </row>
    <row r="958" spans="1:4" x14ac:dyDescent="0.25">
      <c r="A958" t="s">
        <v>1905</v>
      </c>
      <c r="B958">
        <v>0.84499999999999997</v>
      </c>
      <c r="C958">
        <v>0</v>
      </c>
      <c r="D958">
        <v>0.71024193548387116</v>
      </c>
    </row>
    <row r="959" spans="1:4" x14ac:dyDescent="0.25">
      <c r="A959" t="s">
        <v>204</v>
      </c>
      <c r="B959">
        <v>0.84399999999999997</v>
      </c>
      <c r="C959">
        <v>0</v>
      </c>
      <c r="D959">
        <v>0.51048387096774195</v>
      </c>
    </row>
    <row r="960" spans="1:4" x14ac:dyDescent="0.25">
      <c r="A960" t="s">
        <v>768</v>
      </c>
      <c r="B960">
        <v>0.84340000000000004</v>
      </c>
      <c r="C960">
        <v>0.5161</v>
      </c>
      <c r="D960">
        <v>0.67832016129032224</v>
      </c>
    </row>
    <row r="961" spans="1:4" x14ac:dyDescent="0.25">
      <c r="A961" t="s">
        <v>347</v>
      </c>
      <c r="B961">
        <v>0.84199999999999997</v>
      </c>
      <c r="C961">
        <v>0</v>
      </c>
      <c r="D961">
        <v>0.77409677419354772</v>
      </c>
    </row>
    <row r="962" spans="1:4" x14ac:dyDescent="0.25">
      <c r="A962" t="s">
        <v>2231</v>
      </c>
      <c r="B962">
        <v>0.84199999999999997</v>
      </c>
      <c r="C962">
        <v>0</v>
      </c>
      <c r="D962">
        <v>0.67821774193548379</v>
      </c>
    </row>
    <row r="963" spans="1:4" x14ac:dyDescent="0.25">
      <c r="A963" t="s">
        <v>1162</v>
      </c>
      <c r="B963">
        <v>0.84099999999999997</v>
      </c>
      <c r="C963">
        <v>0</v>
      </c>
      <c r="D963">
        <v>0.3194935483870967</v>
      </c>
    </row>
    <row r="964" spans="1:4" x14ac:dyDescent="0.25">
      <c r="A964" t="s">
        <v>2681</v>
      </c>
      <c r="B964">
        <v>0.83799999999999997</v>
      </c>
      <c r="C964">
        <v>0</v>
      </c>
      <c r="D964">
        <v>0.65517077419354852</v>
      </c>
    </row>
    <row r="965" spans="1:4" x14ac:dyDescent="0.25">
      <c r="A965" t="s">
        <v>2250</v>
      </c>
      <c r="B965">
        <v>0.83799999999999997</v>
      </c>
      <c r="C965">
        <v>0</v>
      </c>
      <c r="D965">
        <v>0.65881612903225806</v>
      </c>
    </row>
    <row r="966" spans="1:4" x14ac:dyDescent="0.25">
      <c r="A966" t="s">
        <v>6</v>
      </c>
      <c r="B966">
        <v>0.83299999999999996</v>
      </c>
      <c r="C966">
        <v>0.53800000000000003</v>
      </c>
      <c r="D966">
        <v>0.68537096774193562</v>
      </c>
    </row>
    <row r="967" spans="1:4" x14ac:dyDescent="0.25">
      <c r="A967" t="s">
        <v>1910</v>
      </c>
      <c r="B967">
        <v>0.83</v>
      </c>
      <c r="C967">
        <v>0</v>
      </c>
      <c r="D967">
        <v>0.59811290322580657</v>
      </c>
    </row>
    <row r="968" spans="1:4" x14ac:dyDescent="0.25">
      <c r="A968" t="s">
        <v>2011</v>
      </c>
      <c r="B968">
        <v>0.82899999999999996</v>
      </c>
      <c r="C968">
        <v>0</v>
      </c>
      <c r="D968">
        <v>0.65180645161290329</v>
      </c>
    </row>
    <row r="969" spans="1:4" x14ac:dyDescent="0.25">
      <c r="A969" t="s">
        <v>1913</v>
      </c>
      <c r="B969">
        <v>0.82564499999999996</v>
      </c>
      <c r="C969">
        <v>0</v>
      </c>
      <c r="D969">
        <v>0.7097741693548385</v>
      </c>
    </row>
    <row r="970" spans="1:4" x14ac:dyDescent="0.25">
      <c r="A970" t="s">
        <v>1189</v>
      </c>
      <c r="B970">
        <v>0.82499999999999996</v>
      </c>
      <c r="C970">
        <v>0.1</v>
      </c>
      <c r="D970">
        <v>0.41468548387096782</v>
      </c>
    </row>
    <row r="971" spans="1:4" x14ac:dyDescent="0.25">
      <c r="A971" t="s">
        <v>2007</v>
      </c>
      <c r="B971">
        <v>0.82199999999999995</v>
      </c>
      <c r="C971">
        <v>0</v>
      </c>
      <c r="D971">
        <v>0.30661290322580642</v>
      </c>
    </row>
    <row r="972" spans="1:4" x14ac:dyDescent="0.25">
      <c r="A972" t="s">
        <v>280</v>
      </c>
      <c r="B972">
        <v>0.82</v>
      </c>
      <c r="C972">
        <v>0</v>
      </c>
      <c r="D972">
        <v>0.24701612903225798</v>
      </c>
    </row>
    <row r="973" spans="1:4" x14ac:dyDescent="0.25">
      <c r="A973" t="s">
        <v>1040</v>
      </c>
      <c r="B973">
        <v>0.82</v>
      </c>
      <c r="C973">
        <v>0</v>
      </c>
      <c r="D973">
        <v>0.58741935483870966</v>
      </c>
    </row>
    <row r="974" spans="1:4" x14ac:dyDescent="0.25">
      <c r="A974" t="s">
        <v>1138</v>
      </c>
      <c r="B974">
        <v>0.81200000000000006</v>
      </c>
      <c r="C974">
        <v>6.7599999999999993E-2</v>
      </c>
      <c r="D974">
        <v>0.3938411290322581</v>
      </c>
    </row>
    <row r="975" spans="1:4" x14ac:dyDescent="0.25">
      <c r="A975" t="s">
        <v>1714</v>
      </c>
      <c r="B975">
        <v>0.81200000000000006</v>
      </c>
      <c r="C975">
        <v>0</v>
      </c>
      <c r="D975">
        <v>0.55593548387096781</v>
      </c>
    </row>
    <row r="976" spans="1:4" x14ac:dyDescent="0.25">
      <c r="A976" t="s">
        <v>1035</v>
      </c>
      <c r="B976">
        <v>0.80900000000000005</v>
      </c>
      <c r="C976">
        <v>0.46800000000000003</v>
      </c>
      <c r="D976">
        <v>0.63240932258064508</v>
      </c>
    </row>
    <row r="977" spans="1:4" x14ac:dyDescent="0.25">
      <c r="A977" t="s">
        <v>1087</v>
      </c>
      <c r="B977">
        <v>0.80822090000000002</v>
      </c>
      <c r="C977">
        <v>0</v>
      </c>
      <c r="D977">
        <v>0.16455502016129034</v>
      </c>
    </row>
    <row r="978" spans="1:4" x14ac:dyDescent="0.25">
      <c r="A978" t="s">
        <v>2404</v>
      </c>
      <c r="B978">
        <v>0.80300000000000005</v>
      </c>
      <c r="C978">
        <v>0</v>
      </c>
      <c r="D978">
        <v>0.36282258064516126</v>
      </c>
    </row>
    <row r="979" spans="1:4" x14ac:dyDescent="0.25">
      <c r="A979" t="s">
        <v>2607</v>
      </c>
      <c r="B979">
        <v>0.8</v>
      </c>
      <c r="C979">
        <v>0</v>
      </c>
      <c r="D979">
        <v>0.23201612903225802</v>
      </c>
    </row>
    <row r="980" spans="1:4" x14ac:dyDescent="0.25">
      <c r="A980" t="s">
        <v>1838</v>
      </c>
      <c r="B980">
        <v>0.79900000000000004</v>
      </c>
      <c r="C980">
        <v>0.47699999999999998</v>
      </c>
      <c r="D980">
        <v>0.58624193548387082</v>
      </c>
    </row>
    <row r="981" spans="1:4" x14ac:dyDescent="0.25">
      <c r="A981" t="s">
        <v>1200</v>
      </c>
      <c r="B981">
        <v>0.79691999999999996</v>
      </c>
      <c r="C981">
        <v>0</v>
      </c>
      <c r="D981">
        <v>0.33560104838709681</v>
      </c>
    </row>
    <row r="982" spans="1:4" x14ac:dyDescent="0.25">
      <c r="A982" t="s">
        <v>1258</v>
      </c>
      <c r="B982">
        <v>0.79500000000000004</v>
      </c>
      <c r="C982">
        <v>0</v>
      </c>
      <c r="D982">
        <v>0.66898387096774181</v>
      </c>
    </row>
    <row r="983" spans="1:4" x14ac:dyDescent="0.25">
      <c r="A983" t="s">
        <v>723</v>
      </c>
      <c r="B983">
        <v>0.79</v>
      </c>
      <c r="C983">
        <v>0.436</v>
      </c>
      <c r="D983">
        <v>0.57537096774193541</v>
      </c>
    </row>
    <row r="984" spans="1:4" x14ac:dyDescent="0.25">
      <c r="A984" t="s">
        <v>409</v>
      </c>
      <c r="B984">
        <v>0.79</v>
      </c>
      <c r="C984">
        <v>0.27</v>
      </c>
      <c r="D984">
        <v>0.5152741935483871</v>
      </c>
    </row>
    <row r="985" spans="1:4" x14ac:dyDescent="0.25">
      <c r="A985" t="s">
        <v>2203</v>
      </c>
      <c r="B985">
        <v>0.78700000000000003</v>
      </c>
      <c r="C985">
        <v>0.53800000000000003</v>
      </c>
      <c r="D985">
        <v>0.62479138709677429</v>
      </c>
    </row>
    <row r="986" spans="1:4" x14ac:dyDescent="0.25">
      <c r="A986" t="s">
        <v>1711</v>
      </c>
      <c r="B986">
        <v>0.78049999999999997</v>
      </c>
      <c r="C986">
        <v>0</v>
      </c>
      <c r="D986">
        <v>0.346849193548387</v>
      </c>
    </row>
    <row r="987" spans="1:4" x14ac:dyDescent="0.25">
      <c r="A987" t="s">
        <v>1892</v>
      </c>
      <c r="B987">
        <v>0.78</v>
      </c>
      <c r="C987">
        <v>2.3550000000000001E-2</v>
      </c>
      <c r="D987">
        <v>0.2523971774193548</v>
      </c>
    </row>
    <row r="988" spans="1:4" x14ac:dyDescent="0.25">
      <c r="A988" t="s">
        <v>1633</v>
      </c>
      <c r="B988">
        <v>0.78</v>
      </c>
      <c r="C988">
        <v>0</v>
      </c>
      <c r="D988">
        <v>0.20702903225806452</v>
      </c>
    </row>
    <row r="989" spans="1:4" x14ac:dyDescent="0.25">
      <c r="A989" t="s">
        <v>917</v>
      </c>
      <c r="B989">
        <v>0.77300000000000002</v>
      </c>
      <c r="C989">
        <v>0</v>
      </c>
      <c r="D989">
        <v>0.36246774193548381</v>
      </c>
    </row>
    <row r="990" spans="1:4" x14ac:dyDescent="0.25">
      <c r="A990" t="s">
        <v>39</v>
      </c>
      <c r="B990">
        <v>0.77083299999999999</v>
      </c>
      <c r="C990">
        <v>0</v>
      </c>
      <c r="D990">
        <v>0.5695593951612905</v>
      </c>
    </row>
    <row r="991" spans="1:4" x14ac:dyDescent="0.25">
      <c r="A991" t="s">
        <v>192</v>
      </c>
      <c r="B991">
        <v>0.76900000000000002</v>
      </c>
      <c r="C991">
        <v>0</v>
      </c>
      <c r="D991">
        <v>0.55866129032258049</v>
      </c>
    </row>
    <row r="992" spans="1:4" x14ac:dyDescent="0.25">
      <c r="A992" t="s">
        <v>2391</v>
      </c>
      <c r="B992">
        <v>0.76859999999999995</v>
      </c>
      <c r="C992">
        <v>0.23680000000000001</v>
      </c>
      <c r="D992">
        <v>0.39110483870967744</v>
      </c>
    </row>
    <row r="993" spans="1:4" x14ac:dyDescent="0.25">
      <c r="A993" t="s">
        <v>1770</v>
      </c>
      <c r="B993">
        <v>0.76800000000000002</v>
      </c>
      <c r="C993">
        <v>0</v>
      </c>
      <c r="D993">
        <v>0.14926693548387096</v>
      </c>
    </row>
    <row r="994" spans="1:4" x14ac:dyDescent="0.25">
      <c r="A994" t="s">
        <v>1690</v>
      </c>
      <c r="B994">
        <v>0.76700000000000002</v>
      </c>
      <c r="C994">
        <v>0</v>
      </c>
      <c r="D994">
        <v>0.52009677419354849</v>
      </c>
    </row>
    <row r="995" spans="1:4" x14ac:dyDescent="0.25">
      <c r="A995" t="s">
        <v>1113</v>
      </c>
      <c r="B995">
        <v>0.76300000000000001</v>
      </c>
      <c r="C995">
        <v>0</v>
      </c>
      <c r="D995">
        <v>0.57504032258064519</v>
      </c>
    </row>
    <row r="996" spans="1:4" x14ac:dyDescent="0.25">
      <c r="A996" t="s">
        <v>422</v>
      </c>
      <c r="B996">
        <v>0.76241999999999999</v>
      </c>
      <c r="C996">
        <v>0</v>
      </c>
      <c r="D996">
        <v>0.16266328225806453</v>
      </c>
    </row>
    <row r="997" spans="1:4" x14ac:dyDescent="0.25">
      <c r="A997" t="s">
        <v>1122</v>
      </c>
      <c r="B997">
        <v>0.76200000000000001</v>
      </c>
      <c r="C997">
        <v>0.497</v>
      </c>
      <c r="D997">
        <v>0.60886774193548354</v>
      </c>
    </row>
    <row r="998" spans="1:4" x14ac:dyDescent="0.25">
      <c r="A998" t="s">
        <v>1703</v>
      </c>
      <c r="B998">
        <v>0.76100000000000001</v>
      </c>
      <c r="C998">
        <v>0</v>
      </c>
      <c r="D998">
        <v>0.65448225806451588</v>
      </c>
    </row>
    <row r="999" spans="1:4" x14ac:dyDescent="0.25">
      <c r="A999" t="s">
        <v>2483</v>
      </c>
      <c r="B999">
        <v>0.76</v>
      </c>
      <c r="C999">
        <v>0</v>
      </c>
      <c r="D999">
        <v>0.39175546774193543</v>
      </c>
    </row>
    <row r="1000" spans="1:4" x14ac:dyDescent="0.25">
      <c r="A1000" t="s">
        <v>1895</v>
      </c>
      <c r="B1000">
        <v>0.75493299999999997</v>
      </c>
      <c r="C1000">
        <v>0.45143299999999997</v>
      </c>
      <c r="D1000">
        <v>0.58755728225806469</v>
      </c>
    </row>
    <row r="1001" spans="1:4" x14ac:dyDescent="0.25">
      <c r="A1001" t="s">
        <v>2221</v>
      </c>
      <c r="B1001">
        <v>0.75323300000000004</v>
      </c>
      <c r="C1001">
        <v>0</v>
      </c>
      <c r="D1001">
        <v>0.6027860080645161</v>
      </c>
    </row>
    <row r="1002" spans="1:4" x14ac:dyDescent="0.25">
      <c r="A1002" t="s">
        <v>669</v>
      </c>
      <c r="B1002">
        <v>0.75111000000000006</v>
      </c>
      <c r="C1002">
        <v>0</v>
      </c>
      <c r="D1002">
        <v>0.17542294354838706</v>
      </c>
    </row>
    <row r="1003" spans="1:4" x14ac:dyDescent="0.25">
      <c r="A1003" t="s">
        <v>257</v>
      </c>
      <c r="B1003">
        <v>0.748</v>
      </c>
      <c r="C1003">
        <v>0</v>
      </c>
      <c r="D1003">
        <v>0.56154032258064512</v>
      </c>
    </row>
    <row r="1004" spans="1:4" x14ac:dyDescent="0.25">
      <c r="A1004" t="s">
        <v>977</v>
      </c>
      <c r="B1004">
        <v>0.747</v>
      </c>
      <c r="C1004">
        <v>0</v>
      </c>
      <c r="D1004">
        <v>0.41173387096774183</v>
      </c>
    </row>
    <row r="1005" spans="1:4" x14ac:dyDescent="0.25">
      <c r="A1005" t="s">
        <v>1898</v>
      </c>
      <c r="B1005">
        <v>0.746</v>
      </c>
      <c r="C1005">
        <v>0.50896699999999995</v>
      </c>
      <c r="D1005">
        <v>0.59994921774193577</v>
      </c>
    </row>
    <row r="1006" spans="1:4" x14ac:dyDescent="0.25">
      <c r="A1006" t="s">
        <v>554</v>
      </c>
      <c r="B1006">
        <v>0.74</v>
      </c>
      <c r="C1006">
        <v>0</v>
      </c>
      <c r="D1006">
        <v>0.33347580645161295</v>
      </c>
    </row>
    <row r="1007" spans="1:4" x14ac:dyDescent="0.25">
      <c r="A1007" t="s">
        <v>2443</v>
      </c>
      <c r="B1007">
        <v>0.73599999999999999</v>
      </c>
      <c r="C1007">
        <v>0.53900000000000003</v>
      </c>
      <c r="D1007">
        <v>0.6267419354838708</v>
      </c>
    </row>
    <row r="1008" spans="1:4" x14ac:dyDescent="0.25">
      <c r="A1008" t="s">
        <v>2702</v>
      </c>
      <c r="B1008">
        <v>0.73499999999999999</v>
      </c>
      <c r="C1008">
        <v>0</v>
      </c>
      <c r="D1008">
        <v>0.45027419354838699</v>
      </c>
    </row>
    <row r="1009" spans="1:4" x14ac:dyDescent="0.25">
      <c r="A1009" t="s">
        <v>361</v>
      </c>
      <c r="B1009">
        <v>0.73399999999999999</v>
      </c>
      <c r="C1009">
        <v>0</v>
      </c>
      <c r="D1009">
        <v>0.4487661290322581</v>
      </c>
    </row>
    <row r="1010" spans="1:4" x14ac:dyDescent="0.25">
      <c r="A1010" t="s">
        <v>666</v>
      </c>
      <c r="B1010">
        <v>0.73329999999999995</v>
      </c>
      <c r="C1010">
        <v>0</v>
      </c>
      <c r="D1010">
        <v>0.45154032258064514</v>
      </c>
    </row>
    <row r="1011" spans="1:4" x14ac:dyDescent="0.25">
      <c r="A1011" t="s">
        <v>2900</v>
      </c>
      <c r="B1011">
        <v>0.73299999999999998</v>
      </c>
      <c r="C1011">
        <v>0.35199999999999998</v>
      </c>
      <c r="D1011">
        <v>0.53531451612903225</v>
      </c>
    </row>
    <row r="1012" spans="1:4" x14ac:dyDescent="0.25">
      <c r="A1012" t="s">
        <v>2397</v>
      </c>
      <c r="B1012">
        <v>0.73175199999999996</v>
      </c>
      <c r="C1012">
        <v>0.156807</v>
      </c>
      <c r="D1012">
        <v>0.41285057258064511</v>
      </c>
    </row>
    <row r="1013" spans="1:4" x14ac:dyDescent="0.25">
      <c r="A1013" t="s">
        <v>550</v>
      </c>
      <c r="B1013">
        <v>0.73109999999999997</v>
      </c>
      <c r="C1013">
        <v>0</v>
      </c>
      <c r="D1013">
        <v>0.40126129032258057</v>
      </c>
    </row>
    <row r="1014" spans="1:4" x14ac:dyDescent="0.25">
      <c r="A1014" t="s">
        <v>1058</v>
      </c>
      <c r="B1014">
        <v>0.73</v>
      </c>
      <c r="C1014">
        <v>0</v>
      </c>
      <c r="D1014">
        <v>0.20736290322580644</v>
      </c>
    </row>
    <row r="1015" spans="1:4" x14ac:dyDescent="0.25">
      <c r="A1015" t="s">
        <v>1238</v>
      </c>
      <c r="B1015">
        <v>0.72899999999999998</v>
      </c>
      <c r="C1015">
        <v>0.248</v>
      </c>
      <c r="D1015">
        <v>0.45487741935483877</v>
      </c>
    </row>
    <row r="1016" spans="1:4" x14ac:dyDescent="0.25">
      <c r="A1016" t="s">
        <v>211</v>
      </c>
      <c r="B1016">
        <v>0.72899999999999998</v>
      </c>
      <c r="C1016">
        <v>0</v>
      </c>
      <c r="D1016">
        <v>0.36564516129032254</v>
      </c>
    </row>
    <row r="1017" spans="1:4" x14ac:dyDescent="0.25">
      <c r="A1017" t="s">
        <v>1141</v>
      </c>
      <c r="B1017">
        <v>0.72799999999999998</v>
      </c>
      <c r="C1017">
        <v>0</v>
      </c>
      <c r="D1017">
        <v>0.59227419354838717</v>
      </c>
    </row>
    <row r="1018" spans="1:4" x14ac:dyDescent="0.25">
      <c r="A1018" t="s">
        <v>2402</v>
      </c>
      <c r="B1018">
        <v>0.72099999999999997</v>
      </c>
      <c r="C1018">
        <v>0</v>
      </c>
      <c r="D1018">
        <v>0.34054838709677421</v>
      </c>
    </row>
    <row r="1019" spans="1:4" x14ac:dyDescent="0.25">
      <c r="A1019" t="s">
        <v>364</v>
      </c>
      <c r="B1019">
        <v>0.72099999999999997</v>
      </c>
      <c r="C1019">
        <v>0</v>
      </c>
      <c r="D1019">
        <v>0.45067741935483868</v>
      </c>
    </row>
    <row r="1020" spans="1:4" x14ac:dyDescent="0.25">
      <c r="A1020" t="s">
        <v>1530</v>
      </c>
      <c r="B1020">
        <v>0.72060000000000002</v>
      </c>
      <c r="C1020">
        <v>0</v>
      </c>
      <c r="D1020">
        <v>0.46536612903225805</v>
      </c>
    </row>
    <row r="1021" spans="1:4" x14ac:dyDescent="0.25">
      <c r="A1021" t="s">
        <v>754</v>
      </c>
      <c r="B1021">
        <v>0.72</v>
      </c>
      <c r="C1021">
        <v>0</v>
      </c>
      <c r="D1021">
        <v>0.6291935483870964</v>
      </c>
    </row>
    <row r="1022" spans="1:4" x14ac:dyDescent="0.25">
      <c r="A1022" t="s">
        <v>1550</v>
      </c>
      <c r="B1022">
        <v>0.72</v>
      </c>
      <c r="C1022">
        <v>0</v>
      </c>
      <c r="D1022">
        <v>0.70838709677419298</v>
      </c>
    </row>
    <row r="1023" spans="1:4" x14ac:dyDescent="0.25">
      <c r="A1023" t="s">
        <v>1639</v>
      </c>
      <c r="B1023">
        <v>0.72</v>
      </c>
      <c r="C1023">
        <v>0</v>
      </c>
      <c r="D1023">
        <v>0.20598387096774198</v>
      </c>
    </row>
    <row r="1024" spans="1:4" x14ac:dyDescent="0.25">
      <c r="A1024" t="s">
        <v>2182</v>
      </c>
      <c r="B1024">
        <v>0.72</v>
      </c>
      <c r="C1024">
        <v>0</v>
      </c>
      <c r="D1024">
        <v>0.29196774193548397</v>
      </c>
    </row>
    <row r="1025" spans="1:4" x14ac:dyDescent="0.25">
      <c r="A1025" t="s">
        <v>2409</v>
      </c>
      <c r="B1025">
        <v>0.71841900000000003</v>
      </c>
      <c r="C1025">
        <v>0</v>
      </c>
      <c r="D1025">
        <v>0.59016679838709674</v>
      </c>
    </row>
    <row r="1026" spans="1:4" x14ac:dyDescent="0.25">
      <c r="A1026" t="s">
        <v>103</v>
      </c>
      <c r="B1026">
        <v>0.71699999999999997</v>
      </c>
      <c r="C1026">
        <v>0.49099999999999999</v>
      </c>
      <c r="D1026">
        <v>0.60097580645161319</v>
      </c>
    </row>
    <row r="1027" spans="1:4" x14ac:dyDescent="0.25">
      <c r="A1027" t="s">
        <v>2207</v>
      </c>
      <c r="B1027">
        <v>0.71399999999999997</v>
      </c>
      <c r="C1027">
        <v>0</v>
      </c>
      <c r="D1027">
        <v>0.39540322580645165</v>
      </c>
    </row>
    <row r="1028" spans="1:4" x14ac:dyDescent="0.25">
      <c r="A1028" t="s">
        <v>2817</v>
      </c>
      <c r="B1028">
        <v>0.71299999999999997</v>
      </c>
      <c r="C1028">
        <v>0.374</v>
      </c>
      <c r="D1028">
        <v>0.50583870967741928</v>
      </c>
    </row>
    <row r="1029" spans="1:4" x14ac:dyDescent="0.25">
      <c r="A1029" t="s">
        <v>340</v>
      </c>
      <c r="B1029">
        <v>0.71299999999999997</v>
      </c>
      <c r="C1029">
        <v>0</v>
      </c>
      <c r="D1029">
        <v>0.52747580645161285</v>
      </c>
    </row>
    <row r="1030" spans="1:4" x14ac:dyDescent="0.25">
      <c r="A1030" t="s">
        <v>1852</v>
      </c>
      <c r="B1030">
        <v>0.71199999999999997</v>
      </c>
      <c r="C1030">
        <v>0.40899999999999997</v>
      </c>
      <c r="D1030">
        <v>0.52576612903225828</v>
      </c>
    </row>
    <row r="1031" spans="1:4" x14ac:dyDescent="0.25">
      <c r="A1031" t="s">
        <v>1535</v>
      </c>
      <c r="B1031">
        <v>0.71099999999999997</v>
      </c>
      <c r="C1031">
        <v>0</v>
      </c>
      <c r="D1031">
        <v>0.58404032258064531</v>
      </c>
    </row>
    <row r="1032" spans="1:4" x14ac:dyDescent="0.25">
      <c r="A1032" t="s">
        <v>2026</v>
      </c>
      <c r="B1032">
        <v>0.71099999999999997</v>
      </c>
      <c r="C1032">
        <v>0</v>
      </c>
      <c r="D1032">
        <v>0.54516935483870976</v>
      </c>
    </row>
    <row r="1033" spans="1:4" x14ac:dyDescent="0.25">
      <c r="A1033" t="s">
        <v>1950</v>
      </c>
      <c r="B1033">
        <v>0.71</v>
      </c>
      <c r="C1033">
        <v>0</v>
      </c>
      <c r="D1033">
        <v>0.10450161290322581</v>
      </c>
    </row>
    <row r="1034" spans="1:4" x14ac:dyDescent="0.25">
      <c r="A1034" t="s">
        <v>551</v>
      </c>
      <c r="B1034">
        <v>0.71</v>
      </c>
      <c r="C1034">
        <v>0</v>
      </c>
      <c r="D1034">
        <v>0.45554838709677409</v>
      </c>
    </row>
    <row r="1035" spans="1:4" x14ac:dyDescent="0.25">
      <c r="A1035" t="s">
        <v>1541</v>
      </c>
      <c r="B1035">
        <v>0.70899999999999996</v>
      </c>
      <c r="C1035">
        <v>0.01</v>
      </c>
      <c r="D1035">
        <v>0.17813709677419351</v>
      </c>
    </row>
    <row r="1036" spans="1:4" x14ac:dyDescent="0.25">
      <c r="A1036" t="s">
        <v>2237</v>
      </c>
      <c r="B1036">
        <v>0.70799999999999996</v>
      </c>
      <c r="C1036">
        <v>0.40500000000000003</v>
      </c>
      <c r="D1036">
        <v>0.55198672580645158</v>
      </c>
    </row>
    <row r="1037" spans="1:4" x14ac:dyDescent="0.25">
      <c r="A1037" t="s">
        <v>1591</v>
      </c>
      <c r="B1037">
        <v>0.707677</v>
      </c>
      <c r="C1037">
        <v>0.459034</v>
      </c>
      <c r="D1037">
        <v>0.57347645967741934</v>
      </c>
    </row>
    <row r="1038" spans="1:4" x14ac:dyDescent="0.25">
      <c r="A1038" t="s">
        <v>800</v>
      </c>
      <c r="B1038">
        <v>0.7</v>
      </c>
      <c r="C1038">
        <v>0</v>
      </c>
      <c r="D1038">
        <v>0.24734919354838705</v>
      </c>
    </row>
    <row r="1039" spans="1:4" x14ac:dyDescent="0.25">
      <c r="A1039" t="s">
        <v>1861</v>
      </c>
      <c r="B1039">
        <v>0.69799999999999995</v>
      </c>
      <c r="C1039">
        <v>0</v>
      </c>
      <c r="D1039">
        <v>0.53170161290322593</v>
      </c>
    </row>
    <row r="1040" spans="1:4" x14ac:dyDescent="0.25">
      <c r="A1040" t="s">
        <v>203</v>
      </c>
      <c r="B1040">
        <v>0.69499999999999995</v>
      </c>
      <c r="C1040">
        <v>0</v>
      </c>
      <c r="D1040">
        <v>0.3827016129032258</v>
      </c>
    </row>
    <row r="1041" spans="1:4" x14ac:dyDescent="0.25">
      <c r="A1041" t="s">
        <v>1863</v>
      </c>
      <c r="B1041">
        <v>0.69299999999999995</v>
      </c>
      <c r="C1041">
        <v>0</v>
      </c>
      <c r="D1041">
        <v>0.53121774193548388</v>
      </c>
    </row>
    <row r="1042" spans="1:4" x14ac:dyDescent="0.25">
      <c r="A1042" t="s">
        <v>2108</v>
      </c>
      <c r="B1042">
        <v>0.69299999999999995</v>
      </c>
      <c r="C1042">
        <v>0</v>
      </c>
      <c r="D1042">
        <v>0.56515322580645166</v>
      </c>
    </row>
    <row r="1043" spans="1:4" x14ac:dyDescent="0.25">
      <c r="A1043" t="s">
        <v>605</v>
      </c>
      <c r="B1043">
        <v>0.69099999999999995</v>
      </c>
      <c r="C1043">
        <v>0</v>
      </c>
      <c r="D1043">
        <v>0.42510967741935474</v>
      </c>
    </row>
    <row r="1044" spans="1:4" x14ac:dyDescent="0.25">
      <c r="A1044" t="s">
        <v>2089</v>
      </c>
      <c r="B1044">
        <v>0.69</v>
      </c>
      <c r="C1044">
        <v>0</v>
      </c>
      <c r="D1044">
        <v>0.22315565322580644</v>
      </c>
    </row>
    <row r="1045" spans="1:4" x14ac:dyDescent="0.25">
      <c r="A1045" t="s">
        <v>1609</v>
      </c>
      <c r="B1045">
        <v>0.68799999999999994</v>
      </c>
      <c r="C1045">
        <v>0</v>
      </c>
      <c r="D1045">
        <v>0.37469354838709679</v>
      </c>
    </row>
    <row r="1046" spans="1:4" x14ac:dyDescent="0.25">
      <c r="A1046" t="s">
        <v>2424</v>
      </c>
      <c r="B1046">
        <v>0.68700000000000006</v>
      </c>
      <c r="C1046">
        <v>0</v>
      </c>
      <c r="D1046">
        <v>0.56780645161290333</v>
      </c>
    </row>
    <row r="1047" spans="1:4" x14ac:dyDescent="0.25">
      <c r="A1047" t="s">
        <v>989</v>
      </c>
      <c r="B1047">
        <v>0.68700000000000006</v>
      </c>
      <c r="C1047">
        <v>0.23499999999999999</v>
      </c>
      <c r="D1047">
        <v>0.46703225806451626</v>
      </c>
    </row>
    <row r="1048" spans="1:4" x14ac:dyDescent="0.25">
      <c r="A1048" t="s">
        <v>854</v>
      </c>
      <c r="B1048">
        <v>0.68610000000000004</v>
      </c>
      <c r="C1048">
        <v>0</v>
      </c>
      <c r="D1048">
        <v>0.1655709677419355</v>
      </c>
    </row>
    <row r="1049" spans="1:4" x14ac:dyDescent="0.25">
      <c r="A1049" t="s">
        <v>1472</v>
      </c>
      <c r="B1049">
        <v>0.68500000000000005</v>
      </c>
      <c r="C1049">
        <v>0</v>
      </c>
      <c r="D1049">
        <v>0.47843548387096785</v>
      </c>
    </row>
    <row r="1050" spans="1:4" x14ac:dyDescent="0.25">
      <c r="A1050" t="s">
        <v>365</v>
      </c>
      <c r="B1050">
        <v>0.68254199999999998</v>
      </c>
      <c r="C1050">
        <v>0</v>
      </c>
      <c r="D1050">
        <v>0.43151708064516137</v>
      </c>
    </row>
    <row r="1051" spans="1:4" x14ac:dyDescent="0.25">
      <c r="A1051" t="s">
        <v>1043</v>
      </c>
      <c r="B1051">
        <v>0.68</v>
      </c>
      <c r="C1051">
        <v>0</v>
      </c>
      <c r="D1051">
        <v>0.2612016129032258</v>
      </c>
    </row>
    <row r="1052" spans="1:4" x14ac:dyDescent="0.25">
      <c r="A1052" t="s">
        <v>1167</v>
      </c>
      <c r="B1052">
        <v>0.67500000000000004</v>
      </c>
      <c r="C1052">
        <v>0</v>
      </c>
      <c r="D1052">
        <v>0.240766129032258</v>
      </c>
    </row>
    <row r="1053" spans="1:4" x14ac:dyDescent="0.25">
      <c r="A1053" t="s">
        <v>2414</v>
      </c>
      <c r="B1053">
        <v>0.67500000000000004</v>
      </c>
      <c r="C1053">
        <v>0</v>
      </c>
      <c r="D1053">
        <v>0.4517983870967745</v>
      </c>
    </row>
    <row r="1054" spans="1:4" x14ac:dyDescent="0.25">
      <c r="A1054" t="s">
        <v>2049</v>
      </c>
      <c r="B1054">
        <v>0.67300000000000004</v>
      </c>
      <c r="C1054">
        <v>0</v>
      </c>
      <c r="D1054">
        <v>0.43152419354838728</v>
      </c>
    </row>
    <row r="1055" spans="1:4" x14ac:dyDescent="0.25">
      <c r="A1055" t="s">
        <v>1814</v>
      </c>
      <c r="B1055">
        <v>0.67</v>
      </c>
      <c r="C1055">
        <v>0</v>
      </c>
      <c r="D1055">
        <v>0.26388373387096781</v>
      </c>
    </row>
    <row r="1056" spans="1:4" x14ac:dyDescent="0.25">
      <c r="A1056" t="s">
        <v>1165</v>
      </c>
      <c r="B1056">
        <v>0.67</v>
      </c>
      <c r="C1056">
        <v>0</v>
      </c>
      <c r="D1056">
        <v>0.3702258064516129</v>
      </c>
    </row>
    <row r="1057" spans="1:4" x14ac:dyDescent="0.25">
      <c r="A1057" t="s">
        <v>562</v>
      </c>
      <c r="B1057">
        <v>0.67</v>
      </c>
      <c r="C1057">
        <v>0.11899999999999999</v>
      </c>
      <c r="D1057">
        <v>0.3886832903225807</v>
      </c>
    </row>
    <row r="1058" spans="1:4" x14ac:dyDescent="0.25">
      <c r="A1058" t="s">
        <v>787</v>
      </c>
      <c r="B1058">
        <v>0.66990000000000005</v>
      </c>
      <c r="C1058">
        <v>0.14033300000000001</v>
      </c>
      <c r="D1058">
        <v>0.41335912903225819</v>
      </c>
    </row>
    <row r="1059" spans="1:4" x14ac:dyDescent="0.25">
      <c r="A1059" t="s">
        <v>1372</v>
      </c>
      <c r="B1059">
        <v>0.66900000000000004</v>
      </c>
      <c r="C1059">
        <v>0.16300000000000001</v>
      </c>
      <c r="D1059">
        <v>0.35372580645161295</v>
      </c>
    </row>
    <row r="1060" spans="1:4" x14ac:dyDescent="0.25">
      <c r="A1060" t="s">
        <v>1999</v>
      </c>
      <c r="B1060">
        <v>0.66873300000000002</v>
      </c>
      <c r="C1060">
        <v>0</v>
      </c>
      <c r="D1060">
        <v>0.55098362903225806</v>
      </c>
    </row>
    <row r="1061" spans="1:4" x14ac:dyDescent="0.25">
      <c r="A1061" t="s">
        <v>2785</v>
      </c>
      <c r="B1061">
        <v>0.66400000000000003</v>
      </c>
      <c r="C1061">
        <v>0</v>
      </c>
      <c r="D1061">
        <v>0.42234677419354838</v>
      </c>
    </row>
    <row r="1062" spans="1:4" x14ac:dyDescent="0.25">
      <c r="A1062" t="s">
        <v>505</v>
      </c>
      <c r="B1062">
        <v>0.66100000000000003</v>
      </c>
      <c r="C1062">
        <v>0</v>
      </c>
      <c r="D1062">
        <v>0.45945161290322589</v>
      </c>
    </row>
    <row r="1063" spans="1:4" x14ac:dyDescent="0.25">
      <c r="A1063" t="s">
        <v>1619</v>
      </c>
      <c r="B1063">
        <v>0.66</v>
      </c>
      <c r="C1063">
        <v>0</v>
      </c>
      <c r="D1063">
        <v>0.37629032258064526</v>
      </c>
    </row>
    <row r="1064" spans="1:4" x14ac:dyDescent="0.25">
      <c r="A1064" t="s">
        <v>1948</v>
      </c>
      <c r="B1064">
        <v>0.66</v>
      </c>
      <c r="C1064">
        <v>0</v>
      </c>
      <c r="D1064">
        <v>0.12194516129032258</v>
      </c>
    </row>
    <row r="1065" spans="1:4" x14ac:dyDescent="0.25">
      <c r="A1065" t="s">
        <v>1079</v>
      </c>
      <c r="B1065">
        <v>0.66</v>
      </c>
      <c r="C1065">
        <v>0</v>
      </c>
      <c r="D1065">
        <v>0.12206451612903227</v>
      </c>
    </row>
    <row r="1066" spans="1:4" x14ac:dyDescent="0.25">
      <c r="A1066" t="s">
        <v>2225</v>
      </c>
      <c r="B1066">
        <v>0.66</v>
      </c>
      <c r="C1066">
        <v>0</v>
      </c>
      <c r="D1066">
        <v>0.63643548387096727</v>
      </c>
    </row>
    <row r="1067" spans="1:4" x14ac:dyDescent="0.25">
      <c r="A1067" t="s">
        <v>921</v>
      </c>
      <c r="B1067">
        <v>0.65961499999999995</v>
      </c>
      <c r="C1067">
        <v>0</v>
      </c>
      <c r="D1067">
        <v>0.34600072580645158</v>
      </c>
    </row>
    <row r="1068" spans="1:4" x14ac:dyDescent="0.25">
      <c r="A1068" t="s">
        <v>2076</v>
      </c>
      <c r="B1068">
        <v>0.65700000000000003</v>
      </c>
      <c r="C1068">
        <v>0</v>
      </c>
      <c r="D1068">
        <v>0.53066935483870992</v>
      </c>
    </row>
    <row r="1069" spans="1:4" x14ac:dyDescent="0.25">
      <c r="A1069" t="s">
        <v>2092</v>
      </c>
      <c r="B1069">
        <v>0.65700000000000003</v>
      </c>
      <c r="C1069">
        <v>0.51</v>
      </c>
      <c r="D1069">
        <v>0.57484677419354824</v>
      </c>
    </row>
    <row r="1070" spans="1:4" x14ac:dyDescent="0.25">
      <c r="A1070" t="s">
        <v>2634</v>
      </c>
      <c r="B1070">
        <v>0.65500000000000003</v>
      </c>
      <c r="C1070">
        <v>0</v>
      </c>
      <c r="D1070">
        <v>0.44271774193548391</v>
      </c>
    </row>
    <row r="1071" spans="1:4" x14ac:dyDescent="0.25">
      <c r="A1071" t="s">
        <v>1835</v>
      </c>
      <c r="B1071">
        <v>0.65400000000000003</v>
      </c>
      <c r="C1071">
        <v>0</v>
      </c>
      <c r="D1071">
        <v>0.37802419354838707</v>
      </c>
    </row>
    <row r="1072" spans="1:4" x14ac:dyDescent="0.25">
      <c r="A1072" t="s">
        <v>357</v>
      </c>
      <c r="B1072">
        <v>0.65400000000000003</v>
      </c>
      <c r="C1072">
        <v>0</v>
      </c>
      <c r="D1072">
        <v>0.50206290322580638</v>
      </c>
    </row>
    <row r="1073" spans="1:4" x14ac:dyDescent="0.25">
      <c r="A1073" t="s">
        <v>2083</v>
      </c>
      <c r="B1073">
        <v>0.65300000000000002</v>
      </c>
      <c r="C1073">
        <v>0</v>
      </c>
      <c r="D1073">
        <v>0.38360483870967754</v>
      </c>
    </row>
    <row r="1074" spans="1:4" x14ac:dyDescent="0.25">
      <c r="A1074" t="s">
        <v>2683</v>
      </c>
      <c r="B1074">
        <v>0.65</v>
      </c>
      <c r="C1074">
        <v>0.23</v>
      </c>
      <c r="D1074">
        <v>0.38798387096774206</v>
      </c>
    </row>
    <row r="1075" spans="1:4" x14ac:dyDescent="0.25">
      <c r="A1075" t="s">
        <v>444</v>
      </c>
      <c r="B1075">
        <v>0.65</v>
      </c>
      <c r="C1075">
        <v>0.23499999999999999</v>
      </c>
      <c r="D1075">
        <v>0.45006338709677413</v>
      </c>
    </row>
    <row r="1076" spans="1:4" x14ac:dyDescent="0.25">
      <c r="A1076" t="s">
        <v>1954</v>
      </c>
      <c r="B1076">
        <v>0.65</v>
      </c>
      <c r="C1076">
        <v>0</v>
      </c>
      <c r="D1076">
        <v>9.6072580645161304E-2</v>
      </c>
    </row>
    <row r="1077" spans="1:4" x14ac:dyDescent="0.25">
      <c r="A1077" t="s">
        <v>920</v>
      </c>
      <c r="B1077">
        <v>0.65</v>
      </c>
      <c r="C1077">
        <v>0</v>
      </c>
      <c r="D1077">
        <v>0.34962903225806452</v>
      </c>
    </row>
    <row r="1078" spans="1:4" x14ac:dyDescent="0.25">
      <c r="A1078" t="s">
        <v>489</v>
      </c>
      <c r="B1078">
        <v>0.64900000000000002</v>
      </c>
      <c r="C1078">
        <v>0.33700000000000002</v>
      </c>
      <c r="D1078">
        <v>0.43781935483870976</v>
      </c>
    </row>
    <row r="1079" spans="1:4" x14ac:dyDescent="0.25">
      <c r="A1079" t="s">
        <v>54</v>
      </c>
      <c r="B1079">
        <v>0.64800000000000002</v>
      </c>
      <c r="C1079">
        <v>6.1559999999999997E-2</v>
      </c>
      <c r="D1079">
        <v>0.17160754838709671</v>
      </c>
    </row>
    <row r="1080" spans="1:4" x14ac:dyDescent="0.25">
      <c r="A1080" t="s">
        <v>66</v>
      </c>
      <c r="B1080">
        <v>0.64700000000000002</v>
      </c>
      <c r="C1080">
        <v>0.19400000000000001</v>
      </c>
      <c r="D1080">
        <v>0.36576612903225819</v>
      </c>
    </row>
    <row r="1081" spans="1:4" x14ac:dyDescent="0.25">
      <c r="A1081" t="s">
        <v>1592</v>
      </c>
      <c r="B1081">
        <v>0.64689362962962971</v>
      </c>
      <c r="C1081">
        <v>0</v>
      </c>
      <c r="D1081">
        <v>0.42752379838709692</v>
      </c>
    </row>
    <row r="1082" spans="1:4" x14ac:dyDescent="0.25">
      <c r="A1082" t="s">
        <v>133</v>
      </c>
      <c r="B1082">
        <v>0.64654800000000001</v>
      </c>
      <c r="C1082">
        <v>0</v>
      </c>
      <c r="D1082">
        <v>0.44203331451612921</v>
      </c>
    </row>
    <row r="1083" spans="1:4" x14ac:dyDescent="0.25">
      <c r="A1083" t="s">
        <v>1867</v>
      </c>
      <c r="B1083">
        <v>0.64600000000000002</v>
      </c>
      <c r="C1083">
        <v>0</v>
      </c>
      <c r="D1083">
        <v>0.47369354838709676</v>
      </c>
    </row>
    <row r="1084" spans="1:4" x14ac:dyDescent="0.25">
      <c r="A1084" t="s">
        <v>1136</v>
      </c>
      <c r="B1084">
        <v>0.64500000000000002</v>
      </c>
      <c r="C1084">
        <v>0</v>
      </c>
      <c r="D1084">
        <v>0.53791129032258067</v>
      </c>
    </row>
    <row r="1085" spans="1:4" x14ac:dyDescent="0.25">
      <c r="A1085" t="s">
        <v>285</v>
      </c>
      <c r="B1085">
        <v>0.64400000000000002</v>
      </c>
      <c r="C1085">
        <v>0</v>
      </c>
      <c r="D1085">
        <v>0.28244354838709673</v>
      </c>
    </row>
    <row r="1086" spans="1:4" x14ac:dyDescent="0.25">
      <c r="A1086" t="s">
        <v>726</v>
      </c>
      <c r="B1086">
        <v>0.64300000000000002</v>
      </c>
      <c r="C1086">
        <v>0</v>
      </c>
      <c r="D1086">
        <v>0.44083870967741928</v>
      </c>
    </row>
    <row r="1087" spans="1:4" x14ac:dyDescent="0.25">
      <c r="A1087" t="s">
        <v>367</v>
      </c>
      <c r="B1087">
        <v>0.64200000000000002</v>
      </c>
      <c r="C1087">
        <v>0</v>
      </c>
      <c r="D1087">
        <v>0.47293548387096762</v>
      </c>
    </row>
    <row r="1088" spans="1:4" x14ac:dyDescent="0.25">
      <c r="A1088" t="s">
        <v>1740</v>
      </c>
      <c r="B1088">
        <v>0.64</v>
      </c>
      <c r="C1088">
        <v>0</v>
      </c>
      <c r="D1088">
        <v>0.26314516129032256</v>
      </c>
    </row>
    <row r="1089" spans="1:4" x14ac:dyDescent="0.25">
      <c r="A1089" t="s">
        <v>1505</v>
      </c>
      <c r="B1089">
        <v>0.64</v>
      </c>
      <c r="C1089">
        <v>0</v>
      </c>
      <c r="D1089">
        <v>9.9224999999999952E-2</v>
      </c>
    </row>
    <row r="1090" spans="1:4" x14ac:dyDescent="0.25">
      <c r="A1090" t="s">
        <v>543</v>
      </c>
      <c r="B1090">
        <v>0.64</v>
      </c>
      <c r="C1090">
        <v>0.31</v>
      </c>
      <c r="D1090">
        <v>0.4828870967741935</v>
      </c>
    </row>
    <row r="1091" spans="1:4" x14ac:dyDescent="0.25">
      <c r="A1091" t="s">
        <v>1229</v>
      </c>
      <c r="B1091">
        <v>0.64</v>
      </c>
      <c r="C1091">
        <v>0</v>
      </c>
      <c r="D1091">
        <v>0.37199346774193548</v>
      </c>
    </row>
    <row r="1092" spans="1:4" x14ac:dyDescent="0.25">
      <c r="A1092" t="s">
        <v>573</v>
      </c>
      <c r="B1092">
        <v>0.63870000000000005</v>
      </c>
      <c r="C1092">
        <v>0</v>
      </c>
      <c r="D1092">
        <v>0.31566935483870961</v>
      </c>
    </row>
    <row r="1093" spans="1:4" x14ac:dyDescent="0.25">
      <c r="A1093" t="s">
        <v>301</v>
      </c>
      <c r="B1093">
        <v>0.63800000000000001</v>
      </c>
      <c r="C1093">
        <v>0</v>
      </c>
      <c r="D1093">
        <v>0.43641935483870975</v>
      </c>
    </row>
    <row r="1094" spans="1:4" x14ac:dyDescent="0.25">
      <c r="A1094" t="s">
        <v>1850</v>
      </c>
      <c r="B1094">
        <v>0.63700000000000001</v>
      </c>
      <c r="C1094">
        <v>0</v>
      </c>
      <c r="D1094">
        <v>0.50432741935483871</v>
      </c>
    </row>
    <row r="1095" spans="1:4" x14ac:dyDescent="0.25">
      <c r="A1095" t="s">
        <v>2419</v>
      </c>
      <c r="B1095">
        <v>0.63700000000000001</v>
      </c>
      <c r="C1095">
        <v>0.27500000000000002</v>
      </c>
      <c r="D1095">
        <v>0.45672758064516128</v>
      </c>
    </row>
    <row r="1096" spans="1:4" x14ac:dyDescent="0.25">
      <c r="A1096" t="s">
        <v>197</v>
      </c>
      <c r="B1096">
        <v>0.63200000000000001</v>
      </c>
      <c r="C1096">
        <v>0</v>
      </c>
      <c r="D1096">
        <v>0.52023483870967735</v>
      </c>
    </row>
    <row r="1097" spans="1:4" x14ac:dyDescent="0.25">
      <c r="A1097" t="s">
        <v>998</v>
      </c>
      <c r="B1097">
        <v>0.63060000000000005</v>
      </c>
      <c r="C1097">
        <v>0</v>
      </c>
      <c r="D1097">
        <v>0.33174838709677418</v>
      </c>
    </row>
    <row r="1098" spans="1:4" x14ac:dyDescent="0.25">
      <c r="A1098" t="s">
        <v>237</v>
      </c>
      <c r="B1098">
        <v>0.627</v>
      </c>
      <c r="C1098">
        <v>7.9000000000000001E-2</v>
      </c>
      <c r="D1098">
        <v>0.28388709677419366</v>
      </c>
    </row>
    <row r="1099" spans="1:4" x14ac:dyDescent="0.25">
      <c r="A1099" t="s">
        <v>240</v>
      </c>
      <c r="B1099">
        <v>0.625</v>
      </c>
      <c r="C1099">
        <v>0</v>
      </c>
      <c r="D1099">
        <v>0.34365322580645158</v>
      </c>
    </row>
    <row r="1100" spans="1:4" x14ac:dyDescent="0.25">
      <c r="A1100" t="s">
        <v>548</v>
      </c>
      <c r="B1100">
        <v>0.624</v>
      </c>
      <c r="C1100">
        <v>0</v>
      </c>
      <c r="D1100">
        <v>0.475741935483871</v>
      </c>
    </row>
    <row r="1101" spans="1:4" x14ac:dyDescent="0.25">
      <c r="A1101" t="s">
        <v>1683</v>
      </c>
      <c r="B1101">
        <v>0.62339999999999995</v>
      </c>
      <c r="C1101">
        <v>0</v>
      </c>
      <c r="D1101">
        <v>0.23307580645161294</v>
      </c>
    </row>
    <row r="1102" spans="1:4" x14ac:dyDescent="0.25">
      <c r="A1102" t="s">
        <v>1284</v>
      </c>
      <c r="B1102">
        <v>0.622</v>
      </c>
      <c r="C1102">
        <v>0</v>
      </c>
      <c r="D1102">
        <v>0.41086693548387099</v>
      </c>
    </row>
    <row r="1103" spans="1:4" x14ac:dyDescent="0.25">
      <c r="A1103" t="s">
        <v>1701</v>
      </c>
      <c r="B1103">
        <v>0.62187099999999995</v>
      </c>
      <c r="C1103">
        <v>0</v>
      </c>
      <c r="D1103">
        <v>0.51423529838709681</v>
      </c>
    </row>
    <row r="1104" spans="1:4" x14ac:dyDescent="0.25">
      <c r="A1104" t="s">
        <v>388</v>
      </c>
      <c r="B1104">
        <v>0.621591</v>
      </c>
      <c r="C1104">
        <v>0.35269699999999998</v>
      </c>
      <c r="D1104">
        <v>0.47323022580645169</v>
      </c>
    </row>
    <row r="1105" spans="1:4" x14ac:dyDescent="0.25">
      <c r="A1105" t="s">
        <v>1060</v>
      </c>
      <c r="B1105">
        <v>0.62</v>
      </c>
      <c r="C1105">
        <v>0</v>
      </c>
      <c r="D1105">
        <v>0.18697580645161288</v>
      </c>
    </row>
    <row r="1106" spans="1:4" x14ac:dyDescent="0.25">
      <c r="A1106" t="s">
        <v>1827</v>
      </c>
      <c r="B1106">
        <v>0.62</v>
      </c>
      <c r="C1106">
        <v>0</v>
      </c>
      <c r="D1106">
        <v>0.37898387096774189</v>
      </c>
    </row>
    <row r="1107" spans="1:4" x14ac:dyDescent="0.25">
      <c r="A1107" t="s">
        <v>1912</v>
      </c>
      <c r="B1107">
        <v>0.62</v>
      </c>
      <c r="C1107">
        <v>0</v>
      </c>
      <c r="D1107">
        <v>0.42175806451612907</v>
      </c>
    </row>
    <row r="1108" spans="1:4" x14ac:dyDescent="0.25">
      <c r="A1108" t="s">
        <v>1987</v>
      </c>
      <c r="B1108">
        <v>0.62</v>
      </c>
      <c r="C1108">
        <v>0</v>
      </c>
      <c r="D1108">
        <v>0.54044354838709663</v>
      </c>
    </row>
    <row r="1109" spans="1:4" x14ac:dyDescent="0.25">
      <c r="A1109" t="s">
        <v>2096</v>
      </c>
      <c r="B1109">
        <v>0.62</v>
      </c>
      <c r="C1109">
        <v>0</v>
      </c>
      <c r="D1109">
        <v>0.53245967741935474</v>
      </c>
    </row>
    <row r="1110" spans="1:4" x14ac:dyDescent="0.25">
      <c r="A1110" t="s">
        <v>1997</v>
      </c>
      <c r="B1110">
        <v>0.61899999999999999</v>
      </c>
      <c r="C1110">
        <v>0</v>
      </c>
      <c r="D1110">
        <v>0.44440030645161288</v>
      </c>
    </row>
    <row r="1111" spans="1:4" x14ac:dyDescent="0.25">
      <c r="A1111" t="s">
        <v>2627</v>
      </c>
      <c r="B1111">
        <v>0.61799999999999999</v>
      </c>
      <c r="C1111">
        <v>0</v>
      </c>
      <c r="D1111">
        <v>0.30703225806451623</v>
      </c>
    </row>
    <row r="1112" spans="1:4" x14ac:dyDescent="0.25">
      <c r="A1112" t="s">
        <v>2375</v>
      </c>
      <c r="B1112">
        <v>0.61636000000000002</v>
      </c>
      <c r="C1112">
        <v>0</v>
      </c>
      <c r="D1112">
        <v>0.22921451612903229</v>
      </c>
    </row>
    <row r="1113" spans="1:4" x14ac:dyDescent="0.25">
      <c r="A1113" t="s">
        <v>2312</v>
      </c>
      <c r="B1113">
        <v>0.61499999999999999</v>
      </c>
      <c r="C1113">
        <v>0</v>
      </c>
      <c r="D1113">
        <v>0.15093548387096772</v>
      </c>
    </row>
    <row r="1114" spans="1:4" x14ac:dyDescent="0.25">
      <c r="A1114" t="s">
        <v>680</v>
      </c>
      <c r="B1114">
        <v>0.61439999999999995</v>
      </c>
      <c r="C1114">
        <v>0</v>
      </c>
      <c r="D1114">
        <v>0.46041658064516117</v>
      </c>
    </row>
    <row r="1115" spans="1:4" x14ac:dyDescent="0.25">
      <c r="A1115" t="s">
        <v>1500</v>
      </c>
      <c r="B1115">
        <v>0.61399999999999999</v>
      </c>
      <c r="C1115">
        <v>0</v>
      </c>
      <c r="D1115">
        <v>7.8906451612903189E-2</v>
      </c>
    </row>
    <row r="1116" spans="1:4" x14ac:dyDescent="0.25">
      <c r="A1116" t="s">
        <v>2844</v>
      </c>
      <c r="B1116">
        <v>0.61199999999999999</v>
      </c>
      <c r="C1116">
        <v>0</v>
      </c>
      <c r="D1116">
        <v>0.42971985483870961</v>
      </c>
    </row>
    <row r="1117" spans="1:4" x14ac:dyDescent="0.25">
      <c r="A1117" t="s">
        <v>199</v>
      </c>
      <c r="B1117">
        <v>0.61199999999999999</v>
      </c>
      <c r="C1117">
        <v>0</v>
      </c>
      <c r="D1117">
        <v>0.44907903225806461</v>
      </c>
    </row>
    <row r="1118" spans="1:4" x14ac:dyDescent="0.25">
      <c r="A1118" t="s">
        <v>482</v>
      </c>
      <c r="B1118">
        <v>0.60699999999999998</v>
      </c>
      <c r="C1118">
        <v>0.29699999999999999</v>
      </c>
      <c r="D1118">
        <v>0.39758709677419346</v>
      </c>
    </row>
    <row r="1119" spans="1:4" x14ac:dyDescent="0.25">
      <c r="A1119" t="s">
        <v>2106</v>
      </c>
      <c r="B1119">
        <v>0.60399999999999998</v>
      </c>
      <c r="C1119">
        <v>0</v>
      </c>
      <c r="D1119">
        <v>0.50526612903225809</v>
      </c>
    </row>
    <row r="1120" spans="1:4" x14ac:dyDescent="0.25">
      <c r="A1120" t="s">
        <v>2792</v>
      </c>
      <c r="B1120">
        <v>0.60299999999999998</v>
      </c>
      <c r="C1120">
        <v>0</v>
      </c>
      <c r="D1120">
        <v>0.37432258064516111</v>
      </c>
    </row>
    <row r="1121" spans="1:4" x14ac:dyDescent="0.25">
      <c r="A1121" t="s">
        <v>591</v>
      </c>
      <c r="B1121">
        <v>0.6</v>
      </c>
      <c r="C1121">
        <v>0</v>
      </c>
      <c r="D1121">
        <v>0.22871290322580648</v>
      </c>
    </row>
    <row r="1122" spans="1:4" x14ac:dyDescent="0.25">
      <c r="A1122" t="s">
        <v>865</v>
      </c>
      <c r="B1122">
        <v>0.6</v>
      </c>
      <c r="C1122">
        <v>0</v>
      </c>
      <c r="D1122">
        <v>0.22155806451612897</v>
      </c>
    </row>
    <row r="1123" spans="1:4" x14ac:dyDescent="0.25">
      <c r="A1123" t="s">
        <v>794</v>
      </c>
      <c r="B1123">
        <v>0.6</v>
      </c>
      <c r="C1123">
        <v>0</v>
      </c>
      <c r="D1123">
        <v>0.42815322580645149</v>
      </c>
    </row>
    <row r="1124" spans="1:4" x14ac:dyDescent="0.25">
      <c r="A1124" t="s">
        <v>549</v>
      </c>
      <c r="B1124">
        <v>0.6</v>
      </c>
      <c r="C1124">
        <v>0</v>
      </c>
      <c r="D1124">
        <v>0.3346774193548388</v>
      </c>
    </row>
    <row r="1125" spans="1:4" x14ac:dyDescent="0.25">
      <c r="A1125" t="s">
        <v>113</v>
      </c>
      <c r="B1125">
        <v>0.6</v>
      </c>
      <c r="C1125">
        <v>0</v>
      </c>
      <c r="D1125">
        <v>0.3796774193548384</v>
      </c>
    </row>
    <row r="1126" spans="1:4" x14ac:dyDescent="0.25">
      <c r="A1126" t="s">
        <v>986</v>
      </c>
      <c r="B1126">
        <v>0.59899999999999998</v>
      </c>
      <c r="C1126">
        <v>0</v>
      </c>
      <c r="D1126">
        <v>0.50308870967741925</v>
      </c>
    </row>
    <row r="1127" spans="1:4" x14ac:dyDescent="0.25">
      <c r="A1127" t="s">
        <v>2609</v>
      </c>
      <c r="B1127">
        <v>0.59799999999999998</v>
      </c>
      <c r="C1127">
        <v>0</v>
      </c>
      <c r="D1127">
        <v>0.18966612903225805</v>
      </c>
    </row>
    <row r="1128" spans="1:4" x14ac:dyDescent="0.25">
      <c r="A1128" t="s">
        <v>2368</v>
      </c>
      <c r="B1128">
        <v>0.59799999999999998</v>
      </c>
      <c r="C1128">
        <v>0</v>
      </c>
      <c r="D1128">
        <v>0.11658510967741939</v>
      </c>
    </row>
    <row r="1129" spans="1:4" x14ac:dyDescent="0.25">
      <c r="A1129" t="s">
        <v>2267</v>
      </c>
      <c r="B1129">
        <v>0.59603300000000004</v>
      </c>
      <c r="C1129">
        <v>0</v>
      </c>
      <c r="D1129">
        <v>0.48840172580645164</v>
      </c>
    </row>
    <row r="1130" spans="1:4" x14ac:dyDescent="0.25">
      <c r="A1130" t="s">
        <v>994</v>
      </c>
      <c r="B1130">
        <v>0.59597299999999997</v>
      </c>
      <c r="C1130">
        <v>0</v>
      </c>
      <c r="D1130">
        <v>0.29675849999999998</v>
      </c>
    </row>
    <row r="1131" spans="1:4" x14ac:dyDescent="0.25">
      <c r="A1131" t="s">
        <v>820</v>
      </c>
      <c r="B1131">
        <v>0.5958</v>
      </c>
      <c r="C1131">
        <v>0.1358</v>
      </c>
      <c r="D1131">
        <v>0.34642903225806465</v>
      </c>
    </row>
    <row r="1132" spans="1:4" x14ac:dyDescent="0.25">
      <c r="A1132" t="s">
        <v>1212</v>
      </c>
      <c r="B1132">
        <v>0.59499999999999997</v>
      </c>
      <c r="C1132">
        <v>0</v>
      </c>
      <c r="D1132">
        <v>0.53243548387096762</v>
      </c>
    </row>
    <row r="1133" spans="1:4" x14ac:dyDescent="0.25">
      <c r="A1133" t="s">
        <v>1220</v>
      </c>
      <c r="B1133">
        <v>0.59499999999999997</v>
      </c>
      <c r="C1133">
        <v>0</v>
      </c>
      <c r="D1133">
        <v>0.42132064516129036</v>
      </c>
    </row>
    <row r="1134" spans="1:4" x14ac:dyDescent="0.25">
      <c r="A1134" t="s">
        <v>972</v>
      </c>
      <c r="B1134">
        <v>0.59399999999999997</v>
      </c>
      <c r="C1134">
        <v>0.192</v>
      </c>
      <c r="D1134">
        <v>0.30151612903225805</v>
      </c>
    </row>
    <row r="1135" spans="1:4" x14ac:dyDescent="0.25">
      <c r="A1135" t="s">
        <v>2116</v>
      </c>
      <c r="B1135">
        <v>0.58967700000000001</v>
      </c>
      <c r="C1135">
        <v>0</v>
      </c>
      <c r="D1135">
        <v>0.45669887096774203</v>
      </c>
    </row>
    <row r="1136" spans="1:4" x14ac:dyDescent="0.25">
      <c r="A1136" t="s">
        <v>804</v>
      </c>
      <c r="B1136">
        <v>0.58542000000000005</v>
      </c>
      <c r="C1136">
        <v>0</v>
      </c>
      <c r="D1136">
        <v>0.28226433870967749</v>
      </c>
    </row>
    <row r="1137" spans="1:4" x14ac:dyDescent="0.25">
      <c r="A1137" t="s">
        <v>150</v>
      </c>
      <c r="B1137">
        <v>0.58199999999999996</v>
      </c>
      <c r="C1137">
        <v>0</v>
      </c>
      <c r="D1137">
        <v>0.32306129032258069</v>
      </c>
    </row>
    <row r="1138" spans="1:4" x14ac:dyDescent="0.25">
      <c r="A1138" t="s">
        <v>2417</v>
      </c>
      <c r="B1138">
        <v>0.58199999999999996</v>
      </c>
      <c r="C1138">
        <v>0.38800000000000001</v>
      </c>
      <c r="D1138">
        <v>0.49554838709677418</v>
      </c>
    </row>
    <row r="1139" spans="1:4" x14ac:dyDescent="0.25">
      <c r="A1139" t="s">
        <v>2699</v>
      </c>
      <c r="B1139">
        <v>0.57999999999999996</v>
      </c>
      <c r="C1139">
        <v>0</v>
      </c>
      <c r="D1139">
        <v>0.25217741935483867</v>
      </c>
    </row>
    <row r="1140" spans="1:4" x14ac:dyDescent="0.25">
      <c r="A1140" t="s">
        <v>1859</v>
      </c>
      <c r="B1140">
        <v>0.57699999999999996</v>
      </c>
      <c r="C1140">
        <v>0</v>
      </c>
      <c r="D1140">
        <v>0.38524838709677423</v>
      </c>
    </row>
    <row r="1141" spans="1:4" x14ac:dyDescent="0.25">
      <c r="A1141" t="s">
        <v>107</v>
      </c>
      <c r="B1141">
        <v>0.57699999999999996</v>
      </c>
      <c r="C1141">
        <v>0</v>
      </c>
      <c r="D1141">
        <v>0.5280887096774195</v>
      </c>
    </row>
    <row r="1142" spans="1:4" x14ac:dyDescent="0.25">
      <c r="A1142" t="s">
        <v>1199</v>
      </c>
      <c r="B1142">
        <v>0.57689900000000005</v>
      </c>
      <c r="C1142">
        <v>3.8511999999999998E-2</v>
      </c>
      <c r="D1142">
        <v>0.338646677419355</v>
      </c>
    </row>
    <row r="1143" spans="1:4" x14ac:dyDescent="0.25">
      <c r="A1143" t="s">
        <v>102</v>
      </c>
      <c r="B1143">
        <v>0.57599999999999996</v>
      </c>
      <c r="C1143">
        <v>0</v>
      </c>
      <c r="D1143">
        <v>0.56670967741935507</v>
      </c>
    </row>
    <row r="1144" spans="1:4" x14ac:dyDescent="0.25">
      <c r="A1144" t="s">
        <v>2234</v>
      </c>
      <c r="B1144">
        <v>0.57599999999999996</v>
      </c>
      <c r="C1144">
        <v>0</v>
      </c>
      <c r="D1144">
        <v>0.45630322580645172</v>
      </c>
    </row>
    <row r="1145" spans="1:4" x14ac:dyDescent="0.25">
      <c r="A1145" t="s">
        <v>1066</v>
      </c>
      <c r="B1145">
        <v>0.57499999999999996</v>
      </c>
      <c r="C1145">
        <v>0</v>
      </c>
      <c r="D1145">
        <v>0.36247580645161298</v>
      </c>
    </row>
    <row r="1146" spans="1:4" x14ac:dyDescent="0.25">
      <c r="A1146" t="s">
        <v>2042</v>
      </c>
      <c r="B1146">
        <v>0.57499999999999996</v>
      </c>
      <c r="C1146">
        <v>0</v>
      </c>
      <c r="D1146">
        <v>0.4844435483870968</v>
      </c>
    </row>
    <row r="1147" spans="1:4" x14ac:dyDescent="0.25">
      <c r="A1147" t="s">
        <v>1461</v>
      </c>
      <c r="B1147">
        <v>0.57369999999999999</v>
      </c>
      <c r="C1147">
        <v>0</v>
      </c>
      <c r="D1147">
        <v>0.41675483870967728</v>
      </c>
    </row>
    <row r="1148" spans="1:4" x14ac:dyDescent="0.25">
      <c r="A1148" t="s">
        <v>2018</v>
      </c>
      <c r="B1148">
        <v>0.57299999999999995</v>
      </c>
      <c r="C1148">
        <v>0</v>
      </c>
      <c r="D1148">
        <v>0.40631774193548398</v>
      </c>
    </row>
    <row r="1149" spans="1:4" x14ac:dyDescent="0.25">
      <c r="A1149" t="s">
        <v>8</v>
      </c>
      <c r="B1149">
        <v>0.57199999999999995</v>
      </c>
      <c r="C1149">
        <v>0.314</v>
      </c>
      <c r="D1149">
        <v>0.44532258064516128</v>
      </c>
    </row>
    <row r="1150" spans="1:4" x14ac:dyDescent="0.25">
      <c r="A1150" t="s">
        <v>1705</v>
      </c>
      <c r="B1150">
        <v>0.57199999999999995</v>
      </c>
      <c r="C1150">
        <v>0</v>
      </c>
      <c r="D1150">
        <v>0.45880645161290312</v>
      </c>
    </row>
    <row r="1151" spans="1:4" x14ac:dyDescent="0.25">
      <c r="A1151" t="s">
        <v>2545</v>
      </c>
      <c r="B1151">
        <v>0.57099999999999995</v>
      </c>
      <c r="C1151">
        <v>0</v>
      </c>
      <c r="D1151">
        <v>0.19050806451612901</v>
      </c>
    </row>
    <row r="1152" spans="1:4" x14ac:dyDescent="0.25">
      <c r="A1152" t="s">
        <v>153</v>
      </c>
      <c r="B1152">
        <v>0.57014100000000001</v>
      </c>
      <c r="C1152">
        <v>0</v>
      </c>
      <c r="D1152">
        <v>0.23620775806451613</v>
      </c>
    </row>
    <row r="1153" spans="1:4" x14ac:dyDescent="0.25">
      <c r="A1153" t="s">
        <v>2840</v>
      </c>
      <c r="B1153">
        <v>0.56999999999999995</v>
      </c>
      <c r="C1153">
        <v>0.19800000000000001</v>
      </c>
      <c r="D1153">
        <v>0.33368548387096775</v>
      </c>
    </row>
    <row r="1154" spans="1:4" x14ac:dyDescent="0.25">
      <c r="A1154" t="s">
        <v>2016</v>
      </c>
      <c r="B1154">
        <v>0.56999999999999995</v>
      </c>
      <c r="C1154">
        <v>0</v>
      </c>
      <c r="D1154">
        <v>0.47548387096774208</v>
      </c>
    </row>
    <row r="1155" spans="1:4" x14ac:dyDescent="0.25">
      <c r="A1155" t="s">
        <v>507</v>
      </c>
      <c r="B1155">
        <v>0.56999999999999995</v>
      </c>
      <c r="C1155">
        <v>0.04</v>
      </c>
      <c r="D1155">
        <v>0.34967741935483876</v>
      </c>
    </row>
    <row r="1156" spans="1:4" x14ac:dyDescent="0.25">
      <c r="A1156" t="s">
        <v>318</v>
      </c>
      <c r="B1156">
        <v>0.56899999999999995</v>
      </c>
      <c r="C1156">
        <v>0.10299999999999999</v>
      </c>
      <c r="D1156">
        <v>0.27716129032258058</v>
      </c>
    </row>
    <row r="1157" spans="1:4" x14ac:dyDescent="0.25">
      <c r="A1157" t="s">
        <v>583</v>
      </c>
      <c r="B1157">
        <v>0.56799999999999995</v>
      </c>
      <c r="C1157">
        <v>0</v>
      </c>
      <c r="D1157">
        <v>0.24141935483870963</v>
      </c>
    </row>
    <row r="1158" spans="1:4" x14ac:dyDescent="0.25">
      <c r="A1158" t="s">
        <v>2403</v>
      </c>
      <c r="B1158">
        <v>0.56699999999999995</v>
      </c>
      <c r="C1158">
        <v>0</v>
      </c>
      <c r="D1158">
        <v>0.23730645161290323</v>
      </c>
    </row>
    <row r="1159" spans="1:4" x14ac:dyDescent="0.25">
      <c r="A1159" t="s">
        <v>1474</v>
      </c>
      <c r="B1159">
        <v>0.56699999999999995</v>
      </c>
      <c r="C1159">
        <v>0</v>
      </c>
      <c r="D1159">
        <v>0.34420967741935493</v>
      </c>
    </row>
    <row r="1160" spans="1:4" x14ac:dyDescent="0.25">
      <c r="A1160" t="s">
        <v>1032</v>
      </c>
      <c r="B1160">
        <v>0.56699999999999995</v>
      </c>
      <c r="C1160">
        <v>0</v>
      </c>
      <c r="D1160">
        <v>0.42475806451612902</v>
      </c>
    </row>
    <row r="1161" spans="1:4" x14ac:dyDescent="0.25">
      <c r="A1161" t="s">
        <v>625</v>
      </c>
      <c r="B1161">
        <v>0.56499999999999995</v>
      </c>
      <c r="C1161">
        <v>0.222</v>
      </c>
      <c r="D1161">
        <v>0.36686129032258064</v>
      </c>
    </row>
    <row r="1162" spans="1:4" x14ac:dyDescent="0.25">
      <c r="A1162" t="s">
        <v>2374</v>
      </c>
      <c r="B1162">
        <v>0.56416999999999995</v>
      </c>
      <c r="C1162">
        <v>0</v>
      </c>
      <c r="D1162">
        <v>0.21950364516129031</v>
      </c>
    </row>
    <row r="1163" spans="1:4" x14ac:dyDescent="0.25">
      <c r="A1163" t="s">
        <v>1528</v>
      </c>
      <c r="B1163">
        <v>0.56409200000000004</v>
      </c>
      <c r="C1163">
        <v>0</v>
      </c>
      <c r="D1163">
        <v>0.43779594354838713</v>
      </c>
    </row>
    <row r="1164" spans="1:4" x14ac:dyDescent="0.25">
      <c r="A1164" t="s">
        <v>1571</v>
      </c>
      <c r="B1164">
        <v>0.56299999999999994</v>
      </c>
      <c r="C1164">
        <v>0</v>
      </c>
      <c r="D1164">
        <v>0.4715403225806451</v>
      </c>
    </row>
    <row r="1165" spans="1:4" x14ac:dyDescent="0.25">
      <c r="A1165" t="s">
        <v>2657</v>
      </c>
      <c r="B1165">
        <v>0.56100000000000005</v>
      </c>
      <c r="C1165">
        <v>9.0999999999999998E-2</v>
      </c>
      <c r="D1165">
        <v>0.23899032258064518</v>
      </c>
    </row>
    <row r="1166" spans="1:4" x14ac:dyDescent="0.25">
      <c r="A1166" t="s">
        <v>389</v>
      </c>
      <c r="B1166">
        <v>0.56000000000000005</v>
      </c>
      <c r="C1166">
        <v>0</v>
      </c>
      <c r="D1166">
        <v>0.20560806451612909</v>
      </c>
    </row>
    <row r="1167" spans="1:4" x14ac:dyDescent="0.25">
      <c r="A1167" t="s">
        <v>2320</v>
      </c>
      <c r="B1167">
        <v>0.55900000000000005</v>
      </c>
      <c r="C1167">
        <v>0</v>
      </c>
      <c r="D1167">
        <v>0.35821774193548378</v>
      </c>
    </row>
    <row r="1168" spans="1:4" x14ac:dyDescent="0.25">
      <c r="A1168" t="s">
        <v>2772</v>
      </c>
      <c r="B1168">
        <v>0.55800000000000005</v>
      </c>
      <c r="C1168">
        <v>0</v>
      </c>
      <c r="D1168">
        <v>0.3318548387096773</v>
      </c>
    </row>
    <row r="1169" spans="1:4" x14ac:dyDescent="0.25">
      <c r="A1169" t="s">
        <v>2537</v>
      </c>
      <c r="B1169">
        <v>0.55800000000000005</v>
      </c>
      <c r="C1169">
        <v>0</v>
      </c>
      <c r="D1169">
        <v>0.12102671629032259</v>
      </c>
    </row>
    <row r="1170" spans="1:4" x14ac:dyDescent="0.25">
      <c r="A1170" t="s">
        <v>739</v>
      </c>
      <c r="B1170">
        <v>0.55700000000000005</v>
      </c>
      <c r="C1170">
        <v>0</v>
      </c>
      <c r="D1170">
        <v>0.31889177419354836</v>
      </c>
    </row>
    <row r="1171" spans="1:4" x14ac:dyDescent="0.25">
      <c r="A1171" t="s">
        <v>997</v>
      </c>
      <c r="B1171">
        <v>0.55400000000000005</v>
      </c>
      <c r="C1171">
        <v>0</v>
      </c>
      <c r="D1171">
        <v>0.30733870967741928</v>
      </c>
    </row>
    <row r="1172" spans="1:4" x14ac:dyDescent="0.25">
      <c r="A1172" t="s">
        <v>1194</v>
      </c>
      <c r="B1172">
        <v>0.55300000000000005</v>
      </c>
      <c r="C1172">
        <v>0.27</v>
      </c>
      <c r="D1172">
        <v>0.38194354838709677</v>
      </c>
    </row>
    <row r="1173" spans="1:4" x14ac:dyDescent="0.25">
      <c r="A1173" t="s">
        <v>112</v>
      </c>
      <c r="B1173">
        <v>0.55300000000000005</v>
      </c>
      <c r="C1173">
        <v>0.28000000000000003</v>
      </c>
      <c r="D1173">
        <v>0.43602741935483863</v>
      </c>
    </row>
    <row r="1174" spans="1:4" x14ac:dyDescent="0.25">
      <c r="A1174" t="s">
        <v>1441</v>
      </c>
      <c r="B1174">
        <v>0.55000000000000004</v>
      </c>
      <c r="C1174">
        <v>0.14000000000000001</v>
      </c>
      <c r="D1174">
        <v>0.29183870967741932</v>
      </c>
    </row>
    <row r="1175" spans="1:4" x14ac:dyDescent="0.25">
      <c r="A1175" t="s">
        <v>2693</v>
      </c>
      <c r="B1175">
        <v>0.55000000000000004</v>
      </c>
      <c r="C1175">
        <v>0</v>
      </c>
      <c r="D1175">
        <v>0.34943951612903229</v>
      </c>
    </row>
    <row r="1176" spans="1:4" x14ac:dyDescent="0.25">
      <c r="A1176" t="s">
        <v>772</v>
      </c>
      <c r="B1176">
        <v>0.55000000000000004</v>
      </c>
      <c r="C1176">
        <v>0</v>
      </c>
      <c r="D1176">
        <v>0.24274193548387102</v>
      </c>
    </row>
    <row r="1177" spans="1:4" x14ac:dyDescent="0.25">
      <c r="A1177" t="s">
        <v>2408</v>
      </c>
      <c r="B1177">
        <v>0.54990000000000006</v>
      </c>
      <c r="C1177">
        <v>0.22819999999999999</v>
      </c>
      <c r="D1177">
        <v>0.33769516129032262</v>
      </c>
    </row>
    <row r="1178" spans="1:4" x14ac:dyDescent="0.25">
      <c r="A1178" t="s">
        <v>2173</v>
      </c>
      <c r="B1178">
        <v>0.54900000000000004</v>
      </c>
      <c r="C1178">
        <v>0</v>
      </c>
      <c r="D1178">
        <v>0.4439112903225807</v>
      </c>
    </row>
    <row r="1179" spans="1:4" x14ac:dyDescent="0.25">
      <c r="A1179" t="s">
        <v>1255</v>
      </c>
      <c r="B1179">
        <v>0.54700000000000004</v>
      </c>
      <c r="C1179">
        <v>0</v>
      </c>
      <c r="D1179">
        <v>0.31869354838709685</v>
      </c>
    </row>
    <row r="1180" spans="1:4" x14ac:dyDescent="0.25">
      <c r="A1180" t="s">
        <v>2782</v>
      </c>
      <c r="B1180">
        <v>0.54579999999999995</v>
      </c>
      <c r="C1180">
        <v>0</v>
      </c>
      <c r="D1180">
        <v>0.34582177419354843</v>
      </c>
    </row>
    <row r="1181" spans="1:4" x14ac:dyDescent="0.25">
      <c r="A1181" t="s">
        <v>707</v>
      </c>
      <c r="B1181">
        <v>0.54520000000000002</v>
      </c>
      <c r="C1181">
        <v>0</v>
      </c>
      <c r="D1181">
        <v>0.41736532258064518</v>
      </c>
    </row>
    <row r="1182" spans="1:4" x14ac:dyDescent="0.25">
      <c r="A1182" t="s">
        <v>1845</v>
      </c>
      <c r="B1182">
        <v>0.54500000000000004</v>
      </c>
      <c r="C1182">
        <v>0</v>
      </c>
      <c r="D1182">
        <v>0.25384499999999993</v>
      </c>
    </row>
    <row r="1183" spans="1:4" x14ac:dyDescent="0.25">
      <c r="A1183" t="s">
        <v>1837</v>
      </c>
      <c r="B1183">
        <v>0.54400000000000004</v>
      </c>
      <c r="C1183">
        <v>0</v>
      </c>
      <c r="D1183">
        <v>0.41171774193548388</v>
      </c>
    </row>
    <row r="1184" spans="1:4" x14ac:dyDescent="0.25">
      <c r="A1184" t="s">
        <v>499</v>
      </c>
      <c r="B1184">
        <v>0.54400000000000004</v>
      </c>
      <c r="C1184">
        <v>0</v>
      </c>
      <c r="D1184">
        <v>0.38048387096774183</v>
      </c>
    </row>
    <row r="1185" spans="1:4" x14ac:dyDescent="0.25">
      <c r="A1185" t="s">
        <v>2390</v>
      </c>
      <c r="B1185">
        <v>0.54149999999999998</v>
      </c>
      <c r="C1185">
        <v>0</v>
      </c>
      <c r="D1185">
        <v>0.28351209677419353</v>
      </c>
    </row>
    <row r="1186" spans="1:4" x14ac:dyDescent="0.25">
      <c r="A1186" t="s">
        <v>929</v>
      </c>
      <c r="B1186">
        <v>0.540215</v>
      </c>
      <c r="C1186">
        <v>0</v>
      </c>
      <c r="D1186">
        <v>0.17801071774193547</v>
      </c>
    </row>
    <row r="1187" spans="1:4" x14ac:dyDescent="0.25">
      <c r="A1187" t="s">
        <v>354</v>
      </c>
      <c r="B1187">
        <v>0.54</v>
      </c>
      <c r="C1187">
        <v>0</v>
      </c>
      <c r="D1187">
        <v>0.21334459677419357</v>
      </c>
    </row>
    <row r="1188" spans="1:4" x14ac:dyDescent="0.25">
      <c r="A1188" t="s">
        <v>1840</v>
      </c>
      <c r="B1188">
        <v>0.53908999999999996</v>
      </c>
      <c r="C1188">
        <v>0</v>
      </c>
      <c r="D1188">
        <v>0.31316974193548391</v>
      </c>
    </row>
    <row r="1189" spans="1:4" x14ac:dyDescent="0.25">
      <c r="A1189" t="s">
        <v>2831</v>
      </c>
      <c r="B1189">
        <v>0.53700000000000003</v>
      </c>
      <c r="C1189">
        <v>0</v>
      </c>
      <c r="D1189">
        <v>0.32949999999999985</v>
      </c>
    </row>
    <row r="1190" spans="1:4" x14ac:dyDescent="0.25">
      <c r="A1190" t="s">
        <v>2086</v>
      </c>
      <c r="B1190">
        <v>0.53700000000000003</v>
      </c>
      <c r="C1190">
        <v>0</v>
      </c>
      <c r="D1190">
        <v>0.46160483870967739</v>
      </c>
    </row>
    <row r="1191" spans="1:4" x14ac:dyDescent="0.25">
      <c r="A1191" t="s">
        <v>795</v>
      </c>
      <c r="B1191">
        <v>0.53680000000000005</v>
      </c>
      <c r="C1191">
        <v>0</v>
      </c>
      <c r="D1191">
        <v>0.16508870967741934</v>
      </c>
    </row>
    <row r="1192" spans="1:4" x14ac:dyDescent="0.25">
      <c r="A1192" t="s">
        <v>1897</v>
      </c>
      <c r="B1192">
        <v>0.53500000000000003</v>
      </c>
      <c r="C1192">
        <v>0</v>
      </c>
      <c r="D1192">
        <v>0.42121774193548384</v>
      </c>
    </row>
    <row r="1193" spans="1:4" x14ac:dyDescent="0.25">
      <c r="A1193" t="s">
        <v>545</v>
      </c>
      <c r="B1193">
        <v>0.53500000000000003</v>
      </c>
      <c r="C1193">
        <v>0</v>
      </c>
      <c r="D1193">
        <v>0.40328225806451595</v>
      </c>
    </row>
    <row r="1194" spans="1:4" x14ac:dyDescent="0.25">
      <c r="A1194" t="s">
        <v>2194</v>
      </c>
      <c r="B1194">
        <v>0.53200000000000003</v>
      </c>
      <c r="C1194">
        <v>0</v>
      </c>
      <c r="D1194">
        <v>0.37720967741935485</v>
      </c>
    </row>
    <row r="1195" spans="1:4" x14ac:dyDescent="0.25">
      <c r="A1195" t="s">
        <v>2304</v>
      </c>
      <c r="B1195">
        <v>0.53200000000000003</v>
      </c>
      <c r="C1195">
        <v>0</v>
      </c>
      <c r="D1195">
        <v>0.4314104838709677</v>
      </c>
    </row>
    <row r="1196" spans="1:4" x14ac:dyDescent="0.25">
      <c r="A1196" t="s">
        <v>996</v>
      </c>
      <c r="B1196">
        <v>0.53100000000000003</v>
      </c>
      <c r="C1196">
        <v>0</v>
      </c>
      <c r="D1196">
        <v>0.42049193548387104</v>
      </c>
    </row>
    <row r="1197" spans="1:4" x14ac:dyDescent="0.25">
      <c r="A1197" t="s">
        <v>227</v>
      </c>
      <c r="B1197">
        <v>0.53</v>
      </c>
      <c r="C1197">
        <v>0.1</v>
      </c>
      <c r="D1197">
        <v>0.27173387096774182</v>
      </c>
    </row>
    <row r="1198" spans="1:4" x14ac:dyDescent="0.25">
      <c r="A1198" t="s">
        <v>126</v>
      </c>
      <c r="B1198">
        <v>0.52600000000000002</v>
      </c>
      <c r="C1198">
        <v>0</v>
      </c>
      <c r="D1198">
        <v>0.33623387096774193</v>
      </c>
    </row>
    <row r="1199" spans="1:4" x14ac:dyDescent="0.25">
      <c r="A1199" t="s">
        <v>21</v>
      </c>
      <c r="B1199">
        <v>0.52500000000000002</v>
      </c>
      <c r="C1199">
        <v>0</v>
      </c>
      <c r="D1199">
        <v>0.12966129032258064</v>
      </c>
    </row>
    <row r="1200" spans="1:4" x14ac:dyDescent="0.25">
      <c r="A1200" t="s">
        <v>1653</v>
      </c>
      <c r="B1200">
        <v>0.52400000000000002</v>
      </c>
      <c r="C1200">
        <v>0</v>
      </c>
      <c r="D1200">
        <v>0.16018548387096768</v>
      </c>
    </row>
    <row r="1201" spans="1:4" x14ac:dyDescent="0.25">
      <c r="A1201" t="s">
        <v>2739</v>
      </c>
      <c r="B1201">
        <v>0.52</v>
      </c>
      <c r="C1201">
        <v>0</v>
      </c>
      <c r="D1201">
        <v>0.20520967741935486</v>
      </c>
    </row>
    <row r="1202" spans="1:4" x14ac:dyDescent="0.25">
      <c r="A1202" t="s">
        <v>1686</v>
      </c>
      <c r="B1202">
        <v>0.52</v>
      </c>
      <c r="C1202">
        <v>0.03</v>
      </c>
      <c r="D1202">
        <v>0.25540322580645158</v>
      </c>
    </row>
    <row r="1203" spans="1:4" x14ac:dyDescent="0.25">
      <c r="A1203" t="s">
        <v>1224</v>
      </c>
      <c r="B1203">
        <v>0.52</v>
      </c>
      <c r="C1203">
        <v>0</v>
      </c>
      <c r="D1203">
        <v>0.33562807096774194</v>
      </c>
    </row>
    <row r="1204" spans="1:4" x14ac:dyDescent="0.25">
      <c r="A1204" t="s">
        <v>2048</v>
      </c>
      <c r="B1204">
        <v>0.51900000000000002</v>
      </c>
      <c r="C1204">
        <v>0</v>
      </c>
      <c r="D1204">
        <v>0.37270645161290356</v>
      </c>
    </row>
    <row r="1205" spans="1:4" x14ac:dyDescent="0.25">
      <c r="A1205" t="s">
        <v>2021</v>
      </c>
      <c r="B1205">
        <v>0.51819999999999999</v>
      </c>
      <c r="C1205">
        <v>0.30299999999999999</v>
      </c>
      <c r="D1205">
        <v>0.36046128225806467</v>
      </c>
    </row>
    <row r="1206" spans="1:4" x14ac:dyDescent="0.25">
      <c r="A1206" t="s">
        <v>4</v>
      </c>
      <c r="B1206">
        <v>0.51800000000000002</v>
      </c>
      <c r="C1206">
        <v>0.249</v>
      </c>
      <c r="D1206">
        <v>0.36171774193548373</v>
      </c>
    </row>
    <row r="1207" spans="1:4" x14ac:dyDescent="0.25">
      <c r="A1207" t="s">
        <v>22</v>
      </c>
      <c r="B1207">
        <v>0.51800000000000002</v>
      </c>
      <c r="C1207">
        <v>0</v>
      </c>
      <c r="D1207">
        <v>0.19264516129032255</v>
      </c>
    </row>
    <row r="1208" spans="1:4" x14ac:dyDescent="0.25">
      <c r="A1208" t="s">
        <v>38</v>
      </c>
      <c r="B1208">
        <v>0.51600000000000001</v>
      </c>
      <c r="C1208">
        <v>0.28699999999999998</v>
      </c>
      <c r="D1208">
        <v>0.37991366129032261</v>
      </c>
    </row>
    <row r="1209" spans="1:4" x14ac:dyDescent="0.25">
      <c r="A1209" t="s">
        <v>938</v>
      </c>
      <c r="B1209">
        <v>0.51600000000000001</v>
      </c>
      <c r="C1209">
        <v>0.223</v>
      </c>
      <c r="D1209">
        <v>0.35971774193548389</v>
      </c>
    </row>
    <row r="1210" spans="1:4" x14ac:dyDescent="0.25">
      <c r="A1210" t="s">
        <v>2063</v>
      </c>
      <c r="B1210">
        <v>0.51500000000000001</v>
      </c>
      <c r="C1210">
        <v>0</v>
      </c>
      <c r="D1210">
        <v>0.37834677419354834</v>
      </c>
    </row>
    <row r="1211" spans="1:4" x14ac:dyDescent="0.25">
      <c r="A1211" t="s">
        <v>1841</v>
      </c>
      <c r="B1211">
        <v>0.51332299999999997</v>
      </c>
      <c r="C1211">
        <v>0</v>
      </c>
      <c r="D1211">
        <v>0.29990592741935485</v>
      </c>
    </row>
    <row r="1212" spans="1:4" x14ac:dyDescent="0.25">
      <c r="A1212" t="s">
        <v>839</v>
      </c>
      <c r="B1212">
        <v>0.51200000000000001</v>
      </c>
      <c r="C1212">
        <v>0</v>
      </c>
      <c r="D1212">
        <v>0.22076612903225812</v>
      </c>
    </row>
    <row r="1213" spans="1:4" x14ac:dyDescent="0.25">
      <c r="A1213" t="s">
        <v>1870</v>
      </c>
      <c r="B1213">
        <v>0.51100000000000001</v>
      </c>
      <c r="C1213">
        <v>0</v>
      </c>
      <c r="D1213">
        <v>0.3808467741935484</v>
      </c>
    </row>
    <row r="1214" spans="1:4" x14ac:dyDescent="0.25">
      <c r="A1214" t="s">
        <v>1929</v>
      </c>
      <c r="B1214">
        <v>0.50861299999999998</v>
      </c>
      <c r="C1214">
        <v>0.33479999999999999</v>
      </c>
      <c r="D1214">
        <v>0.41901925806451601</v>
      </c>
    </row>
    <row r="1215" spans="1:4" x14ac:dyDescent="0.25">
      <c r="A1215" t="s">
        <v>1712</v>
      </c>
      <c r="B1215">
        <v>0.50600000000000001</v>
      </c>
      <c r="C1215">
        <v>0</v>
      </c>
      <c r="D1215">
        <v>0.43151612903225806</v>
      </c>
    </row>
    <row r="1216" spans="1:4" x14ac:dyDescent="0.25">
      <c r="A1216" t="s">
        <v>2839</v>
      </c>
      <c r="B1216">
        <v>0.505</v>
      </c>
      <c r="C1216">
        <v>0</v>
      </c>
      <c r="D1216">
        <v>0.31099193548387088</v>
      </c>
    </row>
    <row r="1217" spans="1:4" x14ac:dyDescent="0.25">
      <c r="A1217" t="s">
        <v>2385</v>
      </c>
      <c r="B1217">
        <v>0.50449999999999995</v>
      </c>
      <c r="C1217">
        <v>0</v>
      </c>
      <c r="D1217">
        <v>4.3147580645161283E-2</v>
      </c>
    </row>
    <row r="1218" spans="1:4" x14ac:dyDescent="0.25">
      <c r="A1218" t="s">
        <v>2587</v>
      </c>
      <c r="B1218">
        <v>0.504</v>
      </c>
      <c r="C1218">
        <v>0</v>
      </c>
      <c r="D1218">
        <v>0.29514250000000009</v>
      </c>
    </row>
    <row r="1219" spans="1:4" x14ac:dyDescent="0.25">
      <c r="A1219" t="s">
        <v>2329</v>
      </c>
      <c r="B1219">
        <v>0.503</v>
      </c>
      <c r="C1219">
        <v>0</v>
      </c>
      <c r="D1219">
        <v>0.3113709677419354</v>
      </c>
    </row>
    <row r="1220" spans="1:4" x14ac:dyDescent="0.25">
      <c r="A1220" t="s">
        <v>2650</v>
      </c>
      <c r="B1220">
        <v>0.5</v>
      </c>
      <c r="C1220">
        <v>0</v>
      </c>
      <c r="D1220">
        <v>0.41529516129032262</v>
      </c>
    </row>
    <row r="1221" spans="1:4" x14ac:dyDescent="0.25">
      <c r="A1221" t="s">
        <v>912</v>
      </c>
      <c r="B1221">
        <v>0.5</v>
      </c>
      <c r="C1221">
        <v>0</v>
      </c>
      <c r="D1221">
        <v>0.17580645161290329</v>
      </c>
    </row>
    <row r="1222" spans="1:4" x14ac:dyDescent="0.25">
      <c r="A1222" t="s">
        <v>911</v>
      </c>
      <c r="B1222">
        <v>0.5</v>
      </c>
      <c r="C1222">
        <v>0</v>
      </c>
      <c r="D1222">
        <v>0.17580645161290329</v>
      </c>
    </row>
    <row r="1223" spans="1:4" x14ac:dyDescent="0.25">
      <c r="A1223" t="s">
        <v>1245</v>
      </c>
      <c r="B1223">
        <v>0.497</v>
      </c>
      <c r="C1223">
        <v>0</v>
      </c>
      <c r="D1223">
        <v>0.13990322580645159</v>
      </c>
    </row>
    <row r="1224" spans="1:4" x14ac:dyDescent="0.25">
      <c r="A1224" t="s">
        <v>1966</v>
      </c>
      <c r="B1224">
        <v>0.497</v>
      </c>
      <c r="C1224">
        <v>0</v>
      </c>
      <c r="D1224">
        <v>0.15124193548387097</v>
      </c>
    </row>
    <row r="1225" spans="1:4" x14ac:dyDescent="0.25">
      <c r="A1225" t="s">
        <v>2407</v>
      </c>
      <c r="B1225">
        <v>0.49630000000000002</v>
      </c>
      <c r="C1225">
        <v>0</v>
      </c>
      <c r="D1225">
        <v>0.28035359999999998</v>
      </c>
    </row>
    <row r="1226" spans="1:4" x14ac:dyDescent="0.25">
      <c r="A1226" t="s">
        <v>1202</v>
      </c>
      <c r="B1226">
        <v>0.49399999999999999</v>
      </c>
      <c r="C1226">
        <v>0</v>
      </c>
      <c r="D1226">
        <v>0.42229032258064519</v>
      </c>
    </row>
    <row r="1227" spans="1:4" x14ac:dyDescent="0.25">
      <c r="A1227" t="s">
        <v>1713</v>
      </c>
      <c r="B1227">
        <v>0.49399999999999999</v>
      </c>
      <c r="C1227">
        <v>0</v>
      </c>
      <c r="D1227">
        <v>0.24948387096774188</v>
      </c>
    </row>
    <row r="1228" spans="1:4" x14ac:dyDescent="0.25">
      <c r="A1228" t="s">
        <v>2678</v>
      </c>
      <c r="B1228">
        <v>0.49399999999999999</v>
      </c>
      <c r="C1228">
        <v>0</v>
      </c>
      <c r="D1228">
        <v>0.34566653225806449</v>
      </c>
    </row>
    <row r="1229" spans="1:4" x14ac:dyDescent="0.25">
      <c r="A1229" t="s">
        <v>2248</v>
      </c>
      <c r="B1229">
        <v>0.49299999999999999</v>
      </c>
      <c r="C1229">
        <v>0</v>
      </c>
      <c r="D1229">
        <v>0.30029032258064525</v>
      </c>
    </row>
    <row r="1230" spans="1:4" x14ac:dyDescent="0.25">
      <c r="A1230" t="s">
        <v>1117</v>
      </c>
      <c r="B1230">
        <v>0.49199999999999999</v>
      </c>
      <c r="C1230">
        <v>0</v>
      </c>
      <c r="D1230">
        <v>0.27616935483870964</v>
      </c>
    </row>
    <row r="1231" spans="1:4" x14ac:dyDescent="0.25">
      <c r="A1231" t="s">
        <v>1921</v>
      </c>
      <c r="B1231">
        <v>0.49099999999999999</v>
      </c>
      <c r="C1231">
        <v>0</v>
      </c>
      <c r="D1231">
        <v>0.38325806451612915</v>
      </c>
    </row>
    <row r="1232" spans="1:4" x14ac:dyDescent="0.25">
      <c r="A1232" t="s">
        <v>1984</v>
      </c>
      <c r="B1232">
        <v>0.49012899999999998</v>
      </c>
      <c r="C1232">
        <v>0</v>
      </c>
      <c r="D1232">
        <v>0.32874082258064513</v>
      </c>
    </row>
    <row r="1233" spans="1:4" x14ac:dyDescent="0.25">
      <c r="A1233" t="s">
        <v>2012</v>
      </c>
      <c r="B1233">
        <v>0.49</v>
      </c>
      <c r="C1233">
        <v>0.251</v>
      </c>
      <c r="D1233">
        <v>0.34878811290322592</v>
      </c>
    </row>
    <row r="1234" spans="1:4" x14ac:dyDescent="0.25">
      <c r="A1234" t="s">
        <v>2283</v>
      </c>
      <c r="B1234">
        <v>0.49</v>
      </c>
      <c r="C1234">
        <v>0</v>
      </c>
      <c r="D1234">
        <v>0.21345967741935482</v>
      </c>
    </row>
    <row r="1235" spans="1:4" x14ac:dyDescent="0.25">
      <c r="A1235" t="s">
        <v>2143</v>
      </c>
      <c r="B1235">
        <v>0.48899999999999999</v>
      </c>
      <c r="C1235">
        <v>0</v>
      </c>
      <c r="D1235">
        <v>0.36119838709677415</v>
      </c>
    </row>
    <row r="1236" spans="1:4" x14ac:dyDescent="0.25">
      <c r="A1236" t="s">
        <v>2346</v>
      </c>
      <c r="B1236">
        <v>0.48899999999999999</v>
      </c>
      <c r="C1236">
        <v>7.4999999999999997E-2</v>
      </c>
      <c r="D1236">
        <v>0.2092605322580646</v>
      </c>
    </row>
    <row r="1237" spans="1:4" x14ac:dyDescent="0.25">
      <c r="A1237" t="s">
        <v>856</v>
      </c>
      <c r="B1237">
        <v>0.48849999999999999</v>
      </c>
      <c r="C1237">
        <v>0</v>
      </c>
      <c r="D1237">
        <v>0.10578951612903222</v>
      </c>
    </row>
    <row r="1238" spans="1:4" x14ac:dyDescent="0.25">
      <c r="A1238" t="s">
        <v>858</v>
      </c>
      <c r="B1238">
        <v>0.48830000000000001</v>
      </c>
      <c r="C1238">
        <v>0</v>
      </c>
      <c r="D1238">
        <v>7.9817741935483882E-2</v>
      </c>
    </row>
    <row r="1239" spans="1:4" x14ac:dyDescent="0.25">
      <c r="A1239" t="s">
        <v>2161</v>
      </c>
      <c r="B1239">
        <v>0.48799999999999999</v>
      </c>
      <c r="C1239">
        <v>0</v>
      </c>
      <c r="D1239">
        <v>0.35854838709677428</v>
      </c>
    </row>
    <row r="1240" spans="1:4" x14ac:dyDescent="0.25">
      <c r="A1240" t="s">
        <v>2006</v>
      </c>
      <c r="B1240">
        <v>0.48699999999999999</v>
      </c>
      <c r="C1240">
        <v>0</v>
      </c>
      <c r="D1240">
        <v>0.30695967741935481</v>
      </c>
    </row>
    <row r="1241" spans="1:4" x14ac:dyDescent="0.25">
      <c r="A1241" t="s">
        <v>2136</v>
      </c>
      <c r="B1241">
        <v>0.48699999999999999</v>
      </c>
      <c r="C1241">
        <v>0</v>
      </c>
      <c r="D1241">
        <v>0.26771774193548387</v>
      </c>
    </row>
    <row r="1242" spans="1:4" x14ac:dyDescent="0.25">
      <c r="A1242" t="s">
        <v>2422</v>
      </c>
      <c r="B1242">
        <v>0.48399999999999999</v>
      </c>
      <c r="C1242">
        <v>0</v>
      </c>
      <c r="D1242">
        <v>0.32824516129032255</v>
      </c>
    </row>
    <row r="1243" spans="1:4" x14ac:dyDescent="0.25">
      <c r="A1243" t="s">
        <v>1684</v>
      </c>
      <c r="B1243">
        <v>0.48230000000000001</v>
      </c>
      <c r="C1243">
        <v>0</v>
      </c>
      <c r="D1243">
        <v>9.1164516129032272E-2</v>
      </c>
    </row>
    <row r="1244" spans="1:4" x14ac:dyDescent="0.25">
      <c r="A1244" t="s">
        <v>1230</v>
      </c>
      <c r="B1244">
        <v>0.48199999999999998</v>
      </c>
      <c r="C1244">
        <v>0</v>
      </c>
      <c r="D1244">
        <v>0.25890322580645159</v>
      </c>
    </row>
    <row r="1245" spans="1:4" x14ac:dyDescent="0.25">
      <c r="A1245" t="s">
        <v>869</v>
      </c>
      <c r="B1245">
        <v>0.48</v>
      </c>
      <c r="C1245">
        <v>0</v>
      </c>
      <c r="D1245">
        <v>0.18866129032258067</v>
      </c>
    </row>
    <row r="1246" spans="1:4" x14ac:dyDescent="0.25">
      <c r="A1246" t="s">
        <v>1402</v>
      </c>
      <c r="B1246">
        <v>0.47987000000000002</v>
      </c>
      <c r="C1246">
        <v>0</v>
      </c>
      <c r="D1246">
        <v>0.25118512903225809</v>
      </c>
    </row>
    <row r="1247" spans="1:4" x14ac:dyDescent="0.25">
      <c r="A1247" t="s">
        <v>2166</v>
      </c>
      <c r="B1247">
        <v>0.47899999999999998</v>
      </c>
      <c r="C1247">
        <v>0</v>
      </c>
      <c r="D1247">
        <v>0.4266693548387096</v>
      </c>
    </row>
    <row r="1248" spans="1:4" x14ac:dyDescent="0.25">
      <c r="A1248" t="s">
        <v>2339</v>
      </c>
      <c r="B1248">
        <v>0.47799999999999998</v>
      </c>
      <c r="C1248">
        <v>0</v>
      </c>
      <c r="D1248">
        <v>0.30585483870967745</v>
      </c>
    </row>
    <row r="1249" spans="1:4" x14ac:dyDescent="0.25">
      <c r="A1249" t="s">
        <v>2778</v>
      </c>
      <c r="B1249">
        <v>0.47699999999999998</v>
      </c>
      <c r="C1249">
        <v>0.218</v>
      </c>
      <c r="D1249">
        <v>0.33934677419354825</v>
      </c>
    </row>
    <row r="1250" spans="1:4" x14ac:dyDescent="0.25">
      <c r="A1250" t="s">
        <v>1909</v>
      </c>
      <c r="B1250">
        <v>0.47583199999999998</v>
      </c>
      <c r="C1250">
        <v>5.7000000000000002E-2</v>
      </c>
      <c r="D1250">
        <v>0.17412285483870968</v>
      </c>
    </row>
    <row r="1251" spans="1:4" x14ac:dyDescent="0.25">
      <c r="A1251" t="s">
        <v>1803</v>
      </c>
      <c r="B1251">
        <v>0.47499999999999998</v>
      </c>
      <c r="C1251">
        <v>0</v>
      </c>
      <c r="D1251">
        <v>0.33051612903225824</v>
      </c>
    </row>
    <row r="1252" spans="1:4" x14ac:dyDescent="0.25">
      <c r="A1252" t="s">
        <v>2274</v>
      </c>
      <c r="B1252">
        <v>0.47499999999999998</v>
      </c>
      <c r="C1252">
        <v>0.22700000000000001</v>
      </c>
      <c r="D1252">
        <v>0.3380967741935485</v>
      </c>
    </row>
    <row r="1253" spans="1:4" x14ac:dyDescent="0.25">
      <c r="A1253" t="s">
        <v>852</v>
      </c>
      <c r="B1253">
        <v>0.47020000000000001</v>
      </c>
      <c r="C1253">
        <v>0</v>
      </c>
      <c r="D1253">
        <v>9.3772580645161321E-2</v>
      </c>
    </row>
    <row r="1254" spans="1:4" x14ac:dyDescent="0.25">
      <c r="A1254" t="s">
        <v>1056</v>
      </c>
      <c r="B1254">
        <v>0.47</v>
      </c>
      <c r="C1254">
        <v>0</v>
      </c>
      <c r="D1254">
        <v>2.1257258064516133E-2</v>
      </c>
    </row>
    <row r="1255" spans="1:4" x14ac:dyDescent="0.25">
      <c r="A1255" t="s">
        <v>1059</v>
      </c>
      <c r="B1255">
        <v>0.47</v>
      </c>
      <c r="C1255">
        <v>0</v>
      </c>
      <c r="D1255">
        <v>0.1809845161290323</v>
      </c>
    </row>
    <row r="1256" spans="1:4" x14ac:dyDescent="0.25">
      <c r="A1256" t="s">
        <v>2786</v>
      </c>
      <c r="B1256">
        <v>0.4698</v>
      </c>
      <c r="C1256">
        <v>0</v>
      </c>
      <c r="D1256">
        <v>0.30674435483870977</v>
      </c>
    </row>
    <row r="1257" spans="1:4" x14ac:dyDescent="0.25">
      <c r="A1257" t="s">
        <v>75</v>
      </c>
      <c r="B1257">
        <v>0.46899999999999997</v>
      </c>
      <c r="C1257">
        <v>0</v>
      </c>
      <c r="D1257">
        <v>0.31964516129032267</v>
      </c>
    </row>
    <row r="1258" spans="1:4" x14ac:dyDescent="0.25">
      <c r="A1258" t="s">
        <v>2752</v>
      </c>
      <c r="B1258">
        <v>0.46899999999999997</v>
      </c>
      <c r="C1258">
        <v>0</v>
      </c>
      <c r="D1258">
        <v>0.27300000000000002</v>
      </c>
    </row>
    <row r="1259" spans="1:4" x14ac:dyDescent="0.25">
      <c r="A1259" t="s">
        <v>459</v>
      </c>
      <c r="B1259">
        <v>0.46899999999999997</v>
      </c>
      <c r="C1259">
        <v>0</v>
      </c>
      <c r="D1259">
        <v>0.1608601612903226</v>
      </c>
    </row>
    <row r="1260" spans="1:4" x14ac:dyDescent="0.25">
      <c r="A1260" t="s">
        <v>1868</v>
      </c>
      <c r="B1260">
        <v>0.46700000000000003</v>
      </c>
      <c r="C1260">
        <v>0.13</v>
      </c>
      <c r="D1260">
        <v>0.24843548387096773</v>
      </c>
    </row>
    <row r="1261" spans="1:4" x14ac:dyDescent="0.25">
      <c r="A1261" t="s">
        <v>779</v>
      </c>
      <c r="B1261">
        <v>0.46600000000000003</v>
      </c>
      <c r="C1261">
        <v>0</v>
      </c>
      <c r="D1261">
        <v>0.13337822580645156</v>
      </c>
    </row>
    <row r="1262" spans="1:4" x14ac:dyDescent="0.25">
      <c r="A1262" t="s">
        <v>10</v>
      </c>
      <c r="B1262">
        <v>0.46500000000000002</v>
      </c>
      <c r="C1262">
        <v>0</v>
      </c>
      <c r="D1262">
        <v>0.19725806451612901</v>
      </c>
    </row>
    <row r="1263" spans="1:4" x14ac:dyDescent="0.25">
      <c r="A1263" t="s">
        <v>2399</v>
      </c>
      <c r="B1263">
        <v>0.46400000000000002</v>
      </c>
      <c r="C1263">
        <v>0</v>
      </c>
      <c r="D1263">
        <v>0.34406451612903222</v>
      </c>
    </row>
    <row r="1264" spans="1:4" x14ac:dyDescent="0.25">
      <c r="A1264" t="s">
        <v>105</v>
      </c>
      <c r="B1264">
        <v>0.46400000000000002</v>
      </c>
      <c r="C1264">
        <v>0</v>
      </c>
      <c r="D1264">
        <v>0.29297580645161292</v>
      </c>
    </row>
    <row r="1265" spans="1:4" x14ac:dyDescent="0.25">
      <c r="A1265" t="s">
        <v>2400</v>
      </c>
      <c r="B1265">
        <v>0.46300000000000002</v>
      </c>
      <c r="C1265">
        <v>0</v>
      </c>
      <c r="D1265">
        <v>0.35437096774193566</v>
      </c>
    </row>
    <row r="1266" spans="1:4" x14ac:dyDescent="0.25">
      <c r="A1266" t="s">
        <v>1110</v>
      </c>
      <c r="B1266">
        <v>0.46300000000000002</v>
      </c>
      <c r="C1266">
        <v>0.22700000000000001</v>
      </c>
      <c r="D1266">
        <v>0.33805645161290315</v>
      </c>
    </row>
    <row r="1267" spans="1:4" x14ac:dyDescent="0.25">
      <c r="A1267" t="s">
        <v>2563</v>
      </c>
      <c r="B1267">
        <v>0.46</v>
      </c>
      <c r="C1267">
        <v>0</v>
      </c>
      <c r="D1267">
        <v>0.16430645161290328</v>
      </c>
    </row>
    <row r="1268" spans="1:4" x14ac:dyDescent="0.25">
      <c r="A1268" t="s">
        <v>1568</v>
      </c>
      <c r="B1268">
        <v>0.45988200000000001</v>
      </c>
      <c r="C1268">
        <v>0.18223500000000001</v>
      </c>
      <c r="D1268">
        <v>0.30684826612903238</v>
      </c>
    </row>
    <row r="1269" spans="1:4" x14ac:dyDescent="0.25">
      <c r="A1269" t="s">
        <v>965</v>
      </c>
      <c r="B1269">
        <v>0.45900000000000002</v>
      </c>
      <c r="C1269">
        <v>0</v>
      </c>
      <c r="D1269">
        <v>0.3266523387096773</v>
      </c>
    </row>
    <row r="1270" spans="1:4" x14ac:dyDescent="0.25">
      <c r="A1270" t="s">
        <v>1934</v>
      </c>
      <c r="B1270">
        <v>0.45800000000000002</v>
      </c>
      <c r="C1270">
        <v>0.28000000000000003</v>
      </c>
      <c r="D1270">
        <v>0.3584492903225806</v>
      </c>
    </row>
    <row r="1271" spans="1:4" x14ac:dyDescent="0.25">
      <c r="A1271" t="s">
        <v>824</v>
      </c>
      <c r="B1271">
        <v>0.45</v>
      </c>
      <c r="C1271">
        <v>0.13200000000000001</v>
      </c>
      <c r="D1271">
        <v>0.26915161290322581</v>
      </c>
    </row>
    <row r="1272" spans="1:4" x14ac:dyDescent="0.25">
      <c r="A1272" t="s">
        <v>1017</v>
      </c>
      <c r="B1272">
        <v>0.45</v>
      </c>
      <c r="C1272">
        <v>0.28000000000000003</v>
      </c>
      <c r="D1272">
        <v>0.35290322580645173</v>
      </c>
    </row>
    <row r="1273" spans="1:4" x14ac:dyDescent="0.25">
      <c r="A1273" t="s">
        <v>481</v>
      </c>
      <c r="B1273">
        <v>0.44800000000000001</v>
      </c>
      <c r="C1273">
        <v>0</v>
      </c>
      <c r="D1273">
        <v>0.25767741935483862</v>
      </c>
    </row>
    <row r="1274" spans="1:4" x14ac:dyDescent="0.25">
      <c r="A1274" t="s">
        <v>1875</v>
      </c>
      <c r="B1274">
        <v>0.44790000000000002</v>
      </c>
      <c r="C1274">
        <v>0.23619999999999999</v>
      </c>
      <c r="D1274">
        <v>0.29859758064516123</v>
      </c>
    </row>
    <row r="1275" spans="1:4" x14ac:dyDescent="0.25">
      <c r="A1275" t="s">
        <v>1842</v>
      </c>
      <c r="B1275">
        <v>0.44771</v>
      </c>
      <c r="C1275">
        <v>0</v>
      </c>
      <c r="D1275">
        <v>0.31463750806451612</v>
      </c>
    </row>
    <row r="1276" spans="1:4" x14ac:dyDescent="0.25">
      <c r="A1276" t="s">
        <v>2690</v>
      </c>
      <c r="B1276">
        <v>0.44600000000000001</v>
      </c>
      <c r="C1276">
        <v>0.108</v>
      </c>
      <c r="D1276">
        <v>0.26250806451612907</v>
      </c>
    </row>
    <row r="1277" spans="1:4" x14ac:dyDescent="0.25">
      <c r="A1277" t="s">
        <v>1365</v>
      </c>
      <c r="B1277">
        <v>0.44500000000000001</v>
      </c>
      <c r="C1277">
        <v>0</v>
      </c>
      <c r="D1277">
        <v>0.24661667741935489</v>
      </c>
    </row>
    <row r="1278" spans="1:4" x14ac:dyDescent="0.25">
      <c r="A1278" t="s">
        <v>1788</v>
      </c>
      <c r="B1278">
        <v>0.44400000000000001</v>
      </c>
      <c r="C1278">
        <v>0</v>
      </c>
      <c r="D1278">
        <v>0.11187096774193545</v>
      </c>
    </row>
    <row r="1279" spans="1:4" x14ac:dyDescent="0.25">
      <c r="A1279" t="s">
        <v>1796</v>
      </c>
      <c r="B1279">
        <v>0.44400000000000001</v>
      </c>
      <c r="C1279">
        <v>0</v>
      </c>
      <c r="D1279">
        <v>0.26667741935483869</v>
      </c>
    </row>
    <row r="1280" spans="1:4" x14ac:dyDescent="0.25">
      <c r="A1280" t="s">
        <v>390</v>
      </c>
      <c r="B1280">
        <v>0.443</v>
      </c>
      <c r="C1280">
        <v>0</v>
      </c>
      <c r="D1280">
        <v>0.26334677419354841</v>
      </c>
    </row>
    <row r="1281" spans="1:4" x14ac:dyDescent="0.25">
      <c r="A1281" t="s">
        <v>391</v>
      </c>
      <c r="B1281">
        <v>0.443</v>
      </c>
      <c r="C1281">
        <v>0</v>
      </c>
      <c r="D1281">
        <v>0.25127258064516128</v>
      </c>
    </row>
    <row r="1282" spans="1:4" x14ac:dyDescent="0.25">
      <c r="A1282" t="s">
        <v>2842</v>
      </c>
      <c r="B1282">
        <v>0.442</v>
      </c>
      <c r="C1282">
        <v>0</v>
      </c>
      <c r="D1282">
        <v>0.21973198387096782</v>
      </c>
    </row>
    <row r="1283" spans="1:4" x14ac:dyDescent="0.25">
      <c r="A1283" t="s">
        <v>1273</v>
      </c>
      <c r="B1283">
        <v>0.44</v>
      </c>
      <c r="C1283">
        <v>0.02</v>
      </c>
      <c r="D1283">
        <v>0.20233870967741932</v>
      </c>
    </row>
    <row r="1284" spans="1:4" x14ac:dyDescent="0.25">
      <c r="A1284" t="s">
        <v>506</v>
      </c>
      <c r="B1284">
        <v>0.44</v>
      </c>
      <c r="C1284">
        <v>0</v>
      </c>
      <c r="D1284">
        <v>0.17734677419354847</v>
      </c>
    </row>
    <row r="1285" spans="1:4" x14ac:dyDescent="0.25">
      <c r="A1285" t="s">
        <v>2084</v>
      </c>
      <c r="B1285">
        <v>0.43980599999999997</v>
      </c>
      <c r="C1285">
        <v>0</v>
      </c>
      <c r="D1285">
        <v>0.36681241935483871</v>
      </c>
    </row>
    <row r="1286" spans="1:4" x14ac:dyDescent="0.25">
      <c r="A1286" t="s">
        <v>527</v>
      </c>
      <c r="B1286">
        <v>0.437</v>
      </c>
      <c r="C1286">
        <v>0</v>
      </c>
      <c r="D1286">
        <v>0.28579032258064518</v>
      </c>
    </row>
    <row r="1287" spans="1:4" x14ac:dyDescent="0.25">
      <c r="A1287" t="s">
        <v>985</v>
      </c>
      <c r="B1287">
        <v>0.437</v>
      </c>
      <c r="C1287">
        <v>0</v>
      </c>
      <c r="D1287">
        <v>0.28500806451612903</v>
      </c>
    </row>
    <row r="1288" spans="1:4" x14ac:dyDescent="0.25">
      <c r="A1288" t="s">
        <v>2200</v>
      </c>
      <c r="B1288">
        <v>0.435</v>
      </c>
      <c r="C1288">
        <v>0</v>
      </c>
      <c r="D1288">
        <v>0.38854838709677425</v>
      </c>
    </row>
    <row r="1289" spans="1:4" x14ac:dyDescent="0.25">
      <c r="A1289" t="s">
        <v>2288</v>
      </c>
      <c r="B1289">
        <v>0.43480000000000002</v>
      </c>
      <c r="C1289">
        <v>2.4E-2</v>
      </c>
      <c r="D1289">
        <v>0.25173620161290322</v>
      </c>
    </row>
    <row r="1290" spans="1:4" x14ac:dyDescent="0.25">
      <c r="A1290" t="s">
        <v>2100</v>
      </c>
      <c r="B1290">
        <v>0.434</v>
      </c>
      <c r="C1290">
        <v>0.434</v>
      </c>
      <c r="D1290">
        <v>0.43400000000000027</v>
      </c>
    </row>
    <row r="1291" spans="1:4" x14ac:dyDescent="0.25">
      <c r="A1291" t="s">
        <v>475</v>
      </c>
      <c r="B1291">
        <v>0.433</v>
      </c>
      <c r="C1291">
        <v>0</v>
      </c>
      <c r="D1291">
        <v>0.28597580645161297</v>
      </c>
    </row>
    <row r="1292" spans="1:4" x14ac:dyDescent="0.25">
      <c r="A1292" t="s">
        <v>2561</v>
      </c>
      <c r="B1292">
        <v>0.432</v>
      </c>
      <c r="C1292">
        <v>0</v>
      </c>
      <c r="D1292">
        <v>0.17651612903225808</v>
      </c>
    </row>
    <row r="1293" spans="1:4" x14ac:dyDescent="0.25">
      <c r="A1293" t="s">
        <v>1173</v>
      </c>
      <c r="B1293">
        <v>0.43099999999999999</v>
      </c>
      <c r="C1293">
        <v>0.13400000000000001</v>
      </c>
      <c r="D1293">
        <v>0.29148790322580653</v>
      </c>
    </row>
    <row r="1294" spans="1:4" x14ac:dyDescent="0.25">
      <c r="A1294" t="s">
        <v>2135</v>
      </c>
      <c r="B1294">
        <v>0.43099999999999999</v>
      </c>
      <c r="C1294">
        <v>0</v>
      </c>
      <c r="D1294">
        <v>0.34276612903225812</v>
      </c>
    </row>
    <row r="1295" spans="1:4" x14ac:dyDescent="0.25">
      <c r="A1295" t="s">
        <v>866</v>
      </c>
      <c r="B1295">
        <v>0.43</v>
      </c>
      <c r="C1295">
        <v>0</v>
      </c>
      <c r="D1295">
        <v>0.18056451612903224</v>
      </c>
    </row>
    <row r="1296" spans="1:4" x14ac:dyDescent="0.25">
      <c r="A1296" t="s">
        <v>225</v>
      </c>
      <c r="B1296">
        <v>0.43</v>
      </c>
      <c r="C1296">
        <v>0</v>
      </c>
      <c r="D1296">
        <v>0.19774193548387095</v>
      </c>
    </row>
    <row r="1297" spans="1:4" x14ac:dyDescent="0.25">
      <c r="A1297" t="s">
        <v>1855</v>
      </c>
      <c r="B1297">
        <v>0.42899999999999999</v>
      </c>
      <c r="C1297">
        <v>0</v>
      </c>
      <c r="D1297">
        <v>0.2918951612903225</v>
      </c>
    </row>
    <row r="1298" spans="1:4" x14ac:dyDescent="0.25">
      <c r="A1298" t="s">
        <v>2142</v>
      </c>
      <c r="B1298">
        <v>0.42895499999999998</v>
      </c>
      <c r="C1298">
        <v>3.7662000000000001E-2</v>
      </c>
      <c r="D1298">
        <v>0.13772675806451612</v>
      </c>
    </row>
    <row r="1299" spans="1:4" x14ac:dyDescent="0.25">
      <c r="A1299" t="s">
        <v>2750</v>
      </c>
      <c r="B1299">
        <v>0.42799999999999999</v>
      </c>
      <c r="C1299">
        <v>0</v>
      </c>
      <c r="D1299">
        <v>0.26333064516129023</v>
      </c>
    </row>
    <row r="1300" spans="1:4" x14ac:dyDescent="0.25">
      <c r="A1300" t="s">
        <v>1961</v>
      </c>
      <c r="B1300">
        <v>0.42799999999999999</v>
      </c>
      <c r="C1300">
        <v>0</v>
      </c>
      <c r="D1300">
        <v>0.30942437903225806</v>
      </c>
    </row>
    <row r="1301" spans="1:4" x14ac:dyDescent="0.25">
      <c r="A1301" t="s">
        <v>195</v>
      </c>
      <c r="B1301">
        <v>0.42799999999999999</v>
      </c>
      <c r="C1301">
        <v>0</v>
      </c>
      <c r="D1301">
        <v>0.30735603225806463</v>
      </c>
    </row>
    <row r="1302" spans="1:4" x14ac:dyDescent="0.25">
      <c r="A1302" t="s">
        <v>149</v>
      </c>
      <c r="B1302">
        <v>0.42699999999999999</v>
      </c>
      <c r="C1302">
        <v>0.18687100000000001</v>
      </c>
      <c r="D1302">
        <v>0.28955088709677412</v>
      </c>
    </row>
    <row r="1303" spans="1:4" x14ac:dyDescent="0.25">
      <c r="A1303" t="s">
        <v>1623</v>
      </c>
      <c r="B1303">
        <v>0.42599999999999999</v>
      </c>
      <c r="C1303">
        <v>0.186</v>
      </c>
      <c r="D1303">
        <v>0.27805000000000007</v>
      </c>
    </row>
    <row r="1304" spans="1:4" x14ac:dyDescent="0.25">
      <c r="A1304" t="s">
        <v>1879</v>
      </c>
      <c r="B1304">
        <v>0.42580000000000001</v>
      </c>
      <c r="C1304">
        <v>0</v>
      </c>
      <c r="D1304">
        <v>0.21058790322580645</v>
      </c>
    </row>
    <row r="1305" spans="1:4" x14ac:dyDescent="0.25">
      <c r="A1305" t="s">
        <v>2094</v>
      </c>
      <c r="B1305">
        <v>0.42499999999999999</v>
      </c>
      <c r="C1305">
        <v>0</v>
      </c>
      <c r="D1305">
        <v>0.24044354838709678</v>
      </c>
    </row>
    <row r="1306" spans="1:4" x14ac:dyDescent="0.25">
      <c r="A1306" t="s">
        <v>733</v>
      </c>
      <c r="B1306">
        <v>0.42299999999999999</v>
      </c>
      <c r="C1306">
        <v>0.17299999999999999</v>
      </c>
      <c r="D1306">
        <v>0.29601612903225799</v>
      </c>
    </row>
    <row r="1307" spans="1:4" x14ac:dyDescent="0.25">
      <c r="A1307" t="s">
        <v>734</v>
      </c>
      <c r="B1307">
        <v>0.42299999999999999</v>
      </c>
      <c r="C1307">
        <v>0</v>
      </c>
      <c r="D1307">
        <v>0.33720967741935465</v>
      </c>
    </row>
    <row r="1308" spans="1:4" x14ac:dyDescent="0.25">
      <c r="A1308" t="s">
        <v>1996</v>
      </c>
      <c r="B1308">
        <v>0.42199999999999999</v>
      </c>
      <c r="C1308">
        <v>0</v>
      </c>
      <c r="D1308">
        <v>0.31812096774193549</v>
      </c>
    </row>
    <row r="1309" spans="1:4" x14ac:dyDescent="0.25">
      <c r="A1309" t="s">
        <v>2178</v>
      </c>
      <c r="B1309">
        <v>0.42199999999999999</v>
      </c>
      <c r="C1309">
        <v>0</v>
      </c>
      <c r="D1309">
        <v>0.33703225806451637</v>
      </c>
    </row>
    <row r="1310" spans="1:4" x14ac:dyDescent="0.25">
      <c r="A1310" t="s">
        <v>959</v>
      </c>
      <c r="B1310">
        <v>0.42099999999999999</v>
      </c>
      <c r="C1310">
        <v>0</v>
      </c>
      <c r="D1310">
        <v>0.17855645161290334</v>
      </c>
    </row>
    <row r="1311" spans="1:4" x14ac:dyDescent="0.25">
      <c r="A1311" t="s">
        <v>258</v>
      </c>
      <c r="B1311">
        <v>0.42099999999999999</v>
      </c>
      <c r="C1311">
        <v>0.26064500000000002</v>
      </c>
      <c r="D1311">
        <v>0.32034536290322585</v>
      </c>
    </row>
    <row r="1312" spans="1:4" x14ac:dyDescent="0.25">
      <c r="A1312" t="s">
        <v>2065</v>
      </c>
      <c r="B1312">
        <v>0.42021999999999998</v>
      </c>
      <c r="C1312">
        <v>0</v>
      </c>
      <c r="D1312">
        <v>0.30533967741935475</v>
      </c>
    </row>
    <row r="1313" spans="1:4" x14ac:dyDescent="0.25">
      <c r="A1313" t="s">
        <v>801</v>
      </c>
      <c r="B1313">
        <v>0.42</v>
      </c>
      <c r="C1313">
        <v>0.13969999999999999</v>
      </c>
      <c r="D1313">
        <v>0.24158122580645169</v>
      </c>
    </row>
    <row r="1314" spans="1:4" x14ac:dyDescent="0.25">
      <c r="A1314" t="s">
        <v>398</v>
      </c>
      <c r="B1314">
        <v>0.42</v>
      </c>
      <c r="C1314">
        <v>0</v>
      </c>
      <c r="D1314">
        <v>0.22208064516129028</v>
      </c>
    </row>
    <row r="1315" spans="1:4" x14ac:dyDescent="0.25">
      <c r="A1315" t="s">
        <v>2554</v>
      </c>
      <c r="B1315">
        <v>0.42</v>
      </c>
      <c r="C1315">
        <v>0</v>
      </c>
      <c r="D1315">
        <v>9.9943548387096751E-2</v>
      </c>
    </row>
    <row r="1316" spans="1:4" x14ac:dyDescent="0.25">
      <c r="A1316" t="s">
        <v>1341</v>
      </c>
      <c r="B1316">
        <v>0.41699999999999998</v>
      </c>
      <c r="C1316">
        <v>0</v>
      </c>
      <c r="D1316">
        <v>0.19590322580645161</v>
      </c>
    </row>
    <row r="1317" spans="1:4" x14ac:dyDescent="0.25">
      <c r="A1317" t="s">
        <v>1464</v>
      </c>
      <c r="B1317">
        <v>0.41599999999999998</v>
      </c>
      <c r="C1317">
        <v>0</v>
      </c>
      <c r="D1317">
        <v>0.25949193548387089</v>
      </c>
    </row>
    <row r="1318" spans="1:4" x14ac:dyDescent="0.25">
      <c r="A1318" t="s">
        <v>255</v>
      </c>
      <c r="B1318">
        <v>0.41499999999999998</v>
      </c>
      <c r="C1318">
        <v>0.125</v>
      </c>
      <c r="D1318">
        <v>0.24863870967741933</v>
      </c>
    </row>
    <row r="1319" spans="1:4" x14ac:dyDescent="0.25">
      <c r="A1319" t="s">
        <v>2121</v>
      </c>
      <c r="B1319">
        <v>0.41399999999999998</v>
      </c>
      <c r="C1319">
        <v>0</v>
      </c>
      <c r="D1319">
        <v>0.29472580645161295</v>
      </c>
    </row>
    <row r="1320" spans="1:4" x14ac:dyDescent="0.25">
      <c r="A1320" t="s">
        <v>1181</v>
      </c>
      <c r="B1320">
        <v>0.41199999999999998</v>
      </c>
      <c r="C1320">
        <v>0.159</v>
      </c>
      <c r="D1320">
        <v>0.25578225806451615</v>
      </c>
    </row>
    <row r="1321" spans="1:4" x14ac:dyDescent="0.25">
      <c r="A1321" t="s">
        <v>2730</v>
      </c>
      <c r="B1321">
        <v>0.41099999999999998</v>
      </c>
      <c r="C1321">
        <v>0</v>
      </c>
      <c r="D1321">
        <v>0.31837096774193557</v>
      </c>
    </row>
    <row r="1322" spans="1:4" x14ac:dyDescent="0.25">
      <c r="A1322" t="s">
        <v>1400</v>
      </c>
      <c r="B1322">
        <v>0.41</v>
      </c>
      <c r="C1322">
        <v>0</v>
      </c>
      <c r="D1322">
        <v>0.1420366774193548</v>
      </c>
    </row>
    <row r="1323" spans="1:4" x14ac:dyDescent="0.25">
      <c r="A1323" t="s">
        <v>246</v>
      </c>
      <c r="B1323">
        <v>0.41</v>
      </c>
      <c r="C1323">
        <v>0</v>
      </c>
      <c r="D1323">
        <v>6.6322580645161291E-2</v>
      </c>
    </row>
    <row r="1324" spans="1:4" x14ac:dyDescent="0.25">
      <c r="A1324" t="s">
        <v>576</v>
      </c>
      <c r="B1324">
        <v>0.40899999999999997</v>
      </c>
      <c r="C1324">
        <v>0</v>
      </c>
      <c r="D1324">
        <v>0.11075806451612903</v>
      </c>
    </row>
    <row r="1325" spans="1:4" x14ac:dyDescent="0.25">
      <c r="A1325" t="s">
        <v>2490</v>
      </c>
      <c r="B1325">
        <v>0.40873900000000002</v>
      </c>
      <c r="C1325">
        <v>0</v>
      </c>
      <c r="D1325">
        <v>0.28833283870967746</v>
      </c>
    </row>
    <row r="1326" spans="1:4" x14ac:dyDescent="0.25">
      <c r="A1326" t="s">
        <v>186</v>
      </c>
      <c r="B1326">
        <v>0.40500000000000003</v>
      </c>
      <c r="C1326">
        <v>0</v>
      </c>
      <c r="D1326">
        <v>0.32578548387096767</v>
      </c>
    </row>
    <row r="1327" spans="1:4" x14ac:dyDescent="0.25">
      <c r="A1327" t="s">
        <v>2367</v>
      </c>
      <c r="B1327">
        <v>0.40400000000000003</v>
      </c>
      <c r="C1327">
        <v>0</v>
      </c>
      <c r="D1327">
        <v>0.11462903225806452</v>
      </c>
    </row>
    <row r="1328" spans="1:4" x14ac:dyDescent="0.25">
      <c r="A1328" t="s">
        <v>1228</v>
      </c>
      <c r="B1328">
        <v>0.40400000000000003</v>
      </c>
      <c r="C1328">
        <v>0</v>
      </c>
      <c r="D1328">
        <v>0.12770303225806451</v>
      </c>
    </row>
    <row r="1329" spans="1:4" x14ac:dyDescent="0.25">
      <c r="A1329" t="s">
        <v>2333</v>
      </c>
      <c r="B1329">
        <v>0.40300000000000002</v>
      </c>
      <c r="C1329">
        <v>0</v>
      </c>
      <c r="D1329">
        <v>0.26670967741935492</v>
      </c>
    </row>
    <row r="1330" spans="1:4" x14ac:dyDescent="0.25">
      <c r="A1330" t="s">
        <v>1121</v>
      </c>
      <c r="B1330">
        <v>0.40200000000000002</v>
      </c>
      <c r="C1330">
        <v>0</v>
      </c>
      <c r="D1330">
        <v>0.12064516129032257</v>
      </c>
    </row>
    <row r="1331" spans="1:4" x14ac:dyDescent="0.25">
      <c r="A1331" t="s">
        <v>171</v>
      </c>
      <c r="B1331">
        <v>0.40100000000000002</v>
      </c>
      <c r="C1331">
        <v>0</v>
      </c>
      <c r="D1331">
        <v>0.28152419354838709</v>
      </c>
    </row>
    <row r="1332" spans="1:4" x14ac:dyDescent="0.25">
      <c r="A1332" t="s">
        <v>1753</v>
      </c>
      <c r="B1332">
        <v>0.4</v>
      </c>
      <c r="C1332">
        <v>0</v>
      </c>
      <c r="D1332">
        <v>0.27741935483870972</v>
      </c>
    </row>
    <row r="1333" spans="1:4" x14ac:dyDescent="0.25">
      <c r="A1333" t="s">
        <v>2682</v>
      </c>
      <c r="B1333">
        <v>0.4</v>
      </c>
      <c r="C1333">
        <v>0</v>
      </c>
      <c r="D1333">
        <v>0.27230645161290334</v>
      </c>
    </row>
    <row r="1334" spans="1:4" x14ac:dyDescent="0.25">
      <c r="A1334" t="s">
        <v>1670</v>
      </c>
      <c r="B1334">
        <v>0.4</v>
      </c>
      <c r="C1334">
        <v>0</v>
      </c>
      <c r="D1334">
        <v>0.25476612903225804</v>
      </c>
    </row>
    <row r="1335" spans="1:4" x14ac:dyDescent="0.25">
      <c r="A1335" t="s">
        <v>1435</v>
      </c>
      <c r="B1335">
        <v>0.4</v>
      </c>
      <c r="C1335">
        <v>0.14899999999999999</v>
      </c>
      <c r="D1335">
        <v>0.24342741935483869</v>
      </c>
    </row>
    <row r="1336" spans="1:4" x14ac:dyDescent="0.25">
      <c r="A1336" t="s">
        <v>1123</v>
      </c>
      <c r="B1336">
        <v>0.4</v>
      </c>
      <c r="C1336">
        <v>0</v>
      </c>
      <c r="D1336">
        <v>0.27241935483870988</v>
      </c>
    </row>
    <row r="1337" spans="1:4" x14ac:dyDescent="0.25">
      <c r="A1337" t="s">
        <v>2341</v>
      </c>
      <c r="B1337">
        <v>0.4</v>
      </c>
      <c r="C1337">
        <v>0</v>
      </c>
      <c r="D1337">
        <v>9.1709677419354832E-2</v>
      </c>
    </row>
    <row r="1338" spans="1:4" x14ac:dyDescent="0.25">
      <c r="A1338" t="s">
        <v>908</v>
      </c>
      <c r="B1338">
        <v>0.39910000000000001</v>
      </c>
      <c r="C1338">
        <v>0</v>
      </c>
      <c r="D1338">
        <v>9.0384677419354811E-2</v>
      </c>
    </row>
    <row r="1339" spans="1:4" x14ac:dyDescent="0.25">
      <c r="A1339" t="s">
        <v>2317</v>
      </c>
      <c r="B1339">
        <v>0.39800000000000002</v>
      </c>
      <c r="C1339">
        <v>0</v>
      </c>
      <c r="D1339">
        <v>0.26616129032258068</v>
      </c>
    </row>
    <row r="1340" spans="1:4" x14ac:dyDescent="0.25">
      <c r="A1340" t="s">
        <v>214</v>
      </c>
      <c r="B1340">
        <v>0.39500000000000002</v>
      </c>
      <c r="C1340">
        <v>0</v>
      </c>
      <c r="D1340">
        <v>5.0499999999999996E-2</v>
      </c>
    </row>
    <row r="1341" spans="1:4" x14ac:dyDescent="0.25">
      <c r="A1341" t="s">
        <v>2547</v>
      </c>
      <c r="B1341">
        <v>0.39406200000000002</v>
      </c>
      <c r="C1341">
        <v>0</v>
      </c>
      <c r="D1341">
        <v>0.18110946919354837</v>
      </c>
    </row>
    <row r="1342" spans="1:4" x14ac:dyDescent="0.25">
      <c r="A1342" t="s">
        <v>342</v>
      </c>
      <c r="B1342">
        <v>0.39400000000000002</v>
      </c>
      <c r="C1342">
        <v>0</v>
      </c>
      <c r="D1342">
        <v>0.19676774193548388</v>
      </c>
    </row>
    <row r="1343" spans="1:4" x14ac:dyDescent="0.25">
      <c r="A1343" t="s">
        <v>1029</v>
      </c>
      <c r="B1343">
        <v>0.39400000000000002</v>
      </c>
      <c r="C1343">
        <v>0</v>
      </c>
      <c r="D1343">
        <v>0.17396612903225803</v>
      </c>
    </row>
    <row r="1344" spans="1:4" x14ac:dyDescent="0.25">
      <c r="A1344" t="s">
        <v>2155</v>
      </c>
      <c r="B1344">
        <v>0.39300000000000002</v>
      </c>
      <c r="C1344">
        <v>0</v>
      </c>
      <c r="D1344">
        <v>0.29269032258064526</v>
      </c>
    </row>
    <row r="1345" spans="1:4" x14ac:dyDescent="0.25">
      <c r="A1345" t="s">
        <v>2746</v>
      </c>
      <c r="B1345">
        <v>0.39100000000000001</v>
      </c>
      <c r="C1345">
        <v>0.152</v>
      </c>
      <c r="D1345">
        <v>0.26180645161290322</v>
      </c>
    </row>
    <row r="1346" spans="1:4" x14ac:dyDescent="0.25">
      <c r="A1346" t="s">
        <v>157</v>
      </c>
      <c r="B1346">
        <v>0.39100000000000001</v>
      </c>
      <c r="C1346">
        <v>0</v>
      </c>
      <c r="D1346">
        <v>0.11278629032258067</v>
      </c>
    </row>
    <row r="1347" spans="1:4" x14ac:dyDescent="0.25">
      <c r="A1347" t="s">
        <v>762</v>
      </c>
      <c r="B1347">
        <v>0.39</v>
      </c>
      <c r="C1347">
        <v>0</v>
      </c>
      <c r="D1347">
        <v>0.22583870967741937</v>
      </c>
    </row>
    <row r="1348" spans="1:4" x14ac:dyDescent="0.25">
      <c r="A1348" t="s">
        <v>629</v>
      </c>
      <c r="B1348">
        <v>0.39</v>
      </c>
      <c r="C1348">
        <v>0</v>
      </c>
      <c r="D1348">
        <v>0.25324999999999998</v>
      </c>
    </row>
    <row r="1349" spans="1:4" x14ac:dyDescent="0.25">
      <c r="A1349" t="s">
        <v>1190</v>
      </c>
      <c r="B1349">
        <v>0.39</v>
      </c>
      <c r="C1349">
        <v>0</v>
      </c>
      <c r="D1349">
        <v>9.4579919354838712E-2</v>
      </c>
    </row>
    <row r="1350" spans="1:4" x14ac:dyDescent="0.25">
      <c r="A1350" t="s">
        <v>1107</v>
      </c>
      <c r="B1350">
        <v>0.39</v>
      </c>
      <c r="C1350">
        <v>0</v>
      </c>
      <c r="D1350">
        <v>0.2822806451612902</v>
      </c>
    </row>
    <row r="1351" spans="1:4" x14ac:dyDescent="0.25">
      <c r="A1351" t="s">
        <v>2524</v>
      </c>
      <c r="B1351">
        <v>0.39</v>
      </c>
      <c r="C1351">
        <v>9.9733000000000002E-2</v>
      </c>
      <c r="D1351">
        <v>0.21366661290322575</v>
      </c>
    </row>
    <row r="1352" spans="1:4" x14ac:dyDescent="0.25">
      <c r="A1352" t="s">
        <v>2134</v>
      </c>
      <c r="B1352">
        <v>0.38635199999999997</v>
      </c>
      <c r="C1352">
        <v>0</v>
      </c>
      <c r="D1352">
        <v>0.32991407258064531</v>
      </c>
    </row>
    <row r="1353" spans="1:4" x14ac:dyDescent="0.25">
      <c r="A1353" t="s">
        <v>239</v>
      </c>
      <c r="B1353">
        <v>0.38500000000000001</v>
      </c>
      <c r="C1353">
        <v>0</v>
      </c>
      <c r="D1353">
        <v>0.23030645161290322</v>
      </c>
    </row>
    <row r="1354" spans="1:4" x14ac:dyDescent="0.25">
      <c r="A1354" t="s">
        <v>928</v>
      </c>
      <c r="B1354">
        <v>0.38429999999999997</v>
      </c>
      <c r="C1354">
        <v>0</v>
      </c>
      <c r="D1354">
        <v>0.11606846774193548</v>
      </c>
    </row>
    <row r="1355" spans="1:4" x14ac:dyDescent="0.25">
      <c r="A1355" t="s">
        <v>2025</v>
      </c>
      <c r="B1355">
        <v>0.38400000000000001</v>
      </c>
      <c r="C1355">
        <v>0</v>
      </c>
      <c r="D1355">
        <v>0.31007580645161287</v>
      </c>
    </row>
    <row r="1356" spans="1:4" x14ac:dyDescent="0.25">
      <c r="A1356" t="s">
        <v>2039</v>
      </c>
      <c r="B1356">
        <v>0.38400000000000001</v>
      </c>
      <c r="C1356">
        <v>0.28699999999999998</v>
      </c>
      <c r="D1356">
        <v>0.33267741935483863</v>
      </c>
    </row>
    <row r="1357" spans="1:4" x14ac:dyDescent="0.25">
      <c r="A1357" t="s">
        <v>1858</v>
      </c>
      <c r="B1357">
        <v>0.38300000000000001</v>
      </c>
      <c r="C1357">
        <v>0</v>
      </c>
      <c r="D1357">
        <v>0.30394354838709675</v>
      </c>
    </row>
    <row r="1358" spans="1:4" x14ac:dyDescent="0.25">
      <c r="A1358" t="s">
        <v>2580</v>
      </c>
      <c r="B1358">
        <v>0.38</v>
      </c>
      <c r="C1358">
        <v>0.1153</v>
      </c>
      <c r="D1358">
        <v>0.2431445161290324</v>
      </c>
    </row>
    <row r="1359" spans="1:4" x14ac:dyDescent="0.25">
      <c r="A1359" t="s">
        <v>709</v>
      </c>
      <c r="B1359">
        <v>0.3775</v>
      </c>
      <c r="C1359">
        <v>0</v>
      </c>
      <c r="D1359">
        <v>0.26944838709677421</v>
      </c>
    </row>
    <row r="1360" spans="1:4" x14ac:dyDescent="0.25">
      <c r="A1360" t="s">
        <v>585</v>
      </c>
      <c r="B1360">
        <v>0.37669999999999998</v>
      </c>
      <c r="C1360">
        <v>0</v>
      </c>
      <c r="D1360">
        <v>0.18029119354838713</v>
      </c>
    </row>
    <row r="1361" spans="1:4" x14ac:dyDescent="0.25">
      <c r="A1361" t="s">
        <v>2539</v>
      </c>
      <c r="B1361">
        <v>0.376</v>
      </c>
      <c r="C1361">
        <v>0</v>
      </c>
      <c r="D1361">
        <v>0.24428325000000004</v>
      </c>
    </row>
    <row r="1362" spans="1:4" x14ac:dyDescent="0.25">
      <c r="A1362" t="s">
        <v>1613</v>
      </c>
      <c r="B1362">
        <v>0.3755</v>
      </c>
      <c r="C1362">
        <v>0</v>
      </c>
      <c r="D1362">
        <v>0.17002572580645151</v>
      </c>
    </row>
    <row r="1363" spans="1:4" x14ac:dyDescent="0.25">
      <c r="A1363" t="s">
        <v>1003</v>
      </c>
      <c r="B1363">
        <v>0.375</v>
      </c>
      <c r="C1363">
        <v>0</v>
      </c>
      <c r="D1363">
        <v>0.2760645161290321</v>
      </c>
    </row>
    <row r="1364" spans="1:4" x14ac:dyDescent="0.25">
      <c r="A1364" t="s">
        <v>1865</v>
      </c>
      <c r="B1364">
        <v>0.375</v>
      </c>
      <c r="C1364">
        <v>0</v>
      </c>
      <c r="D1364">
        <v>0.22226998387096772</v>
      </c>
    </row>
    <row r="1365" spans="1:4" x14ac:dyDescent="0.25">
      <c r="A1365" t="s">
        <v>963</v>
      </c>
      <c r="B1365">
        <v>0.375</v>
      </c>
      <c r="C1365">
        <v>4.4999999999999998E-2</v>
      </c>
      <c r="D1365">
        <v>0.13971451612903227</v>
      </c>
    </row>
    <row r="1366" spans="1:4" x14ac:dyDescent="0.25">
      <c r="A1366" t="s">
        <v>16</v>
      </c>
      <c r="B1366">
        <v>0.375</v>
      </c>
      <c r="C1366">
        <v>0.20200000000000001</v>
      </c>
      <c r="D1366">
        <v>0.28008064516129028</v>
      </c>
    </row>
    <row r="1367" spans="1:4" x14ac:dyDescent="0.25">
      <c r="A1367" t="s">
        <v>935</v>
      </c>
      <c r="B1367">
        <v>0.375</v>
      </c>
      <c r="C1367">
        <v>0</v>
      </c>
      <c r="D1367">
        <v>0.19227903225806456</v>
      </c>
    </row>
    <row r="1368" spans="1:4" x14ac:dyDescent="0.25">
      <c r="A1368" t="s">
        <v>790</v>
      </c>
      <c r="B1368">
        <v>0.374</v>
      </c>
      <c r="C1368">
        <v>0</v>
      </c>
      <c r="D1368">
        <v>0.18863016129032256</v>
      </c>
    </row>
    <row r="1369" spans="1:4" x14ac:dyDescent="0.25">
      <c r="A1369" t="s">
        <v>24</v>
      </c>
      <c r="B1369">
        <v>0.373</v>
      </c>
      <c r="C1369">
        <v>0</v>
      </c>
      <c r="D1369">
        <v>0.21319354838709678</v>
      </c>
    </row>
    <row r="1370" spans="1:4" x14ac:dyDescent="0.25">
      <c r="A1370" t="s">
        <v>207</v>
      </c>
      <c r="B1370">
        <v>0.372</v>
      </c>
      <c r="C1370">
        <v>0</v>
      </c>
      <c r="D1370">
        <v>0.3135524193548388</v>
      </c>
    </row>
    <row r="1371" spans="1:4" x14ac:dyDescent="0.25">
      <c r="A1371" t="s">
        <v>1860</v>
      </c>
      <c r="B1371">
        <v>0.36736799999999997</v>
      </c>
      <c r="C1371">
        <v>2.9262E-2</v>
      </c>
      <c r="D1371">
        <v>0.157543714516129</v>
      </c>
    </row>
    <row r="1372" spans="1:4" x14ac:dyDescent="0.25">
      <c r="A1372" t="s">
        <v>1135</v>
      </c>
      <c r="B1372">
        <v>0.36499999999999999</v>
      </c>
      <c r="C1372">
        <v>0</v>
      </c>
      <c r="D1372">
        <v>0.30729032258064515</v>
      </c>
    </row>
    <row r="1373" spans="1:4" x14ac:dyDescent="0.25">
      <c r="A1373" t="s">
        <v>1527</v>
      </c>
      <c r="B1373">
        <v>0.36499999999999999</v>
      </c>
      <c r="C1373">
        <v>0.27900000000000003</v>
      </c>
      <c r="D1373">
        <v>0.32166129032258078</v>
      </c>
    </row>
    <row r="1374" spans="1:4" x14ac:dyDescent="0.25">
      <c r="A1374" t="s">
        <v>2131</v>
      </c>
      <c r="B1374">
        <v>0.36130000000000001</v>
      </c>
      <c r="C1374">
        <v>0</v>
      </c>
      <c r="D1374">
        <v>0.24110403225806448</v>
      </c>
    </row>
    <row r="1375" spans="1:4" x14ac:dyDescent="0.25">
      <c r="A1375" t="s">
        <v>136</v>
      </c>
      <c r="B1375">
        <v>0.36099999999999999</v>
      </c>
      <c r="C1375">
        <v>0</v>
      </c>
      <c r="D1375">
        <v>0.2345483870967742</v>
      </c>
    </row>
    <row r="1376" spans="1:4" x14ac:dyDescent="0.25">
      <c r="A1376" t="s">
        <v>1421</v>
      </c>
      <c r="B1376">
        <v>0.36</v>
      </c>
      <c r="C1376">
        <v>0</v>
      </c>
      <c r="D1376">
        <v>0.19217741935483879</v>
      </c>
    </row>
    <row r="1377" spans="1:4" x14ac:dyDescent="0.25">
      <c r="A1377" t="s">
        <v>2562</v>
      </c>
      <c r="B1377">
        <v>0.36</v>
      </c>
      <c r="C1377">
        <v>0</v>
      </c>
      <c r="D1377">
        <v>0.14432096774193542</v>
      </c>
    </row>
    <row r="1378" spans="1:4" x14ac:dyDescent="0.25">
      <c r="A1378" t="s">
        <v>2236</v>
      </c>
      <c r="B1378">
        <v>0.36</v>
      </c>
      <c r="C1378">
        <v>0</v>
      </c>
      <c r="D1378">
        <v>0.2637580645161291</v>
      </c>
    </row>
    <row r="1379" spans="1:4" x14ac:dyDescent="0.25">
      <c r="A1379" t="s">
        <v>953</v>
      </c>
      <c r="B1379">
        <v>0.35899999999999999</v>
      </c>
      <c r="C1379">
        <v>0</v>
      </c>
      <c r="D1379">
        <v>0.11490322580645163</v>
      </c>
    </row>
    <row r="1380" spans="1:4" x14ac:dyDescent="0.25">
      <c r="A1380" t="s">
        <v>518</v>
      </c>
      <c r="B1380">
        <v>0.35899999999999999</v>
      </c>
      <c r="C1380">
        <v>0</v>
      </c>
      <c r="D1380">
        <v>0.28112903225806446</v>
      </c>
    </row>
    <row r="1381" spans="1:4" x14ac:dyDescent="0.25">
      <c r="A1381" t="s">
        <v>1129</v>
      </c>
      <c r="B1381">
        <v>0.35899999999999999</v>
      </c>
      <c r="C1381">
        <v>0.13</v>
      </c>
      <c r="D1381">
        <v>0.2082258064516129</v>
      </c>
    </row>
    <row r="1382" spans="1:4" x14ac:dyDescent="0.25">
      <c r="A1382" t="s">
        <v>1955</v>
      </c>
      <c r="B1382">
        <v>0.3584</v>
      </c>
      <c r="C1382">
        <v>0</v>
      </c>
      <c r="D1382">
        <v>0.27924898387096769</v>
      </c>
    </row>
    <row r="1383" spans="1:4" x14ac:dyDescent="0.25">
      <c r="A1383" t="s">
        <v>676</v>
      </c>
      <c r="B1383">
        <v>0.35699999999999998</v>
      </c>
      <c r="C1383">
        <v>0</v>
      </c>
      <c r="D1383">
        <v>0.20999354838709672</v>
      </c>
    </row>
    <row r="1384" spans="1:4" x14ac:dyDescent="0.25">
      <c r="A1384" t="s">
        <v>1149</v>
      </c>
      <c r="B1384">
        <v>0.35699999999999998</v>
      </c>
      <c r="C1384">
        <v>0</v>
      </c>
      <c r="D1384">
        <v>0.18131451612903221</v>
      </c>
    </row>
    <row r="1385" spans="1:4" x14ac:dyDescent="0.25">
      <c r="A1385" t="s">
        <v>817</v>
      </c>
      <c r="B1385">
        <v>0.35666599999999998</v>
      </c>
      <c r="C1385">
        <v>0</v>
      </c>
      <c r="D1385">
        <v>0.18619693548387101</v>
      </c>
    </row>
    <row r="1386" spans="1:4" x14ac:dyDescent="0.25">
      <c r="A1386" t="s">
        <v>1139</v>
      </c>
      <c r="B1386">
        <v>0.35599999999999998</v>
      </c>
      <c r="C1386">
        <v>1.6E-2</v>
      </c>
      <c r="D1386">
        <v>0.17397580645161287</v>
      </c>
    </row>
    <row r="1387" spans="1:4" x14ac:dyDescent="0.25">
      <c r="A1387" t="s">
        <v>2015</v>
      </c>
      <c r="B1387">
        <v>0.35599999999999998</v>
      </c>
      <c r="C1387">
        <v>0</v>
      </c>
      <c r="D1387">
        <v>0.2789032258064516</v>
      </c>
    </row>
    <row r="1388" spans="1:4" x14ac:dyDescent="0.25">
      <c r="A1388" t="s">
        <v>2017</v>
      </c>
      <c r="B1388">
        <v>0.35599999999999998</v>
      </c>
      <c r="C1388">
        <v>0</v>
      </c>
      <c r="D1388">
        <v>0.23273387096774201</v>
      </c>
    </row>
    <row r="1389" spans="1:4" x14ac:dyDescent="0.25">
      <c r="A1389" t="s">
        <v>2448</v>
      </c>
      <c r="B1389">
        <v>0.35399999999999998</v>
      </c>
      <c r="C1389">
        <v>0</v>
      </c>
      <c r="D1389">
        <v>0.31478225806451615</v>
      </c>
    </row>
    <row r="1390" spans="1:4" x14ac:dyDescent="0.25">
      <c r="A1390" t="s">
        <v>454</v>
      </c>
      <c r="B1390">
        <v>0.35299999999999998</v>
      </c>
      <c r="C1390">
        <v>0</v>
      </c>
      <c r="D1390">
        <v>0.19833709677419345</v>
      </c>
    </row>
    <row r="1391" spans="1:4" x14ac:dyDescent="0.25">
      <c r="A1391" t="s">
        <v>1902</v>
      </c>
      <c r="B1391">
        <v>0.35299999999999998</v>
      </c>
      <c r="C1391">
        <v>0.19600000000000001</v>
      </c>
      <c r="D1391">
        <v>0.24704838709677421</v>
      </c>
    </row>
    <row r="1392" spans="1:4" x14ac:dyDescent="0.25">
      <c r="A1392" t="s">
        <v>1839</v>
      </c>
      <c r="B1392">
        <v>0.35277399999999998</v>
      </c>
      <c r="C1392">
        <v>0</v>
      </c>
      <c r="D1392">
        <v>0.20939296774193544</v>
      </c>
    </row>
    <row r="1393" spans="1:4" x14ac:dyDescent="0.25">
      <c r="A1393" t="s">
        <v>1656</v>
      </c>
      <c r="B1393">
        <v>0.35099999999999998</v>
      </c>
      <c r="C1393">
        <v>0</v>
      </c>
      <c r="D1393">
        <v>0.20650000000000004</v>
      </c>
    </row>
    <row r="1394" spans="1:4" x14ac:dyDescent="0.25">
      <c r="A1394" t="s">
        <v>2029</v>
      </c>
      <c r="B1394">
        <v>0.35099999999999998</v>
      </c>
      <c r="C1394">
        <v>0</v>
      </c>
      <c r="D1394">
        <v>0.30245161290322575</v>
      </c>
    </row>
    <row r="1395" spans="1:4" x14ac:dyDescent="0.25">
      <c r="A1395" t="s">
        <v>2056</v>
      </c>
      <c r="B1395">
        <v>0.35</v>
      </c>
      <c r="C1395">
        <v>0</v>
      </c>
      <c r="D1395">
        <v>0.26457258064516131</v>
      </c>
    </row>
    <row r="1396" spans="1:4" x14ac:dyDescent="0.25">
      <c r="A1396" t="s">
        <v>1363</v>
      </c>
      <c r="B1396">
        <v>0.348437</v>
      </c>
      <c r="C1396">
        <v>0</v>
      </c>
      <c r="D1396">
        <v>0.27612256451612899</v>
      </c>
    </row>
    <row r="1397" spans="1:4" x14ac:dyDescent="0.25">
      <c r="A1397" t="s">
        <v>1422</v>
      </c>
      <c r="B1397">
        <v>0.34799999999999998</v>
      </c>
      <c r="C1397">
        <v>0</v>
      </c>
      <c r="D1397">
        <v>0.11967741935483872</v>
      </c>
    </row>
    <row r="1398" spans="1:4" x14ac:dyDescent="0.25">
      <c r="A1398" t="s">
        <v>1614</v>
      </c>
      <c r="B1398">
        <v>0.34749999999999998</v>
      </c>
      <c r="C1398">
        <v>0</v>
      </c>
      <c r="D1398">
        <v>0.15903516129032258</v>
      </c>
    </row>
    <row r="1399" spans="1:4" x14ac:dyDescent="0.25">
      <c r="A1399" t="s">
        <v>780</v>
      </c>
      <c r="B1399">
        <v>0.34699999999999998</v>
      </c>
      <c r="C1399">
        <v>0</v>
      </c>
      <c r="D1399">
        <v>0.10177177419354838</v>
      </c>
    </row>
    <row r="1400" spans="1:4" x14ac:dyDescent="0.25">
      <c r="A1400" t="s">
        <v>2536</v>
      </c>
      <c r="B1400">
        <v>0.34697800000000001</v>
      </c>
      <c r="C1400">
        <v>0</v>
      </c>
      <c r="D1400">
        <v>0.19746983870967741</v>
      </c>
    </row>
    <row r="1401" spans="1:4" x14ac:dyDescent="0.25">
      <c r="A1401" t="s">
        <v>329</v>
      </c>
      <c r="B1401">
        <v>0.34499999999999997</v>
      </c>
      <c r="C1401">
        <v>4.7E-2</v>
      </c>
      <c r="D1401">
        <v>0.15203225806451612</v>
      </c>
    </row>
    <row r="1402" spans="1:4" x14ac:dyDescent="0.25">
      <c r="A1402" t="s">
        <v>15</v>
      </c>
      <c r="B1402">
        <v>0.34499999999999997</v>
      </c>
      <c r="C1402">
        <v>0</v>
      </c>
      <c r="D1402">
        <v>0.22216935483870964</v>
      </c>
    </row>
    <row r="1403" spans="1:4" x14ac:dyDescent="0.25">
      <c r="A1403" t="s">
        <v>100</v>
      </c>
      <c r="B1403">
        <v>0.34399999999999997</v>
      </c>
      <c r="C1403">
        <v>0</v>
      </c>
      <c r="D1403">
        <v>0.11598655645161285</v>
      </c>
    </row>
    <row r="1404" spans="1:4" x14ac:dyDescent="0.25">
      <c r="A1404" t="s">
        <v>2696</v>
      </c>
      <c r="B1404">
        <v>0.34399999999999997</v>
      </c>
      <c r="C1404">
        <v>0</v>
      </c>
      <c r="D1404">
        <v>0.23414516129032256</v>
      </c>
    </row>
    <row r="1405" spans="1:4" x14ac:dyDescent="0.25">
      <c r="A1405" t="s">
        <v>234</v>
      </c>
      <c r="B1405">
        <v>0.34300000000000003</v>
      </c>
      <c r="C1405">
        <v>0</v>
      </c>
      <c r="D1405">
        <v>0.18004032258064512</v>
      </c>
    </row>
    <row r="1406" spans="1:4" x14ac:dyDescent="0.25">
      <c r="A1406" t="s">
        <v>875</v>
      </c>
      <c r="B1406">
        <v>0.3412</v>
      </c>
      <c r="C1406">
        <v>0</v>
      </c>
      <c r="D1406">
        <v>8.4022580645161271E-2</v>
      </c>
    </row>
    <row r="1407" spans="1:4" x14ac:dyDescent="0.25">
      <c r="A1407" t="s">
        <v>881</v>
      </c>
      <c r="B1407">
        <v>0.34</v>
      </c>
      <c r="C1407">
        <v>0</v>
      </c>
      <c r="D1407">
        <v>0.13894516129032264</v>
      </c>
    </row>
    <row r="1408" spans="1:4" x14ac:dyDescent="0.25">
      <c r="A1408" t="s">
        <v>2239</v>
      </c>
      <c r="B1408">
        <v>0.34</v>
      </c>
      <c r="C1408">
        <v>0</v>
      </c>
      <c r="D1408">
        <v>0.2284435483870968</v>
      </c>
    </row>
    <row r="1409" spans="1:4" x14ac:dyDescent="0.25">
      <c r="A1409" t="s">
        <v>603</v>
      </c>
      <c r="B1409">
        <v>0.33900000000000002</v>
      </c>
      <c r="C1409">
        <v>0</v>
      </c>
      <c r="D1409">
        <v>0.25822580645161297</v>
      </c>
    </row>
    <row r="1410" spans="1:4" x14ac:dyDescent="0.25">
      <c r="A1410" t="s">
        <v>457</v>
      </c>
      <c r="B1410">
        <v>0.33900000000000002</v>
      </c>
      <c r="C1410">
        <v>0</v>
      </c>
      <c r="D1410">
        <v>5.1064516129032261E-2</v>
      </c>
    </row>
    <row r="1411" spans="1:4" x14ac:dyDescent="0.25">
      <c r="A1411" t="s">
        <v>1707</v>
      </c>
      <c r="B1411">
        <v>0.33900000000000002</v>
      </c>
      <c r="C1411">
        <v>0</v>
      </c>
      <c r="D1411">
        <v>0.27029838709677417</v>
      </c>
    </row>
    <row r="1412" spans="1:4" x14ac:dyDescent="0.25">
      <c r="A1412" t="s">
        <v>2054</v>
      </c>
      <c r="B1412">
        <v>0.33800000000000002</v>
      </c>
      <c r="C1412">
        <v>0</v>
      </c>
      <c r="D1412">
        <v>0.27367258064516126</v>
      </c>
    </row>
    <row r="1413" spans="1:4" x14ac:dyDescent="0.25">
      <c r="A1413" t="s">
        <v>1612</v>
      </c>
      <c r="B1413">
        <v>0.3372</v>
      </c>
      <c r="C1413">
        <v>0</v>
      </c>
      <c r="D1413">
        <v>0.15205975806451616</v>
      </c>
    </row>
    <row r="1414" spans="1:4" x14ac:dyDescent="0.25">
      <c r="A1414" t="s">
        <v>1383</v>
      </c>
      <c r="B1414">
        <v>0.33600000000000002</v>
      </c>
      <c r="C1414">
        <v>0</v>
      </c>
      <c r="D1414">
        <v>0.20592903225806453</v>
      </c>
    </row>
    <row r="1415" spans="1:4" x14ac:dyDescent="0.25">
      <c r="A1415" t="s">
        <v>2251</v>
      </c>
      <c r="B1415">
        <v>0.33500000000000002</v>
      </c>
      <c r="C1415">
        <v>0</v>
      </c>
      <c r="D1415">
        <v>0.25661290322580654</v>
      </c>
    </row>
    <row r="1416" spans="1:4" x14ac:dyDescent="0.25">
      <c r="A1416" t="s">
        <v>725</v>
      </c>
      <c r="B1416">
        <v>0.33300000000000002</v>
      </c>
      <c r="C1416">
        <v>0</v>
      </c>
      <c r="D1416">
        <v>0.25469354838709679</v>
      </c>
    </row>
    <row r="1417" spans="1:4" x14ac:dyDescent="0.25">
      <c r="A1417" t="s">
        <v>853</v>
      </c>
      <c r="B1417">
        <v>0.33229999999999998</v>
      </c>
      <c r="C1417">
        <v>0</v>
      </c>
      <c r="D1417">
        <v>6.6369354838709677E-2</v>
      </c>
    </row>
    <row r="1418" spans="1:4" x14ac:dyDescent="0.25">
      <c r="A1418" t="s">
        <v>1767</v>
      </c>
      <c r="B1418">
        <v>0.33224999999999999</v>
      </c>
      <c r="C1418">
        <v>0</v>
      </c>
      <c r="D1418">
        <v>9.4657532258064517E-2</v>
      </c>
    </row>
    <row r="1419" spans="1:4" x14ac:dyDescent="0.25">
      <c r="A1419" t="s">
        <v>270</v>
      </c>
      <c r="B1419">
        <v>0.33200000000000002</v>
      </c>
      <c r="C1419">
        <v>0.17299999999999999</v>
      </c>
      <c r="D1419">
        <v>0.24363709677419357</v>
      </c>
    </row>
    <row r="1420" spans="1:4" x14ac:dyDescent="0.25">
      <c r="A1420" t="s">
        <v>1566</v>
      </c>
      <c r="B1420">
        <v>0.33200000000000002</v>
      </c>
      <c r="C1420">
        <v>0</v>
      </c>
      <c r="D1420">
        <v>0.17375806451612905</v>
      </c>
    </row>
    <row r="1421" spans="1:4" x14ac:dyDescent="0.25">
      <c r="A1421" t="s">
        <v>2008</v>
      </c>
      <c r="B1421">
        <v>0.33100000000000002</v>
      </c>
      <c r="C1421">
        <v>0</v>
      </c>
      <c r="D1421">
        <v>9.9879032258064618E-2</v>
      </c>
    </row>
    <row r="1422" spans="1:4" x14ac:dyDescent="0.25">
      <c r="A1422" t="s">
        <v>2180</v>
      </c>
      <c r="B1422">
        <v>0.33100000000000002</v>
      </c>
      <c r="C1422">
        <v>0</v>
      </c>
      <c r="D1422">
        <v>0.21698387096774194</v>
      </c>
    </row>
    <row r="1423" spans="1:4" x14ac:dyDescent="0.25">
      <c r="A1423" t="s">
        <v>473</v>
      </c>
      <c r="B1423">
        <v>0.33100000000000002</v>
      </c>
      <c r="C1423">
        <v>0</v>
      </c>
      <c r="D1423">
        <v>0.20416129032258057</v>
      </c>
    </row>
    <row r="1424" spans="1:4" x14ac:dyDescent="0.25">
      <c r="A1424" t="s">
        <v>2480</v>
      </c>
      <c r="B1424">
        <v>0.32941900000000002</v>
      </c>
      <c r="C1424">
        <v>0</v>
      </c>
      <c r="D1424">
        <v>0.24368667741935476</v>
      </c>
    </row>
    <row r="1425" spans="1:4" x14ac:dyDescent="0.25">
      <c r="A1425" t="s">
        <v>2140</v>
      </c>
      <c r="B1425">
        <v>0.32906299999999999</v>
      </c>
      <c r="C1425">
        <v>3.7499999999999999E-2</v>
      </c>
      <c r="D1425">
        <v>0.12348169354838706</v>
      </c>
    </row>
    <row r="1426" spans="1:4" x14ac:dyDescent="0.25">
      <c r="A1426" t="s">
        <v>486</v>
      </c>
      <c r="B1426">
        <v>0.32900000000000001</v>
      </c>
      <c r="C1426">
        <v>0</v>
      </c>
      <c r="D1426">
        <v>0.15145161290322576</v>
      </c>
    </row>
    <row r="1427" spans="1:4" x14ac:dyDescent="0.25">
      <c r="A1427" t="s">
        <v>14</v>
      </c>
      <c r="B1427">
        <v>0.32900000000000001</v>
      </c>
      <c r="C1427">
        <v>0.17599999999999999</v>
      </c>
      <c r="D1427">
        <v>0.25070161290322579</v>
      </c>
    </row>
    <row r="1428" spans="1:4" x14ac:dyDescent="0.25">
      <c r="A1428" t="s">
        <v>1828</v>
      </c>
      <c r="B1428">
        <v>0.32741900000000002</v>
      </c>
      <c r="C1428">
        <v>0.15706500000000001</v>
      </c>
      <c r="D1428">
        <v>0.22775233870967751</v>
      </c>
    </row>
    <row r="1429" spans="1:4" x14ac:dyDescent="0.25">
      <c r="A1429" t="s">
        <v>565</v>
      </c>
      <c r="B1429">
        <v>0.32600000000000001</v>
      </c>
      <c r="C1429">
        <v>0</v>
      </c>
      <c r="D1429">
        <v>0.15057550806451619</v>
      </c>
    </row>
    <row r="1430" spans="1:4" x14ac:dyDescent="0.25">
      <c r="A1430" t="s">
        <v>479</v>
      </c>
      <c r="B1430">
        <v>0.32400000000000001</v>
      </c>
      <c r="C1430">
        <v>0.2</v>
      </c>
      <c r="D1430">
        <v>0.25946774193548394</v>
      </c>
    </row>
    <row r="1431" spans="1:4" x14ac:dyDescent="0.25">
      <c r="A1431" t="s">
        <v>2241</v>
      </c>
      <c r="B1431">
        <v>0.32400000000000001</v>
      </c>
      <c r="C1431">
        <v>0</v>
      </c>
      <c r="D1431">
        <v>0.2514274193548387</v>
      </c>
    </row>
    <row r="1432" spans="1:4" x14ac:dyDescent="0.25">
      <c r="A1432" t="s">
        <v>2127</v>
      </c>
      <c r="B1432">
        <v>0.32300000000000001</v>
      </c>
      <c r="C1432">
        <v>0.22600000000000001</v>
      </c>
      <c r="D1432">
        <v>0.25668548387096785</v>
      </c>
    </row>
    <row r="1433" spans="1:4" x14ac:dyDescent="0.25">
      <c r="A1433" t="s">
        <v>1857</v>
      </c>
      <c r="B1433">
        <v>0.32267699999999999</v>
      </c>
      <c r="C1433">
        <v>0</v>
      </c>
      <c r="D1433">
        <v>0.18736434677419356</v>
      </c>
    </row>
    <row r="1434" spans="1:4" x14ac:dyDescent="0.25">
      <c r="A1434" t="s">
        <v>826</v>
      </c>
      <c r="B1434">
        <v>0.32212800000000003</v>
      </c>
      <c r="C1434">
        <v>0</v>
      </c>
      <c r="D1434">
        <v>0.18824958064516129</v>
      </c>
    </row>
    <row r="1435" spans="1:4" x14ac:dyDescent="0.25">
      <c r="A1435" t="s">
        <v>1862</v>
      </c>
      <c r="B1435">
        <v>0.32200000000000001</v>
      </c>
      <c r="C1435">
        <v>0</v>
      </c>
      <c r="D1435">
        <v>0.24398870967741942</v>
      </c>
    </row>
    <row r="1436" spans="1:4" x14ac:dyDescent="0.25">
      <c r="A1436" t="s">
        <v>1222</v>
      </c>
      <c r="B1436">
        <v>0.32200000000000001</v>
      </c>
      <c r="C1436">
        <v>0</v>
      </c>
      <c r="D1436">
        <v>0.10653225806451612</v>
      </c>
    </row>
    <row r="1437" spans="1:4" x14ac:dyDescent="0.25">
      <c r="A1437" t="s">
        <v>1906</v>
      </c>
      <c r="B1437">
        <v>0.32100000000000001</v>
      </c>
      <c r="C1437">
        <v>0</v>
      </c>
      <c r="D1437">
        <v>0.18793548387096773</v>
      </c>
    </row>
    <row r="1438" spans="1:4" x14ac:dyDescent="0.25">
      <c r="A1438" t="s">
        <v>1678</v>
      </c>
      <c r="B1438">
        <v>0.32</v>
      </c>
      <c r="C1438">
        <v>0</v>
      </c>
      <c r="D1438">
        <v>5.5225806451612902E-2</v>
      </c>
    </row>
    <row r="1439" spans="1:4" x14ac:dyDescent="0.25">
      <c r="A1439" t="s">
        <v>544</v>
      </c>
      <c r="B1439">
        <v>0.32</v>
      </c>
      <c r="C1439">
        <v>0</v>
      </c>
      <c r="D1439">
        <v>0.2317741935483871</v>
      </c>
    </row>
    <row r="1440" spans="1:4" x14ac:dyDescent="0.25">
      <c r="A1440" t="s">
        <v>1442</v>
      </c>
      <c r="B1440">
        <v>0.317</v>
      </c>
      <c r="C1440">
        <v>0</v>
      </c>
      <c r="D1440">
        <v>0.17796290322580646</v>
      </c>
    </row>
    <row r="1441" spans="1:4" x14ac:dyDescent="0.25">
      <c r="A1441" t="s">
        <v>196</v>
      </c>
      <c r="B1441">
        <v>0.317</v>
      </c>
      <c r="C1441">
        <v>0</v>
      </c>
      <c r="D1441">
        <v>0.25383870967741939</v>
      </c>
    </row>
    <row r="1442" spans="1:4" x14ac:dyDescent="0.25">
      <c r="A1442" t="s">
        <v>711</v>
      </c>
      <c r="B1442">
        <v>0.31545200000000001</v>
      </c>
      <c r="C1442">
        <v>0.155</v>
      </c>
      <c r="D1442">
        <v>0.21999480645161293</v>
      </c>
    </row>
    <row r="1443" spans="1:4" x14ac:dyDescent="0.25">
      <c r="A1443" t="s">
        <v>1243</v>
      </c>
      <c r="B1443">
        <v>0.315</v>
      </c>
      <c r="C1443">
        <v>0.16200000000000001</v>
      </c>
      <c r="D1443">
        <v>0.24433064516129041</v>
      </c>
    </row>
    <row r="1444" spans="1:4" x14ac:dyDescent="0.25">
      <c r="A1444" t="s">
        <v>2908</v>
      </c>
      <c r="B1444">
        <v>0.315</v>
      </c>
      <c r="C1444">
        <v>0</v>
      </c>
      <c r="D1444">
        <v>0.10487903225806455</v>
      </c>
    </row>
    <row r="1445" spans="1:4" x14ac:dyDescent="0.25">
      <c r="A1445" t="s">
        <v>678</v>
      </c>
      <c r="B1445">
        <v>0.315</v>
      </c>
      <c r="C1445">
        <v>0</v>
      </c>
      <c r="D1445">
        <v>0.19457903225806447</v>
      </c>
    </row>
    <row r="1446" spans="1:4" x14ac:dyDescent="0.25">
      <c r="A1446" t="s">
        <v>1988</v>
      </c>
      <c r="B1446">
        <v>0.315</v>
      </c>
      <c r="C1446">
        <v>0</v>
      </c>
      <c r="D1446">
        <v>0.21890322580645158</v>
      </c>
    </row>
    <row r="1447" spans="1:4" x14ac:dyDescent="0.25">
      <c r="A1447" t="s">
        <v>1991</v>
      </c>
      <c r="B1447">
        <v>0.315</v>
      </c>
      <c r="C1447">
        <v>0</v>
      </c>
      <c r="D1447">
        <v>0.25722580645161286</v>
      </c>
    </row>
    <row r="1448" spans="1:4" x14ac:dyDescent="0.25">
      <c r="A1448" t="s">
        <v>724</v>
      </c>
      <c r="B1448">
        <v>0.313</v>
      </c>
      <c r="C1448">
        <v>0</v>
      </c>
      <c r="D1448">
        <v>0.21060483870967731</v>
      </c>
    </row>
    <row r="1449" spans="1:4" x14ac:dyDescent="0.25">
      <c r="A1449" t="s">
        <v>2709</v>
      </c>
      <c r="B1449">
        <v>0.311</v>
      </c>
      <c r="C1449">
        <v>0</v>
      </c>
      <c r="D1449">
        <v>0.17434274193548388</v>
      </c>
    </row>
    <row r="1450" spans="1:4" x14ac:dyDescent="0.25">
      <c r="A1450" t="s">
        <v>557</v>
      </c>
      <c r="B1450">
        <v>0.311</v>
      </c>
      <c r="C1450">
        <v>0.15</v>
      </c>
      <c r="D1450">
        <v>0.23024193548387095</v>
      </c>
    </row>
    <row r="1451" spans="1:4" x14ac:dyDescent="0.25">
      <c r="A1451" t="s">
        <v>914</v>
      </c>
      <c r="B1451">
        <v>0.31</v>
      </c>
      <c r="C1451">
        <v>2.9999999999999997E-4</v>
      </c>
      <c r="D1451">
        <v>7.9945161290322572E-2</v>
      </c>
    </row>
    <row r="1452" spans="1:4" x14ac:dyDescent="0.25">
      <c r="A1452" t="s">
        <v>288</v>
      </c>
      <c r="B1452">
        <v>0.31</v>
      </c>
      <c r="C1452">
        <v>8.5000000000000006E-2</v>
      </c>
      <c r="D1452">
        <v>0.16443795161290328</v>
      </c>
    </row>
    <row r="1453" spans="1:4" x14ac:dyDescent="0.25">
      <c r="A1453" t="s">
        <v>2190</v>
      </c>
      <c r="B1453">
        <v>0.31</v>
      </c>
      <c r="C1453">
        <v>0</v>
      </c>
      <c r="D1453">
        <v>0.1901419354838709</v>
      </c>
    </row>
    <row r="1454" spans="1:4" x14ac:dyDescent="0.25">
      <c r="A1454" t="s">
        <v>1586</v>
      </c>
      <c r="B1454">
        <v>0.31</v>
      </c>
      <c r="C1454">
        <v>0</v>
      </c>
      <c r="D1454">
        <v>0.20073064516129027</v>
      </c>
    </row>
    <row r="1455" spans="1:4" x14ac:dyDescent="0.25">
      <c r="A1455" t="s">
        <v>2555</v>
      </c>
      <c r="B1455">
        <v>0.309</v>
      </c>
      <c r="C1455">
        <v>0</v>
      </c>
      <c r="D1455">
        <v>9.4843548387096757E-2</v>
      </c>
    </row>
    <row r="1456" spans="1:4" x14ac:dyDescent="0.25">
      <c r="A1456" t="s">
        <v>76</v>
      </c>
      <c r="B1456">
        <v>0.309</v>
      </c>
      <c r="C1456">
        <v>4.7E-2</v>
      </c>
      <c r="D1456">
        <v>0.14536774193548388</v>
      </c>
    </row>
    <row r="1457" spans="1:4" x14ac:dyDescent="0.25">
      <c r="A1457" t="s">
        <v>2467</v>
      </c>
      <c r="B1457">
        <v>0.309</v>
      </c>
      <c r="C1457">
        <v>0</v>
      </c>
      <c r="D1457">
        <v>0.25230645161290327</v>
      </c>
    </row>
    <row r="1458" spans="1:4" x14ac:dyDescent="0.25">
      <c r="A1458" t="s">
        <v>175</v>
      </c>
      <c r="B1458">
        <v>0.30725799999999998</v>
      </c>
      <c r="C1458">
        <v>0.215333</v>
      </c>
      <c r="D1458">
        <v>0.25727009677419355</v>
      </c>
    </row>
    <row r="1459" spans="1:4" x14ac:dyDescent="0.25">
      <c r="A1459" t="s">
        <v>2019</v>
      </c>
      <c r="B1459">
        <v>0.307</v>
      </c>
      <c r="C1459">
        <v>0</v>
      </c>
      <c r="D1459">
        <v>8.9725806451612919E-2</v>
      </c>
    </row>
    <row r="1460" spans="1:4" x14ac:dyDescent="0.25">
      <c r="A1460" t="s">
        <v>1432</v>
      </c>
      <c r="B1460">
        <v>0.30599999999999999</v>
      </c>
      <c r="C1460">
        <v>0</v>
      </c>
      <c r="D1460">
        <v>0.15329032258064515</v>
      </c>
    </row>
    <row r="1461" spans="1:4" x14ac:dyDescent="0.25">
      <c r="A1461" t="s">
        <v>259</v>
      </c>
      <c r="B1461">
        <v>0.30499999999999999</v>
      </c>
      <c r="C1461">
        <v>0.19498299999999999</v>
      </c>
      <c r="D1461">
        <v>0.23409686774193544</v>
      </c>
    </row>
    <row r="1462" spans="1:4" x14ac:dyDescent="0.25">
      <c r="A1462" t="s">
        <v>139</v>
      </c>
      <c r="B1462">
        <v>0.30399999999999999</v>
      </c>
      <c r="C1462">
        <v>7.6999999999999999E-2</v>
      </c>
      <c r="D1462">
        <v>0.15346774193548388</v>
      </c>
    </row>
    <row r="1463" spans="1:4" x14ac:dyDescent="0.25">
      <c r="A1463" t="s">
        <v>2299</v>
      </c>
      <c r="B1463">
        <v>0.30399999999999999</v>
      </c>
      <c r="C1463">
        <v>0</v>
      </c>
      <c r="D1463">
        <v>0.13998387096774204</v>
      </c>
    </row>
    <row r="1464" spans="1:4" x14ac:dyDescent="0.25">
      <c r="A1464" t="s">
        <v>1030</v>
      </c>
      <c r="B1464">
        <v>0.30199999999999999</v>
      </c>
      <c r="C1464">
        <v>0</v>
      </c>
      <c r="D1464">
        <v>3.5587096774193548E-2</v>
      </c>
    </row>
    <row r="1465" spans="1:4" x14ac:dyDescent="0.25">
      <c r="A1465" t="s">
        <v>1603</v>
      </c>
      <c r="B1465">
        <v>0.3</v>
      </c>
      <c r="C1465">
        <v>0</v>
      </c>
      <c r="D1465">
        <v>7.6169354838709624E-2</v>
      </c>
    </row>
    <row r="1466" spans="1:4" x14ac:dyDescent="0.25">
      <c r="A1466" t="s">
        <v>2779</v>
      </c>
      <c r="B1466">
        <v>0.3</v>
      </c>
      <c r="C1466">
        <v>0.02</v>
      </c>
      <c r="D1466">
        <v>0.11595137096774193</v>
      </c>
    </row>
    <row r="1467" spans="1:4" x14ac:dyDescent="0.25">
      <c r="A1467" t="s">
        <v>890</v>
      </c>
      <c r="B1467">
        <v>0.3</v>
      </c>
      <c r="C1467">
        <v>0</v>
      </c>
      <c r="D1467">
        <v>3.356451612903226E-2</v>
      </c>
    </row>
    <row r="1468" spans="1:4" x14ac:dyDescent="0.25">
      <c r="A1468" t="s">
        <v>2714</v>
      </c>
      <c r="B1468">
        <v>0.3</v>
      </c>
      <c r="C1468">
        <v>0</v>
      </c>
      <c r="D1468">
        <v>0.10862771774193548</v>
      </c>
    </row>
    <row r="1469" spans="1:4" x14ac:dyDescent="0.25">
      <c r="A1469" t="s">
        <v>2216</v>
      </c>
      <c r="B1469">
        <v>0.3</v>
      </c>
      <c r="C1469">
        <v>3.3E-3</v>
      </c>
      <c r="D1469">
        <v>6.6941129032258087E-2</v>
      </c>
    </row>
    <row r="1470" spans="1:4" x14ac:dyDescent="0.25">
      <c r="A1470" t="s">
        <v>1103</v>
      </c>
      <c r="B1470">
        <v>0.29980000000000001</v>
      </c>
      <c r="C1470">
        <v>0</v>
      </c>
      <c r="D1470">
        <v>0.27413629032258063</v>
      </c>
    </row>
    <row r="1471" spans="1:4" x14ac:dyDescent="0.25">
      <c r="A1471" t="s">
        <v>635</v>
      </c>
      <c r="B1471">
        <v>0.29799999999999999</v>
      </c>
      <c r="C1471">
        <v>0</v>
      </c>
      <c r="D1471">
        <v>0.15094354838709681</v>
      </c>
    </row>
    <row r="1472" spans="1:4" x14ac:dyDescent="0.25">
      <c r="A1472" t="s">
        <v>636</v>
      </c>
      <c r="B1472">
        <v>0.29799999999999999</v>
      </c>
      <c r="C1472">
        <v>0</v>
      </c>
      <c r="D1472">
        <v>0.15146774193548393</v>
      </c>
    </row>
    <row r="1473" spans="1:4" x14ac:dyDescent="0.25">
      <c r="A1473" t="s">
        <v>1277</v>
      </c>
      <c r="B1473">
        <v>0.29699999999999999</v>
      </c>
      <c r="C1473">
        <v>5.5399999999999998E-2</v>
      </c>
      <c r="D1473">
        <v>0.13786308064516126</v>
      </c>
    </row>
    <row r="1474" spans="1:4" x14ac:dyDescent="0.25">
      <c r="A1474" t="s">
        <v>2528</v>
      </c>
      <c r="B1474">
        <v>0.29670000000000002</v>
      </c>
      <c r="C1474">
        <v>1.0999999999999999E-2</v>
      </c>
      <c r="D1474">
        <v>0.15384838709677415</v>
      </c>
    </row>
    <row r="1475" spans="1:4" x14ac:dyDescent="0.25">
      <c r="A1475" t="s">
        <v>419</v>
      </c>
      <c r="B1475">
        <v>0.296516</v>
      </c>
      <c r="C1475">
        <v>0</v>
      </c>
      <c r="D1475">
        <v>7.7797346774193574E-2</v>
      </c>
    </row>
    <row r="1476" spans="1:4" x14ac:dyDescent="0.25">
      <c r="A1476" t="s">
        <v>2461</v>
      </c>
      <c r="B1476">
        <v>0.29616100000000001</v>
      </c>
      <c r="C1476">
        <v>0</v>
      </c>
      <c r="D1476">
        <v>0.21247610483870971</v>
      </c>
    </row>
    <row r="1477" spans="1:4" x14ac:dyDescent="0.25">
      <c r="A1477" t="s">
        <v>2204</v>
      </c>
      <c r="B1477">
        <v>0.29598000000000002</v>
      </c>
      <c r="C1477">
        <v>0</v>
      </c>
      <c r="D1477">
        <v>9.3133566129032203E-2</v>
      </c>
    </row>
    <row r="1478" spans="1:4" x14ac:dyDescent="0.25">
      <c r="A1478" t="s">
        <v>1967</v>
      </c>
      <c r="B1478">
        <v>0.29399999999999998</v>
      </c>
      <c r="C1478">
        <v>0</v>
      </c>
      <c r="D1478">
        <v>3.8516129032258054E-2</v>
      </c>
    </row>
    <row r="1479" spans="1:4" x14ac:dyDescent="0.25">
      <c r="A1479" t="s">
        <v>1876</v>
      </c>
      <c r="B1479">
        <v>0.29299999999999998</v>
      </c>
      <c r="C1479">
        <v>0.16300000000000001</v>
      </c>
      <c r="D1479">
        <v>0.21089533870967742</v>
      </c>
    </row>
    <row r="1480" spans="1:4" x14ac:dyDescent="0.25">
      <c r="A1480" t="s">
        <v>2635</v>
      </c>
      <c r="B1480">
        <v>0.29199999999999998</v>
      </c>
      <c r="C1480">
        <v>0</v>
      </c>
      <c r="D1480">
        <v>0.12671967741935489</v>
      </c>
    </row>
    <row r="1481" spans="1:4" x14ac:dyDescent="0.25">
      <c r="A1481" t="s">
        <v>61</v>
      </c>
      <c r="B1481">
        <v>0.29199999999999998</v>
      </c>
      <c r="C1481">
        <v>2.4E-2</v>
      </c>
      <c r="D1481">
        <v>0.14460362903225812</v>
      </c>
    </row>
    <row r="1482" spans="1:4" x14ac:dyDescent="0.25">
      <c r="A1482" t="s">
        <v>1968</v>
      </c>
      <c r="B1482">
        <v>0.29199999999999998</v>
      </c>
      <c r="C1482">
        <v>0</v>
      </c>
      <c r="D1482">
        <v>9.9370967741935504E-2</v>
      </c>
    </row>
    <row r="1483" spans="1:4" x14ac:dyDescent="0.25">
      <c r="A1483" t="s">
        <v>2101</v>
      </c>
      <c r="B1483">
        <v>0.29199999999999998</v>
      </c>
      <c r="C1483">
        <v>0</v>
      </c>
      <c r="D1483">
        <v>0.23891935483870963</v>
      </c>
    </row>
    <row r="1484" spans="1:4" x14ac:dyDescent="0.25">
      <c r="A1484" t="s">
        <v>1233</v>
      </c>
      <c r="B1484">
        <v>0.29199999999999998</v>
      </c>
      <c r="C1484">
        <v>0.20300000000000001</v>
      </c>
      <c r="D1484">
        <v>0.24901612903225812</v>
      </c>
    </row>
    <row r="1485" spans="1:4" x14ac:dyDescent="0.25">
      <c r="A1485" t="s">
        <v>2305</v>
      </c>
      <c r="B1485">
        <v>0.29148400000000002</v>
      </c>
      <c r="C1485">
        <v>0</v>
      </c>
      <c r="D1485">
        <v>0.18163406451612907</v>
      </c>
    </row>
    <row r="1486" spans="1:4" x14ac:dyDescent="0.25">
      <c r="A1486" t="s">
        <v>11</v>
      </c>
      <c r="B1486">
        <v>0.28999999999999998</v>
      </c>
      <c r="C1486">
        <v>8.5999999999999993E-2</v>
      </c>
      <c r="D1486">
        <v>0.18883870967741939</v>
      </c>
    </row>
    <row r="1487" spans="1:4" x14ac:dyDescent="0.25">
      <c r="A1487" t="s">
        <v>884</v>
      </c>
      <c r="B1487">
        <v>0.28999999999999998</v>
      </c>
      <c r="C1487">
        <v>0.11</v>
      </c>
      <c r="D1487">
        <v>0.19743859677419362</v>
      </c>
    </row>
    <row r="1488" spans="1:4" x14ac:dyDescent="0.25">
      <c r="A1488" t="s">
        <v>1694</v>
      </c>
      <c r="B1488">
        <v>0.28999999999999998</v>
      </c>
      <c r="C1488">
        <v>0</v>
      </c>
      <c r="D1488">
        <v>0.1878919354838709</v>
      </c>
    </row>
    <row r="1489" spans="1:4" x14ac:dyDescent="0.25">
      <c r="A1489" t="s">
        <v>2398</v>
      </c>
      <c r="B1489">
        <v>0.28899999999999998</v>
      </c>
      <c r="C1489">
        <v>0</v>
      </c>
      <c r="D1489">
        <v>0.22393548387096771</v>
      </c>
    </row>
    <row r="1490" spans="1:4" x14ac:dyDescent="0.25">
      <c r="A1490" t="s">
        <v>338</v>
      </c>
      <c r="B1490">
        <v>0.28899999999999998</v>
      </c>
      <c r="C1490">
        <v>0</v>
      </c>
      <c r="D1490">
        <v>0.12429838709677418</v>
      </c>
    </row>
    <row r="1491" spans="1:4" x14ac:dyDescent="0.25">
      <c r="A1491" t="s">
        <v>1344</v>
      </c>
      <c r="B1491">
        <v>0.28810000000000002</v>
      </c>
      <c r="C1491">
        <v>0</v>
      </c>
      <c r="D1491">
        <v>0.11856854838709677</v>
      </c>
    </row>
    <row r="1492" spans="1:4" x14ac:dyDescent="0.25">
      <c r="A1492" t="s">
        <v>1731</v>
      </c>
      <c r="B1492">
        <v>0.28799999999999998</v>
      </c>
      <c r="C1492">
        <v>0</v>
      </c>
      <c r="D1492">
        <v>2.2870967741935491E-2</v>
      </c>
    </row>
    <row r="1493" spans="1:4" x14ac:dyDescent="0.25">
      <c r="A1493" t="s">
        <v>229</v>
      </c>
      <c r="B1493">
        <v>0.28720000000000001</v>
      </c>
      <c r="C1493">
        <v>0</v>
      </c>
      <c r="D1493">
        <v>0.19114912096774198</v>
      </c>
    </row>
    <row r="1494" spans="1:4" x14ac:dyDescent="0.25">
      <c r="A1494" t="s">
        <v>882</v>
      </c>
      <c r="B1494">
        <v>0.28599999999999998</v>
      </c>
      <c r="C1494">
        <v>0</v>
      </c>
      <c r="D1494">
        <v>4.492741935483871E-2</v>
      </c>
    </row>
    <row r="1495" spans="1:4" x14ac:dyDescent="0.25">
      <c r="A1495" t="s">
        <v>2361</v>
      </c>
      <c r="B1495">
        <v>0.28599999999999998</v>
      </c>
      <c r="C1495">
        <v>0</v>
      </c>
      <c r="D1495">
        <v>0.18229838709677421</v>
      </c>
    </row>
    <row r="1496" spans="1:4" x14ac:dyDescent="0.25">
      <c r="A1496" t="s">
        <v>567</v>
      </c>
      <c r="B1496">
        <v>0.28499999999999998</v>
      </c>
      <c r="C1496">
        <v>0</v>
      </c>
      <c r="D1496">
        <v>0.19037096774193549</v>
      </c>
    </row>
    <row r="1497" spans="1:4" x14ac:dyDescent="0.25">
      <c r="A1497" t="s">
        <v>501</v>
      </c>
      <c r="B1497">
        <v>0.28499999999999998</v>
      </c>
      <c r="C1497">
        <v>0</v>
      </c>
      <c r="D1497">
        <v>7.4714112903225813E-2</v>
      </c>
    </row>
    <row r="1498" spans="1:4" x14ac:dyDescent="0.25">
      <c r="A1498" t="s">
        <v>1621</v>
      </c>
      <c r="B1498">
        <v>0.28399999999999997</v>
      </c>
      <c r="C1498">
        <v>0</v>
      </c>
      <c r="D1498">
        <v>9.3556435483870992E-2</v>
      </c>
    </row>
    <row r="1499" spans="1:4" x14ac:dyDescent="0.25">
      <c r="A1499" t="s">
        <v>2095</v>
      </c>
      <c r="B1499">
        <v>0.28399999999999997</v>
      </c>
      <c r="C1499">
        <v>0</v>
      </c>
      <c r="D1499">
        <v>0.2282661290322581</v>
      </c>
    </row>
    <row r="1500" spans="1:4" x14ac:dyDescent="0.25">
      <c r="A1500" t="s">
        <v>2211</v>
      </c>
      <c r="B1500">
        <v>0.28399999999999997</v>
      </c>
      <c r="C1500">
        <v>0</v>
      </c>
      <c r="D1500">
        <v>0.11714112903225803</v>
      </c>
    </row>
    <row r="1501" spans="1:4" x14ac:dyDescent="0.25">
      <c r="A1501" t="s">
        <v>174</v>
      </c>
      <c r="B1501">
        <v>0.28345199999999998</v>
      </c>
      <c r="C1501">
        <v>0</v>
      </c>
      <c r="D1501">
        <v>0.20733824193548395</v>
      </c>
    </row>
    <row r="1502" spans="1:4" x14ac:dyDescent="0.25">
      <c r="A1502" t="s">
        <v>1625</v>
      </c>
      <c r="B1502">
        <v>0.28299999999999997</v>
      </c>
      <c r="C1502">
        <v>0</v>
      </c>
      <c r="D1502">
        <v>0.15059677419354842</v>
      </c>
    </row>
    <row r="1503" spans="1:4" x14ac:dyDescent="0.25">
      <c r="A1503" t="s">
        <v>2401</v>
      </c>
      <c r="B1503">
        <v>0.28299999999999997</v>
      </c>
      <c r="C1503">
        <v>0</v>
      </c>
      <c r="D1503">
        <v>0.19810483870967738</v>
      </c>
    </row>
    <row r="1504" spans="1:4" x14ac:dyDescent="0.25">
      <c r="A1504" t="s">
        <v>792</v>
      </c>
      <c r="B1504">
        <v>0.282889</v>
      </c>
      <c r="C1504">
        <v>0</v>
      </c>
      <c r="D1504">
        <v>0.16198830645161291</v>
      </c>
    </row>
    <row r="1505" spans="1:4" x14ac:dyDescent="0.25">
      <c r="A1505" t="s">
        <v>1423</v>
      </c>
      <c r="B1505">
        <v>0.28260000000000002</v>
      </c>
      <c r="C1505">
        <v>0</v>
      </c>
      <c r="D1505">
        <v>9.3039516129032232E-2</v>
      </c>
    </row>
    <row r="1506" spans="1:4" x14ac:dyDescent="0.25">
      <c r="A1506" t="s">
        <v>746</v>
      </c>
      <c r="B1506">
        <v>0.28079999999999999</v>
      </c>
      <c r="C1506">
        <v>0</v>
      </c>
      <c r="D1506">
        <v>9.3311145161290326E-2</v>
      </c>
    </row>
    <row r="1507" spans="1:4" x14ac:dyDescent="0.25">
      <c r="A1507" t="s">
        <v>1534</v>
      </c>
      <c r="B1507">
        <v>0.28000000000000003</v>
      </c>
      <c r="C1507">
        <v>0</v>
      </c>
      <c r="D1507">
        <v>7.6038709677419367E-2</v>
      </c>
    </row>
    <row r="1508" spans="1:4" x14ac:dyDescent="0.25">
      <c r="A1508" t="s">
        <v>379</v>
      </c>
      <c r="B1508">
        <v>0.28000000000000003</v>
      </c>
      <c r="C1508">
        <v>0.05</v>
      </c>
      <c r="D1508">
        <v>0.11689677419354841</v>
      </c>
    </row>
    <row r="1509" spans="1:4" x14ac:dyDescent="0.25">
      <c r="A1509" t="s">
        <v>2165</v>
      </c>
      <c r="B1509">
        <v>0.28000000000000003</v>
      </c>
      <c r="C1509">
        <v>0</v>
      </c>
      <c r="D1509">
        <v>0.21883870967741934</v>
      </c>
    </row>
    <row r="1510" spans="1:4" x14ac:dyDescent="0.25">
      <c r="A1510" t="s">
        <v>1100</v>
      </c>
      <c r="B1510">
        <v>0.28000000000000003</v>
      </c>
      <c r="C1510">
        <v>0</v>
      </c>
      <c r="D1510">
        <v>4.8854838709677426E-2</v>
      </c>
    </row>
    <row r="1511" spans="1:4" x14ac:dyDescent="0.25">
      <c r="A1511" t="s">
        <v>1336</v>
      </c>
      <c r="B1511">
        <v>0.27922999999999998</v>
      </c>
      <c r="C1511">
        <v>0</v>
      </c>
      <c r="D1511">
        <v>6.9078951612903242E-2</v>
      </c>
    </row>
    <row r="1512" spans="1:4" x14ac:dyDescent="0.25">
      <c r="A1512" t="s">
        <v>52</v>
      </c>
      <c r="B1512">
        <v>0.27900000000000003</v>
      </c>
      <c r="C1512">
        <v>0</v>
      </c>
      <c r="D1512">
        <v>0.1578154677419355</v>
      </c>
    </row>
    <row r="1513" spans="1:4" x14ac:dyDescent="0.25">
      <c r="A1513" t="s">
        <v>1408</v>
      </c>
      <c r="B1513">
        <v>0.27710000000000001</v>
      </c>
      <c r="C1513">
        <v>0</v>
      </c>
      <c r="D1513">
        <v>0.16480608064516125</v>
      </c>
    </row>
    <row r="1514" spans="1:4" x14ac:dyDescent="0.25">
      <c r="A1514" t="s">
        <v>1018</v>
      </c>
      <c r="B1514">
        <v>0.27700000000000002</v>
      </c>
      <c r="C1514">
        <v>0.17399999999999999</v>
      </c>
      <c r="D1514">
        <v>0.21830645161290313</v>
      </c>
    </row>
    <row r="1515" spans="1:4" x14ac:dyDescent="0.25">
      <c r="A1515" t="s">
        <v>2154</v>
      </c>
      <c r="B1515">
        <v>0.27500000000000002</v>
      </c>
      <c r="C1515">
        <v>0</v>
      </c>
      <c r="D1515">
        <v>0.16753661290322583</v>
      </c>
    </row>
    <row r="1516" spans="1:4" x14ac:dyDescent="0.25">
      <c r="A1516" t="s">
        <v>1218</v>
      </c>
      <c r="B1516">
        <v>0.27500000000000002</v>
      </c>
      <c r="C1516">
        <v>0</v>
      </c>
      <c r="D1516">
        <v>0.1288798387096774</v>
      </c>
    </row>
    <row r="1517" spans="1:4" x14ac:dyDescent="0.25">
      <c r="A1517" t="s">
        <v>1964</v>
      </c>
      <c r="B1517">
        <v>0.27400000000000002</v>
      </c>
      <c r="C1517">
        <v>0</v>
      </c>
      <c r="D1517">
        <v>5.978387096774191E-2</v>
      </c>
    </row>
    <row r="1518" spans="1:4" x14ac:dyDescent="0.25">
      <c r="A1518" t="s">
        <v>2020</v>
      </c>
      <c r="B1518">
        <v>0.27300000000000002</v>
      </c>
      <c r="C1518">
        <v>0.14199999999999999</v>
      </c>
      <c r="D1518">
        <v>0.19149999999999989</v>
      </c>
    </row>
    <row r="1519" spans="1:4" x14ac:dyDescent="0.25">
      <c r="A1519" t="s">
        <v>2481</v>
      </c>
      <c r="B1519">
        <v>0.27300000000000002</v>
      </c>
      <c r="C1519">
        <v>0</v>
      </c>
      <c r="D1519">
        <v>0.13528516129032261</v>
      </c>
    </row>
    <row r="1520" spans="1:4" x14ac:dyDescent="0.25">
      <c r="A1520" t="s">
        <v>2520</v>
      </c>
      <c r="B1520">
        <v>0.27200000000000002</v>
      </c>
      <c r="C1520">
        <v>0</v>
      </c>
      <c r="D1520">
        <v>7.2489870967741926E-2</v>
      </c>
    </row>
    <row r="1521" spans="1:4" x14ac:dyDescent="0.25">
      <c r="A1521" t="s">
        <v>580</v>
      </c>
      <c r="B1521">
        <v>0.27</v>
      </c>
      <c r="C1521">
        <v>0</v>
      </c>
      <c r="D1521">
        <v>6.0161290322580628E-2</v>
      </c>
    </row>
    <row r="1522" spans="1:4" x14ac:dyDescent="0.25">
      <c r="A1522" t="s">
        <v>1356</v>
      </c>
      <c r="B1522">
        <v>0.27</v>
      </c>
      <c r="C1522">
        <v>0</v>
      </c>
      <c r="D1522">
        <v>0.10838709677419353</v>
      </c>
    </row>
    <row r="1523" spans="1:4" x14ac:dyDescent="0.25">
      <c r="A1523" t="s">
        <v>855</v>
      </c>
      <c r="B1523">
        <v>0.26929999999999998</v>
      </c>
      <c r="C1523">
        <v>0</v>
      </c>
      <c r="D1523">
        <v>7.3404032258064536E-2</v>
      </c>
    </row>
    <row r="1524" spans="1:4" x14ac:dyDescent="0.25">
      <c r="A1524" t="s">
        <v>2027</v>
      </c>
      <c r="B1524">
        <v>0.26900000000000002</v>
      </c>
      <c r="C1524">
        <v>0</v>
      </c>
      <c r="D1524">
        <v>0.20525806451612905</v>
      </c>
    </row>
    <row r="1525" spans="1:4" x14ac:dyDescent="0.25">
      <c r="A1525" t="s">
        <v>2195</v>
      </c>
      <c r="B1525">
        <v>0.26900000000000002</v>
      </c>
      <c r="C1525">
        <v>0</v>
      </c>
      <c r="D1525">
        <v>0.21183870967741936</v>
      </c>
    </row>
    <row r="1526" spans="1:4" x14ac:dyDescent="0.25">
      <c r="A1526" t="s">
        <v>2576</v>
      </c>
      <c r="B1526">
        <v>0.26900000000000002</v>
      </c>
      <c r="C1526">
        <v>0</v>
      </c>
      <c r="D1526">
        <v>0.1600322580645161</v>
      </c>
    </row>
    <row r="1527" spans="1:4" x14ac:dyDescent="0.25">
      <c r="A1527" t="s">
        <v>1183</v>
      </c>
      <c r="B1527">
        <v>0.26900000000000002</v>
      </c>
      <c r="C1527">
        <v>0</v>
      </c>
      <c r="D1527">
        <v>0.10269354838709678</v>
      </c>
    </row>
    <row r="1528" spans="1:4" x14ac:dyDescent="0.25">
      <c r="A1528" t="s">
        <v>1101</v>
      </c>
      <c r="B1528">
        <v>0.2656</v>
      </c>
      <c r="C1528">
        <v>0</v>
      </c>
      <c r="D1528">
        <v>0.17514274193548388</v>
      </c>
    </row>
    <row r="1529" spans="1:4" x14ac:dyDescent="0.25">
      <c r="A1529" t="s">
        <v>2652</v>
      </c>
      <c r="B1529">
        <v>0.26500000000000001</v>
      </c>
      <c r="C1529">
        <v>0</v>
      </c>
      <c r="D1529">
        <v>9.6492032258064547E-2</v>
      </c>
    </row>
    <row r="1530" spans="1:4" x14ac:dyDescent="0.25">
      <c r="A1530" t="s">
        <v>671</v>
      </c>
      <c r="B1530">
        <v>0.26400000000000001</v>
      </c>
      <c r="C1530">
        <v>0</v>
      </c>
      <c r="D1530">
        <v>0.14332903225806454</v>
      </c>
    </row>
    <row r="1531" spans="1:4" x14ac:dyDescent="0.25">
      <c r="A1531" t="s">
        <v>582</v>
      </c>
      <c r="B1531">
        <v>0.26300000000000001</v>
      </c>
      <c r="C1531">
        <v>0</v>
      </c>
      <c r="D1531">
        <v>9.6744967741935445E-2</v>
      </c>
    </row>
    <row r="1532" spans="1:4" x14ac:dyDescent="0.25">
      <c r="A1532" t="s">
        <v>1186</v>
      </c>
      <c r="B1532">
        <v>0.26300000000000001</v>
      </c>
      <c r="C1532">
        <v>5.7000000000000002E-2</v>
      </c>
      <c r="D1532">
        <v>0.13666129032258065</v>
      </c>
    </row>
    <row r="1533" spans="1:4" x14ac:dyDescent="0.25">
      <c r="A1533" t="s">
        <v>1209</v>
      </c>
      <c r="B1533">
        <v>0.2621</v>
      </c>
      <c r="C1533">
        <v>0</v>
      </c>
      <c r="D1533">
        <v>0.12723822580645161</v>
      </c>
    </row>
    <row r="1534" spans="1:4" x14ac:dyDescent="0.25">
      <c r="A1534" t="s">
        <v>990</v>
      </c>
      <c r="B1534">
        <v>0.2621</v>
      </c>
      <c r="C1534">
        <v>0</v>
      </c>
      <c r="D1534">
        <v>0.13793064516129031</v>
      </c>
    </row>
    <row r="1535" spans="1:4" x14ac:dyDescent="0.25">
      <c r="A1535" t="s">
        <v>1419</v>
      </c>
      <c r="B1535">
        <v>0.26200000000000001</v>
      </c>
      <c r="C1535">
        <v>0</v>
      </c>
      <c r="D1535">
        <v>0.11913988709677419</v>
      </c>
    </row>
    <row r="1536" spans="1:4" x14ac:dyDescent="0.25">
      <c r="A1536" t="s">
        <v>951</v>
      </c>
      <c r="B1536">
        <v>0.26100000000000001</v>
      </c>
      <c r="C1536">
        <v>0</v>
      </c>
      <c r="D1536">
        <v>8.5209677419354868E-2</v>
      </c>
    </row>
    <row r="1537" spans="1:4" x14ac:dyDescent="0.25">
      <c r="A1537" t="s">
        <v>955</v>
      </c>
      <c r="B1537">
        <v>0.26100000000000001</v>
      </c>
      <c r="C1537">
        <v>0</v>
      </c>
      <c r="D1537">
        <v>0.1191532258064516</v>
      </c>
    </row>
    <row r="1538" spans="1:4" x14ac:dyDescent="0.25">
      <c r="A1538" t="s">
        <v>1155</v>
      </c>
      <c r="B1538">
        <v>0.26026100000000002</v>
      </c>
      <c r="C1538">
        <v>0</v>
      </c>
      <c r="D1538">
        <v>9.9002145161290328E-2</v>
      </c>
    </row>
    <row r="1539" spans="1:4" x14ac:dyDescent="0.25">
      <c r="A1539" t="s">
        <v>1503</v>
      </c>
      <c r="B1539">
        <v>0.26</v>
      </c>
      <c r="C1539">
        <v>0</v>
      </c>
      <c r="D1539">
        <v>7.9677419354838672E-2</v>
      </c>
    </row>
    <row r="1540" spans="1:4" x14ac:dyDescent="0.25">
      <c r="A1540" t="s">
        <v>2327</v>
      </c>
      <c r="B1540">
        <v>0.26</v>
      </c>
      <c r="C1540">
        <v>1.6E-2</v>
      </c>
      <c r="D1540">
        <v>0.13783140322580648</v>
      </c>
    </row>
    <row r="1541" spans="1:4" x14ac:dyDescent="0.25">
      <c r="A1541" t="s">
        <v>942</v>
      </c>
      <c r="B1541">
        <v>0.25950000000000001</v>
      </c>
      <c r="C1541">
        <v>0</v>
      </c>
      <c r="D1541">
        <v>0.14654901612903229</v>
      </c>
    </row>
    <row r="1542" spans="1:4" x14ac:dyDescent="0.25">
      <c r="A1542" t="s">
        <v>818</v>
      </c>
      <c r="B1542">
        <v>0.25900000000000001</v>
      </c>
      <c r="C1542">
        <v>0</v>
      </c>
      <c r="D1542">
        <v>0.12325806451612903</v>
      </c>
    </row>
    <row r="1543" spans="1:4" x14ac:dyDescent="0.25">
      <c r="A1543" t="s">
        <v>2755</v>
      </c>
      <c r="B1543">
        <v>0.25879999999999997</v>
      </c>
      <c r="C1543">
        <v>0</v>
      </c>
      <c r="D1543">
        <v>0.19015483870967745</v>
      </c>
    </row>
    <row r="1544" spans="1:4" x14ac:dyDescent="0.25">
      <c r="A1544" t="s">
        <v>1866</v>
      </c>
      <c r="B1544">
        <v>0.25800000000000001</v>
      </c>
      <c r="C1544">
        <v>0</v>
      </c>
      <c r="D1544">
        <v>0.15663511290322574</v>
      </c>
    </row>
    <row r="1545" spans="1:4" x14ac:dyDescent="0.25">
      <c r="A1545" t="s">
        <v>566</v>
      </c>
      <c r="B1545">
        <v>0.256517</v>
      </c>
      <c r="C1545">
        <v>0</v>
      </c>
      <c r="D1545">
        <v>9.7577983870967722E-2</v>
      </c>
    </row>
    <row r="1546" spans="1:4" x14ac:dyDescent="0.25">
      <c r="A1546" t="s">
        <v>1969</v>
      </c>
      <c r="B1546">
        <v>0.25600000000000001</v>
      </c>
      <c r="C1546">
        <v>0</v>
      </c>
      <c r="D1546">
        <v>8.9766129032258016E-2</v>
      </c>
    </row>
    <row r="1547" spans="1:4" x14ac:dyDescent="0.25">
      <c r="A1547" t="s">
        <v>2647</v>
      </c>
      <c r="B1547">
        <v>0.254</v>
      </c>
      <c r="C1547">
        <v>0.09</v>
      </c>
      <c r="D1547">
        <v>0.14553225806451608</v>
      </c>
    </row>
    <row r="1548" spans="1:4" x14ac:dyDescent="0.25">
      <c r="A1548" t="s">
        <v>2838</v>
      </c>
      <c r="B1548">
        <v>0.253</v>
      </c>
      <c r="C1548">
        <v>0</v>
      </c>
      <c r="D1548">
        <v>5.6290322580645126E-2</v>
      </c>
    </row>
    <row r="1549" spans="1:4" x14ac:dyDescent="0.25">
      <c r="A1549" t="s">
        <v>727</v>
      </c>
      <c r="B1549">
        <v>0.253</v>
      </c>
      <c r="C1549">
        <v>0</v>
      </c>
      <c r="D1549">
        <v>0.1830887096774193</v>
      </c>
    </row>
    <row r="1550" spans="1:4" x14ac:dyDescent="0.25">
      <c r="A1550" t="s">
        <v>2473</v>
      </c>
      <c r="B1550">
        <v>0.253</v>
      </c>
      <c r="C1550">
        <v>0</v>
      </c>
      <c r="D1550">
        <v>0.20812903225806453</v>
      </c>
    </row>
    <row r="1551" spans="1:4" x14ac:dyDescent="0.25">
      <c r="A1551" t="s">
        <v>903</v>
      </c>
      <c r="B1551">
        <v>0.253</v>
      </c>
      <c r="C1551">
        <v>2.5000000000000001E-2</v>
      </c>
      <c r="D1551">
        <v>0.11543548387096778</v>
      </c>
    </row>
    <row r="1552" spans="1:4" x14ac:dyDescent="0.25">
      <c r="A1552" t="s">
        <v>515</v>
      </c>
      <c r="B1552">
        <v>0.251</v>
      </c>
      <c r="C1552">
        <v>0</v>
      </c>
      <c r="D1552">
        <v>0.16649303225806447</v>
      </c>
    </row>
    <row r="1553" spans="1:4" x14ac:dyDescent="0.25">
      <c r="A1553" t="s">
        <v>1605</v>
      </c>
      <c r="B1553">
        <v>0.25</v>
      </c>
      <c r="C1553">
        <v>0</v>
      </c>
      <c r="D1553">
        <v>6.3008064516129017E-2</v>
      </c>
    </row>
    <row r="1554" spans="1:4" x14ac:dyDescent="0.25">
      <c r="A1554" t="s">
        <v>560</v>
      </c>
      <c r="B1554">
        <v>0.25</v>
      </c>
      <c r="C1554">
        <v>0</v>
      </c>
      <c r="D1554">
        <v>0.1011693548387097</v>
      </c>
    </row>
    <row r="1555" spans="1:4" x14ac:dyDescent="0.25">
      <c r="A1555" t="s">
        <v>1635</v>
      </c>
      <c r="B1555">
        <v>0.25</v>
      </c>
      <c r="C1555">
        <v>0</v>
      </c>
      <c r="D1555">
        <v>9.1774193548387159E-2</v>
      </c>
    </row>
    <row r="1556" spans="1:4" x14ac:dyDescent="0.25">
      <c r="A1556" t="s">
        <v>498</v>
      </c>
      <c r="B1556">
        <v>0.25</v>
      </c>
      <c r="C1556">
        <v>0</v>
      </c>
      <c r="D1556">
        <v>1.5717741935483878E-2</v>
      </c>
    </row>
    <row r="1557" spans="1:4" x14ac:dyDescent="0.25">
      <c r="A1557" t="s">
        <v>2343</v>
      </c>
      <c r="B1557">
        <v>0.25</v>
      </c>
      <c r="C1557">
        <v>0</v>
      </c>
      <c r="D1557">
        <v>6.5306451612903216E-2</v>
      </c>
    </row>
    <row r="1558" spans="1:4" x14ac:dyDescent="0.25">
      <c r="A1558" t="s">
        <v>2013</v>
      </c>
      <c r="B1558">
        <v>0.24943299999999999</v>
      </c>
      <c r="C1558">
        <v>0</v>
      </c>
      <c r="D1558">
        <v>0.21328308870967741</v>
      </c>
    </row>
    <row r="1559" spans="1:4" x14ac:dyDescent="0.25">
      <c r="A1559" t="s">
        <v>2205</v>
      </c>
      <c r="B1559">
        <v>0.24879999999999999</v>
      </c>
      <c r="C1559">
        <v>0</v>
      </c>
      <c r="D1559">
        <v>0.14606776290322582</v>
      </c>
    </row>
    <row r="1560" spans="1:4" x14ac:dyDescent="0.25">
      <c r="A1560" t="s">
        <v>999</v>
      </c>
      <c r="B1560">
        <v>0.243838</v>
      </c>
      <c r="C1560">
        <v>0.18665999999999999</v>
      </c>
      <c r="D1560">
        <v>0.21375137096774194</v>
      </c>
    </row>
    <row r="1561" spans="1:4" x14ac:dyDescent="0.25">
      <c r="A1561" t="s">
        <v>2872</v>
      </c>
      <c r="B1561">
        <v>0.2429</v>
      </c>
      <c r="C1561">
        <v>0</v>
      </c>
      <c r="D1561">
        <v>5.6144354838709679E-2</v>
      </c>
    </row>
    <row r="1562" spans="1:4" x14ac:dyDescent="0.25">
      <c r="A1562" t="s">
        <v>1391</v>
      </c>
      <c r="B1562">
        <v>0.24199999999999999</v>
      </c>
      <c r="C1562">
        <v>0</v>
      </c>
      <c r="D1562">
        <v>0.1494758064516129</v>
      </c>
    </row>
    <row r="1563" spans="1:4" x14ac:dyDescent="0.25">
      <c r="A1563" t="s">
        <v>1734</v>
      </c>
      <c r="B1563">
        <v>0.24</v>
      </c>
      <c r="C1563">
        <v>0</v>
      </c>
      <c r="D1563">
        <v>0.13551612903225807</v>
      </c>
    </row>
    <row r="1564" spans="1:4" x14ac:dyDescent="0.25">
      <c r="A1564" t="s">
        <v>231</v>
      </c>
      <c r="B1564">
        <v>0.24</v>
      </c>
      <c r="C1564">
        <v>0</v>
      </c>
      <c r="D1564">
        <v>0.13922580645161295</v>
      </c>
    </row>
    <row r="1565" spans="1:4" x14ac:dyDescent="0.25">
      <c r="A1565" t="s">
        <v>741</v>
      </c>
      <c r="B1565">
        <v>0.24</v>
      </c>
      <c r="C1565">
        <v>0</v>
      </c>
      <c r="D1565">
        <v>0.14119354838709677</v>
      </c>
    </row>
    <row r="1566" spans="1:4" x14ac:dyDescent="0.25">
      <c r="A1566" t="s">
        <v>2631</v>
      </c>
      <c r="B1566">
        <v>0.24</v>
      </c>
      <c r="C1566">
        <v>0</v>
      </c>
      <c r="D1566">
        <v>0.18441016129032259</v>
      </c>
    </row>
    <row r="1567" spans="1:4" x14ac:dyDescent="0.25">
      <c r="A1567" t="s">
        <v>2655</v>
      </c>
      <c r="B1567">
        <v>0.23899999999999999</v>
      </c>
      <c r="C1567">
        <v>0.122</v>
      </c>
      <c r="D1567">
        <v>0.17874999999999999</v>
      </c>
    </row>
    <row r="1568" spans="1:4" x14ac:dyDescent="0.25">
      <c r="A1568" t="s">
        <v>525</v>
      </c>
      <c r="B1568">
        <v>0.23799999999999999</v>
      </c>
      <c r="C1568">
        <v>0</v>
      </c>
      <c r="D1568">
        <v>7.5725806451612906E-2</v>
      </c>
    </row>
    <row r="1569" spans="1:4" x14ac:dyDescent="0.25">
      <c r="A1569" t="s">
        <v>1970</v>
      </c>
      <c r="B1569">
        <v>0.23799999999999999</v>
      </c>
      <c r="C1569">
        <v>0</v>
      </c>
      <c r="D1569">
        <v>8.3580645161290337E-2</v>
      </c>
    </row>
    <row r="1570" spans="1:4" x14ac:dyDescent="0.25">
      <c r="A1570" t="s">
        <v>1971</v>
      </c>
      <c r="B1570">
        <v>0.23799999999999999</v>
      </c>
      <c r="C1570">
        <v>0</v>
      </c>
      <c r="D1570">
        <v>8.0661290322580667E-2</v>
      </c>
    </row>
    <row r="1571" spans="1:4" x14ac:dyDescent="0.25">
      <c r="A1571" t="s">
        <v>2160</v>
      </c>
      <c r="B1571">
        <v>0.23799999999999999</v>
      </c>
      <c r="C1571">
        <v>0.15</v>
      </c>
      <c r="D1571">
        <v>0.19187204838709682</v>
      </c>
    </row>
    <row r="1572" spans="1:4" x14ac:dyDescent="0.25">
      <c r="A1572" t="s">
        <v>2575</v>
      </c>
      <c r="B1572">
        <v>0.23799999999999999</v>
      </c>
      <c r="C1572">
        <v>0</v>
      </c>
      <c r="D1572">
        <v>0.18085483870967745</v>
      </c>
    </row>
    <row r="1573" spans="1:4" x14ac:dyDescent="0.25">
      <c r="A1573" t="s">
        <v>2485</v>
      </c>
      <c r="B1573">
        <v>0.2379</v>
      </c>
      <c r="C1573">
        <v>0</v>
      </c>
      <c r="D1573">
        <v>0.17287516129032257</v>
      </c>
    </row>
    <row r="1574" spans="1:4" x14ac:dyDescent="0.25">
      <c r="A1574" t="s">
        <v>803</v>
      </c>
      <c r="B1574">
        <v>0.23630000000000001</v>
      </c>
      <c r="C1574">
        <v>0</v>
      </c>
      <c r="D1574">
        <v>0.10482238709677417</v>
      </c>
    </row>
    <row r="1575" spans="1:4" x14ac:dyDescent="0.25">
      <c r="A1575" t="s">
        <v>1836</v>
      </c>
      <c r="B1575">
        <v>0.23599999999999999</v>
      </c>
      <c r="C1575">
        <v>0</v>
      </c>
      <c r="D1575">
        <v>0.13024129032258067</v>
      </c>
    </row>
    <row r="1576" spans="1:4" x14ac:dyDescent="0.25">
      <c r="A1576" t="s">
        <v>1169</v>
      </c>
      <c r="B1576">
        <v>0.23599999999999999</v>
      </c>
      <c r="C1576">
        <v>0</v>
      </c>
      <c r="D1576">
        <v>0.10164516129032253</v>
      </c>
    </row>
    <row r="1577" spans="1:4" x14ac:dyDescent="0.25">
      <c r="A1577" t="s">
        <v>597</v>
      </c>
      <c r="B1577">
        <v>0.2356</v>
      </c>
      <c r="C1577">
        <v>0</v>
      </c>
      <c r="D1577">
        <v>0.11665474193548386</v>
      </c>
    </row>
    <row r="1578" spans="1:4" x14ac:dyDescent="0.25">
      <c r="A1578" t="s">
        <v>2440</v>
      </c>
      <c r="B1578">
        <v>0.23449999999999999</v>
      </c>
      <c r="C1578">
        <v>9.0399999999999994E-2</v>
      </c>
      <c r="D1578">
        <v>0.15215483870967744</v>
      </c>
    </row>
    <row r="1579" spans="1:4" x14ac:dyDescent="0.25">
      <c r="A1579" t="s">
        <v>1655</v>
      </c>
      <c r="B1579">
        <v>0.2344</v>
      </c>
      <c r="C1579">
        <v>0</v>
      </c>
      <c r="D1579">
        <v>5.4438709677419345E-2</v>
      </c>
    </row>
    <row r="1580" spans="1:4" x14ac:dyDescent="0.25">
      <c r="A1580" t="s">
        <v>2894</v>
      </c>
      <c r="B1580">
        <v>0.23400000000000001</v>
      </c>
      <c r="C1580">
        <v>1.2999999999999999E-2</v>
      </c>
      <c r="D1580">
        <v>8.6983870967741933E-2</v>
      </c>
    </row>
    <row r="1581" spans="1:4" x14ac:dyDescent="0.25">
      <c r="A1581" t="s">
        <v>1478</v>
      </c>
      <c r="B1581">
        <v>0.23400000000000001</v>
      </c>
      <c r="C1581">
        <v>0</v>
      </c>
      <c r="D1581">
        <v>0.14701612903225805</v>
      </c>
    </row>
    <row r="1582" spans="1:4" x14ac:dyDescent="0.25">
      <c r="A1582" t="s">
        <v>624</v>
      </c>
      <c r="B1582">
        <v>0.23300000000000001</v>
      </c>
      <c r="C1582">
        <v>0.131323</v>
      </c>
      <c r="D1582">
        <v>0.18458431451612897</v>
      </c>
    </row>
    <row r="1583" spans="1:4" x14ac:dyDescent="0.25">
      <c r="A1583" t="s">
        <v>396</v>
      </c>
      <c r="B1583">
        <v>0.23200000000000001</v>
      </c>
      <c r="C1583">
        <v>0</v>
      </c>
      <c r="D1583">
        <v>0.19054032258064521</v>
      </c>
    </row>
    <row r="1584" spans="1:4" x14ac:dyDescent="0.25">
      <c r="A1584" t="s">
        <v>2463</v>
      </c>
      <c r="B1584">
        <v>0.23122500000000001</v>
      </c>
      <c r="C1584">
        <v>9.9680000000000005E-2</v>
      </c>
      <c r="D1584">
        <v>0.17528795161290325</v>
      </c>
    </row>
    <row r="1585" spans="1:4" x14ac:dyDescent="0.25">
      <c r="A1585" t="s">
        <v>134</v>
      </c>
      <c r="B1585">
        <v>0.23100000000000001</v>
      </c>
      <c r="C1585">
        <v>0</v>
      </c>
      <c r="D1585">
        <v>0.10235000000000001</v>
      </c>
    </row>
    <row r="1586" spans="1:4" x14ac:dyDescent="0.25">
      <c r="A1586" t="s">
        <v>1109</v>
      </c>
      <c r="B1586">
        <v>0.23</v>
      </c>
      <c r="C1586">
        <v>0</v>
      </c>
      <c r="D1586">
        <v>0.19109677419354848</v>
      </c>
    </row>
    <row r="1587" spans="1:4" x14ac:dyDescent="0.25">
      <c r="A1587" t="s">
        <v>2436</v>
      </c>
      <c r="B1587">
        <v>0.23</v>
      </c>
      <c r="C1587">
        <v>0</v>
      </c>
      <c r="D1587">
        <v>0.14971491935483872</v>
      </c>
    </row>
    <row r="1588" spans="1:4" x14ac:dyDescent="0.25">
      <c r="A1588" t="s">
        <v>546</v>
      </c>
      <c r="B1588">
        <v>0.23</v>
      </c>
      <c r="C1588">
        <v>0</v>
      </c>
      <c r="D1588">
        <v>0.18701612903225809</v>
      </c>
    </row>
    <row r="1589" spans="1:4" x14ac:dyDescent="0.25">
      <c r="A1589" t="s">
        <v>547</v>
      </c>
      <c r="B1589">
        <v>0.23</v>
      </c>
      <c r="C1589">
        <v>0</v>
      </c>
      <c r="D1589">
        <v>0.16182758064516134</v>
      </c>
    </row>
    <row r="1590" spans="1:4" x14ac:dyDescent="0.25">
      <c r="A1590" t="s">
        <v>1024</v>
      </c>
      <c r="B1590">
        <v>0.23</v>
      </c>
      <c r="C1590">
        <v>0.13</v>
      </c>
      <c r="D1590">
        <v>0.18543548387096764</v>
      </c>
    </row>
    <row r="1591" spans="1:4" x14ac:dyDescent="0.25">
      <c r="A1591" t="s">
        <v>1239</v>
      </c>
      <c r="B1591">
        <v>0.23</v>
      </c>
      <c r="C1591">
        <v>0</v>
      </c>
      <c r="D1591">
        <v>0.11895161290322578</v>
      </c>
    </row>
    <row r="1592" spans="1:4" x14ac:dyDescent="0.25">
      <c r="A1592" t="s">
        <v>954</v>
      </c>
      <c r="B1592">
        <v>0.22900000000000001</v>
      </c>
      <c r="C1592">
        <v>0</v>
      </c>
      <c r="D1592">
        <v>7.9475806451612924E-2</v>
      </c>
    </row>
    <row r="1593" spans="1:4" x14ac:dyDescent="0.25">
      <c r="A1593" t="s">
        <v>2827</v>
      </c>
      <c r="B1593">
        <v>0.22900000000000001</v>
      </c>
      <c r="C1593">
        <v>0</v>
      </c>
      <c r="D1593">
        <v>0.12650725806451615</v>
      </c>
    </row>
    <row r="1594" spans="1:4" x14ac:dyDescent="0.25">
      <c r="A1594" t="s">
        <v>1649</v>
      </c>
      <c r="B1594">
        <v>0.22844400000000001</v>
      </c>
      <c r="C1594">
        <v>0</v>
      </c>
      <c r="D1594">
        <v>5.8464060483871004E-2</v>
      </c>
    </row>
    <row r="1595" spans="1:4" x14ac:dyDescent="0.25">
      <c r="A1595" t="s">
        <v>362</v>
      </c>
      <c r="B1595">
        <v>0.22600000000000001</v>
      </c>
      <c r="C1595">
        <v>0</v>
      </c>
      <c r="D1595">
        <v>8.9875806451612889E-2</v>
      </c>
    </row>
    <row r="1596" spans="1:4" x14ac:dyDescent="0.25">
      <c r="A1596" t="s">
        <v>1249</v>
      </c>
      <c r="B1596">
        <v>0.225858</v>
      </c>
      <c r="C1596">
        <v>0</v>
      </c>
      <c r="D1596">
        <v>0.14732861290322588</v>
      </c>
    </row>
    <row r="1597" spans="1:4" x14ac:dyDescent="0.25">
      <c r="A1597" t="s">
        <v>287</v>
      </c>
      <c r="B1597">
        <v>0.22570599999999999</v>
      </c>
      <c r="C1597">
        <v>0</v>
      </c>
      <c r="D1597">
        <v>9.1617733870967763E-2</v>
      </c>
    </row>
    <row r="1598" spans="1:4" x14ac:dyDescent="0.25">
      <c r="A1598" t="s">
        <v>1890</v>
      </c>
      <c r="B1598">
        <v>0.22500000000000001</v>
      </c>
      <c r="C1598">
        <v>0</v>
      </c>
      <c r="D1598">
        <v>0.1401290322580645</v>
      </c>
    </row>
    <row r="1599" spans="1:4" x14ac:dyDescent="0.25">
      <c r="A1599" t="s">
        <v>2185</v>
      </c>
      <c r="B1599">
        <v>0.22500000000000001</v>
      </c>
      <c r="C1599">
        <v>0</v>
      </c>
      <c r="D1599">
        <v>0.18686774193548389</v>
      </c>
    </row>
    <row r="1600" spans="1:4" x14ac:dyDescent="0.25">
      <c r="A1600" t="s">
        <v>1242</v>
      </c>
      <c r="B1600">
        <v>0.22500000000000001</v>
      </c>
      <c r="C1600">
        <v>3.6999999999999998E-2</v>
      </c>
      <c r="D1600">
        <v>0.14756451612903224</v>
      </c>
    </row>
    <row r="1601" spans="1:4" x14ac:dyDescent="0.25">
      <c r="A1601" t="s">
        <v>201</v>
      </c>
      <c r="B1601">
        <v>0.22500000000000001</v>
      </c>
      <c r="C1601">
        <v>0</v>
      </c>
      <c r="D1601">
        <v>7.9758064516129046E-2</v>
      </c>
    </row>
    <row r="1602" spans="1:4" x14ac:dyDescent="0.25">
      <c r="A1602" t="s">
        <v>2649</v>
      </c>
      <c r="B1602">
        <v>0.224</v>
      </c>
      <c r="C1602">
        <v>0</v>
      </c>
      <c r="D1602">
        <v>0.11677419354838717</v>
      </c>
    </row>
    <row r="1603" spans="1:4" x14ac:dyDescent="0.25">
      <c r="A1603" t="s">
        <v>1144</v>
      </c>
      <c r="B1603">
        <v>0.224</v>
      </c>
      <c r="C1603">
        <v>1.0999999999999999E-2</v>
      </c>
      <c r="D1603">
        <v>9.6798387096774186E-2</v>
      </c>
    </row>
    <row r="1604" spans="1:4" x14ac:dyDescent="0.25">
      <c r="A1604" t="s">
        <v>2791</v>
      </c>
      <c r="B1604">
        <v>0.2238</v>
      </c>
      <c r="C1604">
        <v>0</v>
      </c>
      <c r="D1604">
        <v>0.13285</v>
      </c>
    </row>
    <row r="1605" spans="1:4" x14ac:dyDescent="0.25">
      <c r="A1605" t="s">
        <v>98</v>
      </c>
      <c r="B1605">
        <v>0.223</v>
      </c>
      <c r="C1605">
        <v>0</v>
      </c>
      <c r="D1605">
        <v>9.9886693548387098E-2</v>
      </c>
    </row>
    <row r="1606" spans="1:4" x14ac:dyDescent="0.25">
      <c r="A1606" t="s">
        <v>137</v>
      </c>
      <c r="B1606">
        <v>0.223</v>
      </c>
      <c r="C1606">
        <v>0</v>
      </c>
      <c r="D1606">
        <v>0.14483064516129032</v>
      </c>
    </row>
    <row r="1607" spans="1:4" x14ac:dyDescent="0.25">
      <c r="A1607" t="s">
        <v>2701</v>
      </c>
      <c r="B1607">
        <v>0.223</v>
      </c>
      <c r="C1607">
        <v>0.104</v>
      </c>
      <c r="D1607">
        <v>0.15225806451612911</v>
      </c>
    </row>
    <row r="1608" spans="1:4" x14ac:dyDescent="0.25">
      <c r="A1608" t="s">
        <v>2533</v>
      </c>
      <c r="B1608">
        <v>0.2225</v>
      </c>
      <c r="C1608">
        <v>0</v>
      </c>
      <c r="D1608">
        <v>0.1296266129032258</v>
      </c>
    </row>
    <row r="1609" spans="1:4" x14ac:dyDescent="0.25">
      <c r="A1609" t="s">
        <v>1177</v>
      </c>
      <c r="B1609">
        <v>0.222</v>
      </c>
      <c r="C1609">
        <v>0</v>
      </c>
      <c r="D1609">
        <v>0.12524999999999997</v>
      </c>
    </row>
    <row r="1610" spans="1:4" x14ac:dyDescent="0.25">
      <c r="A1610" t="s">
        <v>200</v>
      </c>
      <c r="B1610">
        <v>0.222</v>
      </c>
      <c r="C1610">
        <v>0</v>
      </c>
      <c r="D1610">
        <v>0.17719032258064515</v>
      </c>
    </row>
    <row r="1611" spans="1:4" x14ac:dyDescent="0.25">
      <c r="A1611" t="s">
        <v>837</v>
      </c>
      <c r="B1611">
        <v>0.221</v>
      </c>
      <c r="C1611">
        <v>0</v>
      </c>
      <c r="D1611">
        <v>0.14293548387096774</v>
      </c>
    </row>
    <row r="1612" spans="1:4" x14ac:dyDescent="0.25">
      <c r="A1612" t="s">
        <v>2497</v>
      </c>
      <c r="B1612">
        <v>0.2208</v>
      </c>
      <c r="C1612">
        <v>0</v>
      </c>
      <c r="D1612">
        <v>2.7783306451612901E-2</v>
      </c>
    </row>
    <row r="1613" spans="1:4" x14ac:dyDescent="0.25">
      <c r="A1613" t="s">
        <v>2077</v>
      </c>
      <c r="B1613">
        <v>0.22</v>
      </c>
      <c r="C1613">
        <v>0</v>
      </c>
      <c r="D1613">
        <v>0.15256612903225805</v>
      </c>
    </row>
    <row r="1614" spans="1:4" x14ac:dyDescent="0.25">
      <c r="A1614" t="s">
        <v>249</v>
      </c>
      <c r="B1614">
        <v>0.22</v>
      </c>
      <c r="C1614">
        <v>2.3E-2</v>
      </c>
      <c r="D1614">
        <v>9.6578387096774201E-2</v>
      </c>
    </row>
    <row r="1615" spans="1:4" x14ac:dyDescent="0.25">
      <c r="A1615" t="s">
        <v>1531</v>
      </c>
      <c r="B1615">
        <v>0.22</v>
      </c>
      <c r="C1615">
        <v>0</v>
      </c>
      <c r="D1615">
        <v>0.15625806451612909</v>
      </c>
    </row>
    <row r="1616" spans="1:4" x14ac:dyDescent="0.25">
      <c r="A1616" t="s">
        <v>2308</v>
      </c>
      <c r="B1616">
        <v>0.22</v>
      </c>
      <c r="C1616">
        <v>0</v>
      </c>
      <c r="D1616">
        <v>5.8080645161290315E-2</v>
      </c>
    </row>
    <row r="1617" spans="1:4" x14ac:dyDescent="0.25">
      <c r="A1617" t="s">
        <v>386</v>
      </c>
      <c r="B1617">
        <v>0.2195</v>
      </c>
      <c r="C1617">
        <v>0</v>
      </c>
      <c r="D1617">
        <v>0.16298709677419354</v>
      </c>
    </row>
    <row r="1618" spans="1:4" x14ac:dyDescent="0.25">
      <c r="A1618" t="s">
        <v>769</v>
      </c>
      <c r="B1618">
        <v>0.21909999999999999</v>
      </c>
      <c r="C1618">
        <v>0</v>
      </c>
      <c r="D1618">
        <v>0.13550806451612907</v>
      </c>
    </row>
    <row r="1619" spans="1:4" x14ac:dyDescent="0.25">
      <c r="A1619" t="s">
        <v>352</v>
      </c>
      <c r="B1619">
        <v>0.219</v>
      </c>
      <c r="C1619">
        <v>0</v>
      </c>
      <c r="D1619">
        <v>0.13925000000000001</v>
      </c>
    </row>
    <row r="1620" spans="1:4" x14ac:dyDescent="0.25">
      <c r="A1620" t="s">
        <v>1163</v>
      </c>
      <c r="B1620">
        <v>0.219</v>
      </c>
      <c r="C1620">
        <v>4.7300000000000002E-2</v>
      </c>
      <c r="D1620">
        <v>0.10080967741935486</v>
      </c>
    </row>
    <row r="1621" spans="1:4" x14ac:dyDescent="0.25">
      <c r="A1621" t="s">
        <v>2738</v>
      </c>
      <c r="B1621">
        <v>0.219</v>
      </c>
      <c r="C1621">
        <v>0</v>
      </c>
      <c r="D1621">
        <v>9.1596774193548391E-2</v>
      </c>
    </row>
    <row r="1622" spans="1:4" x14ac:dyDescent="0.25">
      <c r="A1622" t="s">
        <v>2724</v>
      </c>
      <c r="B1622">
        <v>0.219</v>
      </c>
      <c r="C1622">
        <v>0</v>
      </c>
      <c r="D1622">
        <v>0.10890322580645163</v>
      </c>
    </row>
    <row r="1623" spans="1:4" x14ac:dyDescent="0.25">
      <c r="A1623" t="s">
        <v>33</v>
      </c>
      <c r="B1623">
        <v>0.21870000000000001</v>
      </c>
      <c r="C1623">
        <v>0</v>
      </c>
      <c r="D1623">
        <v>0.16857822580645165</v>
      </c>
    </row>
    <row r="1624" spans="1:4" x14ac:dyDescent="0.25">
      <c r="A1624" t="s">
        <v>1485</v>
      </c>
      <c r="B1624">
        <v>0.21829999999999999</v>
      </c>
      <c r="C1624">
        <v>0</v>
      </c>
      <c r="D1624">
        <v>0.14592983870967738</v>
      </c>
    </row>
    <row r="1625" spans="1:4" x14ac:dyDescent="0.25">
      <c r="A1625" t="s">
        <v>1798</v>
      </c>
      <c r="B1625">
        <v>0.218</v>
      </c>
      <c r="C1625">
        <v>0</v>
      </c>
      <c r="D1625">
        <v>2.2580645161290321E-2</v>
      </c>
    </row>
    <row r="1626" spans="1:4" x14ac:dyDescent="0.25">
      <c r="A1626" t="s">
        <v>618</v>
      </c>
      <c r="B1626">
        <v>0.218</v>
      </c>
      <c r="C1626">
        <v>0</v>
      </c>
      <c r="D1626">
        <v>0.15927419354838709</v>
      </c>
    </row>
    <row r="1627" spans="1:4" x14ac:dyDescent="0.25">
      <c r="A1627" t="s">
        <v>1219</v>
      </c>
      <c r="B1627">
        <v>0.218</v>
      </c>
      <c r="C1627">
        <v>0</v>
      </c>
      <c r="D1627">
        <v>6.0711032258064519E-2</v>
      </c>
    </row>
    <row r="1628" spans="1:4" x14ac:dyDescent="0.25">
      <c r="A1628" t="s">
        <v>213</v>
      </c>
      <c r="B1628">
        <v>0.218</v>
      </c>
      <c r="C1628">
        <v>0</v>
      </c>
      <c r="D1628">
        <v>6.8629032258064535E-2</v>
      </c>
    </row>
    <row r="1629" spans="1:4" x14ac:dyDescent="0.25">
      <c r="A1629" t="s">
        <v>1171</v>
      </c>
      <c r="B1629">
        <v>0.217</v>
      </c>
      <c r="C1629">
        <v>0</v>
      </c>
      <c r="D1629">
        <v>0.12797645161290325</v>
      </c>
    </row>
    <row r="1630" spans="1:4" x14ac:dyDescent="0.25">
      <c r="A1630" t="s">
        <v>1210</v>
      </c>
      <c r="B1630">
        <v>0.217</v>
      </c>
      <c r="C1630">
        <v>0</v>
      </c>
      <c r="D1630">
        <v>0.10374193548387095</v>
      </c>
    </row>
    <row r="1631" spans="1:4" x14ac:dyDescent="0.25">
      <c r="A1631" t="s">
        <v>2515</v>
      </c>
      <c r="B1631">
        <v>0.217</v>
      </c>
      <c r="C1631">
        <v>0</v>
      </c>
      <c r="D1631">
        <v>0.11037422580645155</v>
      </c>
    </row>
    <row r="1632" spans="1:4" x14ac:dyDescent="0.25">
      <c r="A1632" t="s">
        <v>2183</v>
      </c>
      <c r="B1632">
        <v>0.216</v>
      </c>
      <c r="C1632">
        <v>0</v>
      </c>
      <c r="D1632">
        <v>7.9298387096774212E-2</v>
      </c>
    </row>
    <row r="1633" spans="1:4" x14ac:dyDescent="0.25">
      <c r="A1633" t="s">
        <v>1585</v>
      </c>
      <c r="B1633">
        <v>0.215033</v>
      </c>
      <c r="C1633">
        <v>0</v>
      </c>
      <c r="D1633">
        <v>0.16661065322580643</v>
      </c>
    </row>
    <row r="1634" spans="1:4" x14ac:dyDescent="0.25">
      <c r="A1634" t="s">
        <v>1657</v>
      </c>
      <c r="B1634">
        <v>0.215</v>
      </c>
      <c r="C1634">
        <v>0</v>
      </c>
      <c r="D1634">
        <v>0.10734677419354838</v>
      </c>
    </row>
    <row r="1635" spans="1:4" x14ac:dyDescent="0.25">
      <c r="A1635" t="s">
        <v>1359</v>
      </c>
      <c r="B1635">
        <v>0.215</v>
      </c>
      <c r="C1635">
        <v>7.8E-2</v>
      </c>
      <c r="D1635">
        <v>0.14488387096774191</v>
      </c>
    </row>
    <row r="1636" spans="1:4" x14ac:dyDescent="0.25">
      <c r="A1636" t="s">
        <v>1928</v>
      </c>
      <c r="B1636">
        <v>0.215</v>
      </c>
      <c r="C1636">
        <v>0</v>
      </c>
      <c r="D1636">
        <v>0.11303290322580645</v>
      </c>
    </row>
    <row r="1637" spans="1:4" x14ac:dyDescent="0.25">
      <c r="A1637" t="s">
        <v>2070</v>
      </c>
      <c r="B1637">
        <v>0.214419</v>
      </c>
      <c r="C1637">
        <v>0</v>
      </c>
      <c r="D1637">
        <v>0.15960884677419354</v>
      </c>
    </row>
    <row r="1638" spans="1:4" x14ac:dyDescent="0.25">
      <c r="A1638" t="s">
        <v>2010</v>
      </c>
      <c r="B1638">
        <v>0.21440000000000001</v>
      </c>
      <c r="C1638">
        <v>0</v>
      </c>
      <c r="D1638">
        <v>0.16669691935483871</v>
      </c>
    </row>
    <row r="1639" spans="1:4" x14ac:dyDescent="0.25">
      <c r="A1639" t="s">
        <v>2775</v>
      </c>
      <c r="B1639">
        <v>0.214</v>
      </c>
      <c r="C1639">
        <v>6.3E-2</v>
      </c>
      <c r="D1639">
        <v>0.13043548387096773</v>
      </c>
    </row>
    <row r="1640" spans="1:4" x14ac:dyDescent="0.25">
      <c r="A1640" t="s">
        <v>1412</v>
      </c>
      <c r="B1640">
        <v>0.2135</v>
      </c>
      <c r="C1640">
        <v>0</v>
      </c>
      <c r="D1640">
        <v>7.3746612903225789E-2</v>
      </c>
    </row>
    <row r="1641" spans="1:4" x14ac:dyDescent="0.25">
      <c r="A1641" t="s">
        <v>619</v>
      </c>
      <c r="B1641">
        <v>0.21240000000000001</v>
      </c>
      <c r="C1641">
        <v>0</v>
      </c>
      <c r="D1641">
        <v>0.12917741935483876</v>
      </c>
    </row>
    <row r="1642" spans="1:4" x14ac:dyDescent="0.25">
      <c r="A1642" t="s">
        <v>952</v>
      </c>
      <c r="B1642">
        <v>0.21199999999999999</v>
      </c>
      <c r="C1642">
        <v>0</v>
      </c>
      <c r="D1642">
        <v>9.0112903225806451E-2</v>
      </c>
    </row>
    <row r="1643" spans="1:4" x14ac:dyDescent="0.25">
      <c r="A1643" t="s">
        <v>2224</v>
      </c>
      <c r="B1643">
        <v>0.21099999999999999</v>
      </c>
      <c r="C1643">
        <v>0</v>
      </c>
      <c r="D1643">
        <v>0.17246774193548384</v>
      </c>
    </row>
    <row r="1644" spans="1:4" x14ac:dyDescent="0.25">
      <c r="A1644" t="s">
        <v>2721</v>
      </c>
      <c r="B1644">
        <v>0.21099000000000001</v>
      </c>
      <c r="C1644">
        <v>0</v>
      </c>
      <c r="D1644">
        <v>5.087527419354837E-2</v>
      </c>
    </row>
    <row r="1645" spans="1:4" x14ac:dyDescent="0.25">
      <c r="A1645" t="s">
        <v>469</v>
      </c>
      <c r="B1645">
        <v>0.21048800000000001</v>
      </c>
      <c r="C1645">
        <v>0</v>
      </c>
      <c r="D1645">
        <v>0.11982771451612911</v>
      </c>
    </row>
    <row r="1646" spans="1:4" x14ac:dyDescent="0.25">
      <c r="A1646" t="s">
        <v>2904</v>
      </c>
      <c r="B1646">
        <v>0.21</v>
      </c>
      <c r="C1646">
        <v>0</v>
      </c>
      <c r="D1646">
        <v>0.10241935483870969</v>
      </c>
    </row>
    <row r="1647" spans="1:4" x14ac:dyDescent="0.25">
      <c r="A1647" t="s">
        <v>509</v>
      </c>
      <c r="B1647">
        <v>0.20979999999999999</v>
      </c>
      <c r="C1647">
        <v>0</v>
      </c>
      <c r="D1647">
        <v>0.14992161290322584</v>
      </c>
    </row>
    <row r="1648" spans="1:4" x14ac:dyDescent="0.25">
      <c r="A1648" t="s">
        <v>1081</v>
      </c>
      <c r="B1648">
        <v>0.20799999999999999</v>
      </c>
      <c r="C1648">
        <v>0</v>
      </c>
      <c r="D1648">
        <v>4.0919354838709662E-2</v>
      </c>
    </row>
    <row r="1649" spans="1:4" x14ac:dyDescent="0.25">
      <c r="A1649" t="s">
        <v>2470</v>
      </c>
      <c r="B1649">
        <v>0.20799999999999999</v>
      </c>
      <c r="C1649">
        <v>0</v>
      </c>
      <c r="D1649">
        <v>0.14379032258064522</v>
      </c>
    </row>
    <row r="1650" spans="1:4" x14ac:dyDescent="0.25">
      <c r="A1650" t="s">
        <v>1715</v>
      </c>
      <c r="B1650">
        <v>0.20799999999999999</v>
      </c>
      <c r="C1650">
        <v>0</v>
      </c>
      <c r="D1650">
        <v>0.14353225806451617</v>
      </c>
    </row>
    <row r="1651" spans="1:4" x14ac:dyDescent="0.25">
      <c r="A1651" t="s">
        <v>226</v>
      </c>
      <c r="B1651">
        <v>0.20780000000000001</v>
      </c>
      <c r="C1651">
        <v>5.3199999999999997E-2</v>
      </c>
      <c r="D1651">
        <v>0.11095161290322582</v>
      </c>
    </row>
    <row r="1652" spans="1:4" x14ac:dyDescent="0.25">
      <c r="A1652" t="s">
        <v>1936</v>
      </c>
      <c r="B1652">
        <v>0.20699999999999999</v>
      </c>
      <c r="C1652">
        <v>3.5999999999999997E-2</v>
      </c>
      <c r="D1652">
        <v>0.11698687096774198</v>
      </c>
    </row>
    <row r="1653" spans="1:4" x14ac:dyDescent="0.25">
      <c r="A1653" t="s">
        <v>182</v>
      </c>
      <c r="B1653">
        <v>0.20699999999999999</v>
      </c>
      <c r="C1653">
        <v>0</v>
      </c>
      <c r="D1653">
        <v>0.16612096774193547</v>
      </c>
    </row>
    <row r="1654" spans="1:4" x14ac:dyDescent="0.25">
      <c r="A1654" t="s">
        <v>1151</v>
      </c>
      <c r="B1654">
        <v>0.20499999999999999</v>
      </c>
      <c r="C1654">
        <v>0</v>
      </c>
      <c r="D1654">
        <v>9.2991935483870983E-2</v>
      </c>
    </row>
    <row r="1655" spans="1:4" x14ac:dyDescent="0.25">
      <c r="A1655" t="s">
        <v>2765</v>
      </c>
      <c r="B1655">
        <v>0.20499999999999999</v>
      </c>
      <c r="C1655">
        <v>0</v>
      </c>
      <c r="D1655">
        <v>0.11025112903225807</v>
      </c>
    </row>
    <row r="1656" spans="1:4" x14ac:dyDescent="0.25">
      <c r="A1656" t="s">
        <v>2661</v>
      </c>
      <c r="B1656">
        <v>0.20499999999999999</v>
      </c>
      <c r="C1656">
        <v>0</v>
      </c>
      <c r="D1656">
        <v>9.5704838709677428E-2</v>
      </c>
    </row>
    <row r="1657" spans="1:4" x14ac:dyDescent="0.25">
      <c r="A1657" t="s">
        <v>720</v>
      </c>
      <c r="B1657">
        <v>0.20499999999999999</v>
      </c>
      <c r="C1657">
        <v>0</v>
      </c>
      <c r="D1657">
        <v>0.11743548387096772</v>
      </c>
    </row>
    <row r="1658" spans="1:4" x14ac:dyDescent="0.25">
      <c r="A1658" t="s">
        <v>35</v>
      </c>
      <c r="B1658">
        <v>0.20480000000000001</v>
      </c>
      <c r="C1658">
        <v>0</v>
      </c>
      <c r="D1658">
        <v>0.12244645161290324</v>
      </c>
    </row>
    <row r="1659" spans="1:4" x14ac:dyDescent="0.25">
      <c r="A1659" t="s">
        <v>958</v>
      </c>
      <c r="B1659">
        <v>0.20399999999999999</v>
      </c>
      <c r="C1659">
        <v>0</v>
      </c>
      <c r="D1659">
        <v>4.6411290322580616E-2</v>
      </c>
    </row>
    <row r="1660" spans="1:4" x14ac:dyDescent="0.25">
      <c r="A1660" t="s">
        <v>1524</v>
      </c>
      <c r="B1660">
        <v>0.20399999999999999</v>
      </c>
      <c r="C1660">
        <v>0.124</v>
      </c>
      <c r="D1660">
        <v>0.14893548387096778</v>
      </c>
    </row>
    <row r="1661" spans="1:4" x14ac:dyDescent="0.25">
      <c r="A1661" t="s">
        <v>2457</v>
      </c>
      <c r="B1661">
        <v>0.20399999999999999</v>
      </c>
      <c r="C1661">
        <v>0</v>
      </c>
      <c r="D1661">
        <v>8.4583387096774196E-2</v>
      </c>
    </row>
    <row r="1662" spans="1:4" x14ac:dyDescent="0.25">
      <c r="A1662" t="s">
        <v>2366</v>
      </c>
      <c r="B1662">
        <v>0.20399999999999999</v>
      </c>
      <c r="C1662">
        <v>0</v>
      </c>
      <c r="D1662">
        <v>0.12417741935483873</v>
      </c>
    </row>
    <row r="1663" spans="1:4" x14ac:dyDescent="0.25">
      <c r="A1663" t="s">
        <v>697</v>
      </c>
      <c r="B1663">
        <v>0.2031</v>
      </c>
      <c r="C1663">
        <v>0</v>
      </c>
      <c r="D1663">
        <v>0.15852741935483869</v>
      </c>
    </row>
    <row r="1664" spans="1:4" x14ac:dyDescent="0.25">
      <c r="A1664" t="s">
        <v>109</v>
      </c>
      <c r="B1664">
        <v>0.20250000000000001</v>
      </c>
      <c r="C1664">
        <v>0</v>
      </c>
      <c r="D1664">
        <v>0.12071129032258061</v>
      </c>
    </row>
    <row r="1665" spans="1:4" x14ac:dyDescent="0.25">
      <c r="A1665" t="s">
        <v>1874</v>
      </c>
      <c r="B1665">
        <v>0.20219999999999999</v>
      </c>
      <c r="C1665">
        <v>6.3399999999999998E-2</v>
      </c>
      <c r="D1665">
        <v>0.13335483870967743</v>
      </c>
    </row>
    <row r="1666" spans="1:4" x14ac:dyDescent="0.25">
      <c r="A1666" t="s">
        <v>1794</v>
      </c>
      <c r="B1666">
        <v>0.20200000000000001</v>
      </c>
      <c r="C1666">
        <v>0</v>
      </c>
      <c r="D1666">
        <v>7.1548387096774205E-2</v>
      </c>
    </row>
    <row r="1667" spans="1:4" x14ac:dyDescent="0.25">
      <c r="A1667" t="s">
        <v>1708</v>
      </c>
      <c r="B1667">
        <v>0.20200000000000001</v>
      </c>
      <c r="C1667">
        <v>0</v>
      </c>
      <c r="D1667">
        <v>0.14869354838709684</v>
      </c>
    </row>
    <row r="1668" spans="1:4" x14ac:dyDescent="0.25">
      <c r="A1668" t="s">
        <v>604</v>
      </c>
      <c r="B1668">
        <v>0.20100000000000001</v>
      </c>
      <c r="C1668">
        <v>0</v>
      </c>
      <c r="D1668">
        <v>0.16664516129032261</v>
      </c>
    </row>
    <row r="1669" spans="1:4" x14ac:dyDescent="0.25">
      <c r="A1669" t="s">
        <v>1601</v>
      </c>
      <c r="B1669">
        <v>0.2</v>
      </c>
      <c r="C1669">
        <v>0</v>
      </c>
      <c r="D1669">
        <v>5.3120967741935469E-2</v>
      </c>
    </row>
    <row r="1670" spans="1:4" x14ac:dyDescent="0.25">
      <c r="A1670" t="s">
        <v>1552</v>
      </c>
      <c r="B1670">
        <v>0.2</v>
      </c>
      <c r="C1670">
        <v>0</v>
      </c>
      <c r="D1670">
        <v>5.8738709677419301E-2</v>
      </c>
    </row>
    <row r="1671" spans="1:4" x14ac:dyDescent="0.25">
      <c r="A1671" t="s">
        <v>313</v>
      </c>
      <c r="B1671">
        <v>0.2</v>
      </c>
      <c r="C1671">
        <v>0</v>
      </c>
      <c r="D1671">
        <v>6.2238225806451601E-2</v>
      </c>
    </row>
    <row r="1672" spans="1:4" x14ac:dyDescent="0.25">
      <c r="A1672" t="s">
        <v>1361</v>
      </c>
      <c r="B1672">
        <v>0.2</v>
      </c>
      <c r="C1672">
        <v>0</v>
      </c>
      <c r="D1672">
        <v>4.4556451612903177E-2</v>
      </c>
    </row>
    <row r="1673" spans="1:4" x14ac:dyDescent="0.25">
      <c r="A1673" t="s">
        <v>1622</v>
      </c>
      <c r="B1673">
        <v>0.19836599999999999</v>
      </c>
      <c r="C1673">
        <v>7.1085999999999996E-2</v>
      </c>
      <c r="D1673">
        <v>0.1252188870967742</v>
      </c>
    </row>
    <row r="1674" spans="1:4" x14ac:dyDescent="0.25">
      <c r="A1674" t="s">
        <v>522</v>
      </c>
      <c r="B1674">
        <v>0.19800000000000001</v>
      </c>
      <c r="C1674">
        <v>0</v>
      </c>
      <c r="D1674">
        <v>0.11306451612903229</v>
      </c>
    </row>
    <row r="1675" spans="1:4" x14ac:dyDescent="0.25">
      <c r="A1675" t="s">
        <v>995</v>
      </c>
      <c r="B1675">
        <v>0.19700000000000001</v>
      </c>
      <c r="C1675">
        <v>0.153</v>
      </c>
      <c r="D1675">
        <v>0.17438709677419353</v>
      </c>
    </row>
    <row r="1676" spans="1:4" x14ac:dyDescent="0.25">
      <c r="A1676" t="s">
        <v>205</v>
      </c>
      <c r="B1676">
        <v>0.19639999999999999</v>
      </c>
      <c r="C1676">
        <v>0</v>
      </c>
      <c r="D1676">
        <v>0.12154648387096774</v>
      </c>
    </row>
    <row r="1677" spans="1:4" x14ac:dyDescent="0.25">
      <c r="A1677" t="s">
        <v>1069</v>
      </c>
      <c r="B1677">
        <v>0.1963</v>
      </c>
      <c r="C1677">
        <v>0</v>
      </c>
      <c r="D1677">
        <v>0.14589032258064516</v>
      </c>
    </row>
    <row r="1678" spans="1:4" x14ac:dyDescent="0.25">
      <c r="A1678" t="s">
        <v>2712</v>
      </c>
      <c r="B1678">
        <v>0.19500000000000001</v>
      </c>
      <c r="C1678">
        <v>0</v>
      </c>
      <c r="D1678">
        <v>7.1137096774193512E-2</v>
      </c>
    </row>
    <row r="1679" spans="1:4" x14ac:dyDescent="0.25">
      <c r="A1679" t="s">
        <v>17</v>
      </c>
      <c r="B1679">
        <v>0.19500000000000001</v>
      </c>
      <c r="C1679">
        <v>0</v>
      </c>
      <c r="D1679">
        <v>0.10761290322580644</v>
      </c>
    </row>
    <row r="1680" spans="1:4" x14ac:dyDescent="0.25">
      <c r="A1680" t="s">
        <v>206</v>
      </c>
      <c r="B1680">
        <v>0.19500000000000001</v>
      </c>
      <c r="C1680">
        <v>0</v>
      </c>
      <c r="D1680">
        <v>7.6838709677419376E-2</v>
      </c>
    </row>
    <row r="1681" spans="1:4" x14ac:dyDescent="0.25">
      <c r="A1681" t="s">
        <v>1451</v>
      </c>
      <c r="B1681">
        <v>0.19436600000000001</v>
      </c>
      <c r="C1681">
        <v>0</v>
      </c>
      <c r="D1681">
        <v>0.13243593064516127</v>
      </c>
    </row>
    <row r="1682" spans="1:4" x14ac:dyDescent="0.25">
      <c r="A1682" t="s">
        <v>1157</v>
      </c>
      <c r="B1682">
        <v>0.19400000000000001</v>
      </c>
      <c r="C1682">
        <v>0</v>
      </c>
      <c r="D1682">
        <v>8.4709677419354854E-2</v>
      </c>
    </row>
    <row r="1683" spans="1:4" x14ac:dyDescent="0.25">
      <c r="A1683" t="s">
        <v>2544</v>
      </c>
      <c r="B1683">
        <v>0.19400000000000001</v>
      </c>
      <c r="C1683">
        <v>0</v>
      </c>
      <c r="D1683">
        <v>8.0932258064516122E-2</v>
      </c>
    </row>
    <row r="1684" spans="1:4" x14ac:dyDescent="0.25">
      <c r="A1684" t="s">
        <v>971</v>
      </c>
      <c r="B1684">
        <v>0.19400000000000001</v>
      </c>
      <c r="C1684">
        <v>0</v>
      </c>
      <c r="D1684">
        <v>3.5943548387096756E-2</v>
      </c>
    </row>
    <row r="1685" spans="1:4" x14ac:dyDescent="0.25">
      <c r="A1685" t="s">
        <v>23</v>
      </c>
      <c r="B1685">
        <v>0.19400000000000001</v>
      </c>
      <c r="C1685">
        <v>0</v>
      </c>
      <c r="D1685">
        <v>3.4443548387096783E-2</v>
      </c>
    </row>
    <row r="1686" spans="1:4" x14ac:dyDescent="0.25">
      <c r="A1686" t="s">
        <v>933</v>
      </c>
      <c r="B1686">
        <v>0.19350000000000001</v>
      </c>
      <c r="C1686">
        <v>0</v>
      </c>
      <c r="D1686">
        <v>6.8798387096774188E-2</v>
      </c>
    </row>
    <row r="1687" spans="1:4" x14ac:dyDescent="0.25">
      <c r="A1687" t="s">
        <v>2141</v>
      </c>
      <c r="B1687">
        <v>0.193387</v>
      </c>
      <c r="C1687">
        <v>7.6888999999999999E-2</v>
      </c>
      <c r="D1687">
        <v>0.13597591935483869</v>
      </c>
    </row>
    <row r="1688" spans="1:4" x14ac:dyDescent="0.25">
      <c r="A1688" t="s">
        <v>156</v>
      </c>
      <c r="B1688">
        <v>0.193</v>
      </c>
      <c r="C1688">
        <v>0</v>
      </c>
      <c r="D1688">
        <v>0.12166774193548389</v>
      </c>
    </row>
    <row r="1689" spans="1:4" x14ac:dyDescent="0.25">
      <c r="A1689" t="s">
        <v>2192</v>
      </c>
      <c r="B1689">
        <v>0.193</v>
      </c>
      <c r="C1689">
        <v>0</v>
      </c>
      <c r="D1689">
        <v>0.11497903225806455</v>
      </c>
    </row>
    <row r="1690" spans="1:4" x14ac:dyDescent="0.25">
      <c r="A1690" t="s">
        <v>2564</v>
      </c>
      <c r="B1690">
        <v>0.192</v>
      </c>
      <c r="C1690">
        <v>0</v>
      </c>
      <c r="D1690">
        <v>9.0845629032258055E-2</v>
      </c>
    </row>
    <row r="1691" spans="1:4" x14ac:dyDescent="0.25">
      <c r="A1691" t="s">
        <v>1465</v>
      </c>
      <c r="B1691">
        <v>0.192</v>
      </c>
      <c r="C1691">
        <v>8.5999999999999993E-2</v>
      </c>
      <c r="D1691">
        <v>0.1178967741935484</v>
      </c>
    </row>
    <row r="1692" spans="1:4" x14ac:dyDescent="0.25">
      <c r="A1692" t="s">
        <v>275</v>
      </c>
      <c r="B1692">
        <v>0.192</v>
      </c>
      <c r="C1692">
        <v>0.12</v>
      </c>
      <c r="D1692">
        <v>0.15691783064516124</v>
      </c>
    </row>
    <row r="1693" spans="1:4" x14ac:dyDescent="0.25">
      <c r="A1693" t="s">
        <v>2321</v>
      </c>
      <c r="B1693">
        <v>0.1913</v>
      </c>
      <c r="C1693">
        <v>0</v>
      </c>
      <c r="D1693">
        <v>0.12793496774193547</v>
      </c>
    </row>
    <row r="1694" spans="1:4" x14ac:dyDescent="0.25">
      <c r="A1694" t="s">
        <v>602</v>
      </c>
      <c r="B1694">
        <v>0.191</v>
      </c>
      <c r="C1694">
        <v>0</v>
      </c>
      <c r="D1694">
        <v>0.12181451612903221</v>
      </c>
    </row>
    <row r="1695" spans="1:4" x14ac:dyDescent="0.25">
      <c r="A1695" t="s">
        <v>1232</v>
      </c>
      <c r="B1695">
        <v>0.1905</v>
      </c>
      <c r="C1695">
        <v>0.14199999999999999</v>
      </c>
      <c r="D1695">
        <v>0.16554677419354832</v>
      </c>
    </row>
    <row r="1696" spans="1:4" x14ac:dyDescent="0.25">
      <c r="A1696" t="s">
        <v>577</v>
      </c>
      <c r="B1696">
        <v>0.19</v>
      </c>
      <c r="C1696">
        <v>0</v>
      </c>
      <c r="D1696">
        <v>9.4516129032258075E-2</v>
      </c>
    </row>
    <row r="1697" spans="1:4" x14ac:dyDescent="0.25">
      <c r="A1697" t="s">
        <v>335</v>
      </c>
      <c r="B1697">
        <v>0.19</v>
      </c>
      <c r="C1697">
        <v>0</v>
      </c>
      <c r="D1697">
        <v>5.3022580645161278E-2</v>
      </c>
    </row>
    <row r="1698" spans="1:4" x14ac:dyDescent="0.25">
      <c r="A1698" t="s">
        <v>2725</v>
      </c>
      <c r="B1698">
        <v>0.19</v>
      </c>
      <c r="C1698">
        <v>0</v>
      </c>
      <c r="D1698">
        <v>7.98709677419355E-2</v>
      </c>
    </row>
    <row r="1699" spans="1:4" x14ac:dyDescent="0.25">
      <c r="A1699" t="s">
        <v>1896</v>
      </c>
      <c r="B1699">
        <v>0.19</v>
      </c>
      <c r="C1699">
        <v>0</v>
      </c>
      <c r="D1699">
        <v>0.11109677419354841</v>
      </c>
    </row>
    <row r="1700" spans="1:4" x14ac:dyDescent="0.25">
      <c r="A1700" t="s">
        <v>2805</v>
      </c>
      <c r="B1700">
        <v>0.19</v>
      </c>
      <c r="C1700">
        <v>0</v>
      </c>
      <c r="D1700">
        <v>0.1425887096774193</v>
      </c>
    </row>
    <row r="1701" spans="1:4" x14ac:dyDescent="0.25">
      <c r="A1701" t="s">
        <v>2590</v>
      </c>
      <c r="B1701">
        <v>0.19</v>
      </c>
      <c r="C1701">
        <v>0</v>
      </c>
      <c r="D1701">
        <v>0.13253548387096775</v>
      </c>
    </row>
    <row r="1702" spans="1:4" x14ac:dyDescent="0.25">
      <c r="A1702" t="s">
        <v>2383</v>
      </c>
      <c r="B1702">
        <v>0.1895</v>
      </c>
      <c r="C1702">
        <v>0</v>
      </c>
      <c r="D1702">
        <v>1.1001612903225809E-2</v>
      </c>
    </row>
    <row r="1703" spans="1:4" x14ac:dyDescent="0.25">
      <c r="A1703" t="s">
        <v>2523</v>
      </c>
      <c r="B1703">
        <v>0.18909999999999999</v>
      </c>
      <c r="C1703">
        <v>0</v>
      </c>
      <c r="D1703">
        <v>0.10501451612903226</v>
      </c>
    </row>
    <row r="1704" spans="1:4" x14ac:dyDescent="0.25">
      <c r="A1704" t="s">
        <v>1851</v>
      </c>
      <c r="B1704">
        <v>0.189</v>
      </c>
      <c r="C1704">
        <v>0.112</v>
      </c>
      <c r="D1704">
        <v>0.14716451612903225</v>
      </c>
    </row>
    <row r="1705" spans="1:4" x14ac:dyDescent="0.25">
      <c r="A1705" t="s">
        <v>208</v>
      </c>
      <c r="B1705">
        <v>0.189</v>
      </c>
      <c r="C1705">
        <v>0</v>
      </c>
      <c r="D1705">
        <v>0.12215967741935481</v>
      </c>
    </row>
    <row r="1706" spans="1:4" x14ac:dyDescent="0.25">
      <c r="A1706" t="s">
        <v>2521</v>
      </c>
      <c r="B1706">
        <v>0.189</v>
      </c>
      <c r="C1706">
        <v>0</v>
      </c>
      <c r="D1706">
        <v>0.11526290322580646</v>
      </c>
    </row>
    <row r="1707" spans="1:4" x14ac:dyDescent="0.25">
      <c r="A1707" t="s">
        <v>377</v>
      </c>
      <c r="B1707">
        <v>0.188</v>
      </c>
      <c r="C1707">
        <v>0</v>
      </c>
      <c r="D1707">
        <v>0.11083104838709681</v>
      </c>
    </row>
    <row r="1708" spans="1:4" x14ac:dyDescent="0.25">
      <c r="A1708" t="s">
        <v>2330</v>
      </c>
      <c r="B1708">
        <v>0.188</v>
      </c>
      <c r="C1708">
        <v>0</v>
      </c>
      <c r="D1708">
        <v>0.10838709677419354</v>
      </c>
    </row>
    <row r="1709" spans="1:4" x14ac:dyDescent="0.25">
      <c r="A1709" t="s">
        <v>956</v>
      </c>
      <c r="B1709">
        <v>0.187</v>
      </c>
      <c r="C1709">
        <v>0</v>
      </c>
      <c r="D1709">
        <v>7.3330645161290342E-2</v>
      </c>
    </row>
    <row r="1710" spans="1:4" x14ac:dyDescent="0.25">
      <c r="A1710" t="s">
        <v>2619</v>
      </c>
      <c r="B1710">
        <v>0.187</v>
      </c>
      <c r="C1710">
        <v>0</v>
      </c>
      <c r="D1710">
        <v>4.8032096774193567E-2</v>
      </c>
    </row>
    <row r="1711" spans="1:4" x14ac:dyDescent="0.25">
      <c r="A1711" t="s">
        <v>2311</v>
      </c>
      <c r="B1711">
        <v>0.187</v>
      </c>
      <c r="C1711">
        <v>5.8000000000000003E-2</v>
      </c>
      <c r="D1711">
        <v>0.12825806451612901</v>
      </c>
    </row>
    <row r="1712" spans="1:4" x14ac:dyDescent="0.25">
      <c r="A1712" t="s">
        <v>1130</v>
      </c>
      <c r="B1712">
        <v>0.187</v>
      </c>
      <c r="C1712">
        <v>0</v>
      </c>
      <c r="D1712">
        <v>2.2322580645161287E-2</v>
      </c>
    </row>
    <row r="1713" spans="1:4" x14ac:dyDescent="0.25">
      <c r="A1713" t="s">
        <v>1487</v>
      </c>
      <c r="B1713">
        <v>0.187</v>
      </c>
      <c r="C1713">
        <v>0</v>
      </c>
      <c r="D1713">
        <v>1.8745161290322578E-2</v>
      </c>
    </row>
    <row r="1714" spans="1:4" x14ac:dyDescent="0.25">
      <c r="A1714" t="s">
        <v>2336</v>
      </c>
      <c r="B1714">
        <v>0.18640000000000001</v>
      </c>
      <c r="C1714">
        <v>0</v>
      </c>
      <c r="D1714">
        <v>4.2151612903225805E-2</v>
      </c>
    </row>
    <row r="1715" spans="1:4" x14ac:dyDescent="0.25">
      <c r="A1715" t="s">
        <v>821</v>
      </c>
      <c r="B1715">
        <v>0.186</v>
      </c>
      <c r="C1715">
        <v>0</v>
      </c>
      <c r="D1715">
        <v>9.9588709677419354E-2</v>
      </c>
    </row>
    <row r="1716" spans="1:4" x14ac:dyDescent="0.25">
      <c r="A1716" t="s">
        <v>1709</v>
      </c>
      <c r="B1716">
        <v>0.186</v>
      </c>
      <c r="C1716">
        <v>0</v>
      </c>
      <c r="D1716">
        <v>0.15955645161290319</v>
      </c>
    </row>
    <row r="1717" spans="1:4" x14ac:dyDescent="0.25">
      <c r="A1717" t="s">
        <v>980</v>
      </c>
      <c r="B1717">
        <v>0.185</v>
      </c>
      <c r="C1717">
        <v>0</v>
      </c>
      <c r="D1717">
        <v>0.11205645161290324</v>
      </c>
    </row>
    <row r="1718" spans="1:4" x14ac:dyDescent="0.25">
      <c r="A1718" t="s">
        <v>1434</v>
      </c>
      <c r="B1718">
        <v>0.182</v>
      </c>
      <c r="C1718">
        <v>0.10299999999999999</v>
      </c>
      <c r="D1718">
        <v>0.14666532258064507</v>
      </c>
    </row>
    <row r="1719" spans="1:4" x14ac:dyDescent="0.25">
      <c r="A1719" t="s">
        <v>1010</v>
      </c>
      <c r="B1719">
        <v>0.182</v>
      </c>
      <c r="C1719">
        <v>0</v>
      </c>
      <c r="D1719">
        <v>0.12090322580645167</v>
      </c>
    </row>
    <row r="1720" spans="1:4" x14ac:dyDescent="0.25">
      <c r="A1720" t="s">
        <v>2777</v>
      </c>
      <c r="B1720">
        <v>0.18185000000000001</v>
      </c>
      <c r="C1720">
        <v>0</v>
      </c>
      <c r="D1720">
        <v>8.7179435483870971E-2</v>
      </c>
    </row>
    <row r="1721" spans="1:4" x14ac:dyDescent="0.25">
      <c r="A1721" t="s">
        <v>1488</v>
      </c>
      <c r="B1721">
        <v>0.18174499999999999</v>
      </c>
      <c r="C1721">
        <v>9.4797000000000006E-2</v>
      </c>
      <c r="D1721">
        <v>0.13201538709677418</v>
      </c>
    </row>
    <row r="1722" spans="1:4" x14ac:dyDescent="0.25">
      <c r="A1722" t="s">
        <v>1150</v>
      </c>
      <c r="B1722">
        <v>0.18</v>
      </c>
      <c r="C1722">
        <v>0</v>
      </c>
      <c r="D1722">
        <v>0.11683870967741938</v>
      </c>
    </row>
    <row r="1723" spans="1:4" x14ac:dyDescent="0.25">
      <c r="A1723" t="s">
        <v>40</v>
      </c>
      <c r="B1723">
        <v>0.18</v>
      </c>
      <c r="C1723">
        <v>0</v>
      </c>
      <c r="D1723">
        <v>0.11037896774193549</v>
      </c>
    </row>
    <row r="1724" spans="1:4" x14ac:dyDescent="0.25">
      <c r="A1724" t="s">
        <v>1187</v>
      </c>
      <c r="B1724">
        <v>0.18</v>
      </c>
      <c r="C1724">
        <v>0</v>
      </c>
      <c r="D1724">
        <v>6.4190709677419328E-2</v>
      </c>
    </row>
    <row r="1725" spans="1:4" x14ac:dyDescent="0.25">
      <c r="A1725" t="s">
        <v>1020</v>
      </c>
      <c r="B1725">
        <v>0.18</v>
      </c>
      <c r="C1725">
        <v>0</v>
      </c>
      <c r="D1725">
        <v>0.14124193548387101</v>
      </c>
    </row>
    <row r="1726" spans="1:4" x14ac:dyDescent="0.25">
      <c r="A1726" t="s">
        <v>2597</v>
      </c>
      <c r="B1726">
        <v>0.18</v>
      </c>
      <c r="C1726">
        <v>0</v>
      </c>
      <c r="D1726">
        <v>3.1935483870967743E-2</v>
      </c>
    </row>
    <row r="1727" spans="1:4" x14ac:dyDescent="0.25">
      <c r="A1727" t="s">
        <v>1702</v>
      </c>
      <c r="B1727">
        <v>0.17899999999999999</v>
      </c>
      <c r="C1727">
        <v>0</v>
      </c>
      <c r="D1727">
        <v>0.12480645161290324</v>
      </c>
    </row>
    <row r="1728" spans="1:4" x14ac:dyDescent="0.25">
      <c r="A1728" t="s">
        <v>2733</v>
      </c>
      <c r="B1728">
        <v>0.17899999999999999</v>
      </c>
      <c r="C1728">
        <v>0.129</v>
      </c>
      <c r="D1728">
        <v>0.14940322580645163</v>
      </c>
    </row>
    <row r="1729" spans="1:4" x14ac:dyDescent="0.25">
      <c r="A1729" t="s">
        <v>2254</v>
      </c>
      <c r="B1729">
        <v>0.17899999999999999</v>
      </c>
      <c r="C1729">
        <v>0</v>
      </c>
      <c r="D1729">
        <v>0.1319596774193548</v>
      </c>
    </row>
    <row r="1730" spans="1:4" x14ac:dyDescent="0.25">
      <c r="A1730" t="s">
        <v>2583</v>
      </c>
      <c r="B1730">
        <v>0.17899999999999999</v>
      </c>
      <c r="C1730">
        <v>0</v>
      </c>
      <c r="D1730">
        <v>8.5209677419354854E-2</v>
      </c>
    </row>
    <row r="1731" spans="1:4" x14ac:dyDescent="0.25">
      <c r="A1731" t="s">
        <v>1975</v>
      </c>
      <c r="B1731">
        <v>0.17799999999999999</v>
      </c>
      <c r="C1731">
        <v>0</v>
      </c>
      <c r="D1731">
        <v>9.7325967741935512E-2</v>
      </c>
    </row>
    <row r="1732" spans="1:4" x14ac:dyDescent="0.25">
      <c r="A1732" t="s">
        <v>857</v>
      </c>
      <c r="B1732">
        <v>0.1777</v>
      </c>
      <c r="C1732">
        <v>0</v>
      </c>
      <c r="D1732">
        <v>3.5491612903225812E-2</v>
      </c>
    </row>
    <row r="1733" spans="1:4" x14ac:dyDescent="0.25">
      <c r="A1733" t="s">
        <v>2684</v>
      </c>
      <c r="B1733">
        <v>0.17699999999999999</v>
      </c>
      <c r="C1733">
        <v>0</v>
      </c>
      <c r="D1733">
        <v>8.4201612903225795E-2</v>
      </c>
    </row>
    <row r="1734" spans="1:4" x14ac:dyDescent="0.25">
      <c r="A1734" t="s">
        <v>2415</v>
      </c>
      <c r="B1734">
        <v>0.17530000000000001</v>
      </c>
      <c r="C1734">
        <v>0</v>
      </c>
      <c r="D1734">
        <v>0.123625</v>
      </c>
    </row>
    <row r="1735" spans="1:4" x14ac:dyDescent="0.25">
      <c r="A1735" t="s">
        <v>2230</v>
      </c>
      <c r="B1735">
        <v>0.17499999999999999</v>
      </c>
      <c r="C1735">
        <v>0.109</v>
      </c>
      <c r="D1735">
        <v>0.13268548387096771</v>
      </c>
    </row>
    <row r="1736" spans="1:4" x14ac:dyDescent="0.25">
      <c r="A1736" t="s">
        <v>849</v>
      </c>
      <c r="B1736">
        <v>0.17399999999999999</v>
      </c>
      <c r="C1736">
        <v>0</v>
      </c>
      <c r="D1736">
        <v>4.759677419354838E-2</v>
      </c>
    </row>
    <row r="1737" spans="1:4" x14ac:dyDescent="0.25">
      <c r="A1737" t="s">
        <v>664</v>
      </c>
      <c r="B1737">
        <v>0.17399999999999999</v>
      </c>
      <c r="C1737">
        <v>4.7E-2</v>
      </c>
      <c r="D1737">
        <v>0.10116935483870967</v>
      </c>
    </row>
    <row r="1738" spans="1:4" x14ac:dyDescent="0.25">
      <c r="A1738" t="s">
        <v>2437</v>
      </c>
      <c r="B1738">
        <v>0.17299999999999999</v>
      </c>
      <c r="C1738">
        <v>7.2897000000000003E-2</v>
      </c>
      <c r="D1738">
        <v>8.9025370967741935E-2</v>
      </c>
    </row>
    <row r="1739" spans="1:4" x14ac:dyDescent="0.25">
      <c r="A1739" t="s">
        <v>2694</v>
      </c>
      <c r="B1739">
        <v>0.17299999999999999</v>
      </c>
      <c r="C1739">
        <v>0</v>
      </c>
      <c r="D1739">
        <v>9.48709677419355E-2</v>
      </c>
    </row>
    <row r="1740" spans="1:4" x14ac:dyDescent="0.25">
      <c r="A1740" t="s">
        <v>2695</v>
      </c>
      <c r="B1740">
        <v>0.17299999999999999</v>
      </c>
      <c r="C1740">
        <v>0</v>
      </c>
      <c r="D1740">
        <v>0.14509677419354838</v>
      </c>
    </row>
    <row r="1741" spans="1:4" x14ac:dyDescent="0.25">
      <c r="A1741" t="s">
        <v>2059</v>
      </c>
      <c r="B1741">
        <v>0.17100000000000001</v>
      </c>
      <c r="C1741">
        <v>0.108</v>
      </c>
      <c r="D1741">
        <v>0.14708870967741935</v>
      </c>
    </row>
    <row r="1742" spans="1:4" x14ac:dyDescent="0.25">
      <c r="A1742" t="s">
        <v>2191</v>
      </c>
      <c r="B1742">
        <v>0.17100000000000001</v>
      </c>
      <c r="C1742">
        <v>8.7999999999999995E-2</v>
      </c>
      <c r="D1742">
        <v>0.12048387096774198</v>
      </c>
    </row>
    <row r="1743" spans="1:4" x14ac:dyDescent="0.25">
      <c r="A1743" t="s">
        <v>1597</v>
      </c>
      <c r="B1743">
        <v>0.17</v>
      </c>
      <c r="C1743">
        <v>0</v>
      </c>
      <c r="D1743">
        <v>0.1561112903225807</v>
      </c>
    </row>
    <row r="1744" spans="1:4" x14ac:dyDescent="0.25">
      <c r="A1744" t="s">
        <v>1804</v>
      </c>
      <c r="B1744">
        <v>0.17</v>
      </c>
      <c r="C1744">
        <v>0.04</v>
      </c>
      <c r="D1744">
        <v>8.903225806451609E-2</v>
      </c>
    </row>
    <row r="1745" spans="1:4" x14ac:dyDescent="0.25">
      <c r="A1745" t="s">
        <v>1620</v>
      </c>
      <c r="B1745">
        <v>0.17</v>
      </c>
      <c r="C1745">
        <v>0</v>
      </c>
      <c r="D1745">
        <v>6.6064516129032233E-2</v>
      </c>
    </row>
    <row r="1746" spans="1:4" x14ac:dyDescent="0.25">
      <c r="A1746" t="s">
        <v>148</v>
      </c>
      <c r="B1746">
        <v>0.17</v>
      </c>
      <c r="C1746">
        <v>0</v>
      </c>
      <c r="D1746">
        <v>2.6483870967741935E-2</v>
      </c>
    </row>
    <row r="1747" spans="1:4" x14ac:dyDescent="0.25">
      <c r="A1747" t="s">
        <v>1217</v>
      </c>
      <c r="B1747">
        <v>0.17</v>
      </c>
      <c r="C1747">
        <v>0</v>
      </c>
      <c r="D1747">
        <v>0.13177419354838715</v>
      </c>
    </row>
    <row r="1748" spans="1:4" x14ac:dyDescent="0.25">
      <c r="A1748" t="s">
        <v>291</v>
      </c>
      <c r="B1748">
        <v>0.16930000000000001</v>
      </c>
      <c r="C1748">
        <v>0</v>
      </c>
      <c r="D1748">
        <v>4.4683064516129044E-2</v>
      </c>
    </row>
    <row r="1749" spans="1:4" x14ac:dyDescent="0.25">
      <c r="A1749" t="s">
        <v>1185</v>
      </c>
      <c r="B1749">
        <v>0.16900000000000001</v>
      </c>
      <c r="C1749">
        <v>4.3999999999999997E-2</v>
      </c>
      <c r="D1749">
        <v>8.5620967741935505E-2</v>
      </c>
    </row>
    <row r="1750" spans="1:4" x14ac:dyDescent="0.25">
      <c r="A1750" t="s">
        <v>531</v>
      </c>
      <c r="B1750">
        <v>0.16800000000000001</v>
      </c>
      <c r="C1750">
        <v>6.2E-2</v>
      </c>
      <c r="D1750">
        <v>9.9241935483870988E-2</v>
      </c>
    </row>
    <row r="1751" spans="1:4" x14ac:dyDescent="0.25">
      <c r="A1751" t="s">
        <v>1761</v>
      </c>
      <c r="B1751">
        <v>0.16628999999999999</v>
      </c>
      <c r="C1751">
        <v>0</v>
      </c>
      <c r="D1751">
        <v>2.0967903225806449E-2</v>
      </c>
    </row>
    <row r="1752" spans="1:4" x14ac:dyDescent="0.25">
      <c r="A1752" t="s">
        <v>830</v>
      </c>
      <c r="B1752">
        <v>0.16600000000000001</v>
      </c>
      <c r="C1752">
        <v>0</v>
      </c>
      <c r="D1752">
        <v>0.10458429032258068</v>
      </c>
    </row>
    <row r="1753" spans="1:4" x14ac:dyDescent="0.25">
      <c r="A1753" t="s">
        <v>2569</v>
      </c>
      <c r="B1753">
        <v>0.16600000000000001</v>
      </c>
      <c r="C1753">
        <v>0</v>
      </c>
      <c r="D1753">
        <v>6.1906532258064514E-2</v>
      </c>
    </row>
    <row r="1754" spans="1:4" x14ac:dyDescent="0.25">
      <c r="A1754" t="s">
        <v>534</v>
      </c>
      <c r="B1754">
        <v>0.16600000000000001</v>
      </c>
      <c r="C1754">
        <v>0</v>
      </c>
      <c r="D1754">
        <v>0.11719354838709681</v>
      </c>
    </row>
    <row r="1755" spans="1:4" x14ac:dyDescent="0.25">
      <c r="A1755" t="s">
        <v>2208</v>
      </c>
      <c r="B1755">
        <v>0.16600000000000001</v>
      </c>
      <c r="C1755">
        <v>0</v>
      </c>
      <c r="D1755">
        <v>9.7064516129032261E-2</v>
      </c>
    </row>
    <row r="1756" spans="1:4" x14ac:dyDescent="0.25">
      <c r="A1756" t="s">
        <v>2316</v>
      </c>
      <c r="B1756">
        <v>0.16600000000000001</v>
      </c>
      <c r="C1756">
        <v>0</v>
      </c>
      <c r="D1756">
        <v>3.8153225806451606E-2</v>
      </c>
    </row>
    <row r="1757" spans="1:4" x14ac:dyDescent="0.25">
      <c r="A1757" t="s">
        <v>833</v>
      </c>
      <c r="B1757">
        <v>0.16542000000000001</v>
      </c>
      <c r="C1757">
        <v>0</v>
      </c>
      <c r="D1757">
        <v>8.9574766129032285E-2</v>
      </c>
    </row>
    <row r="1758" spans="1:4" x14ac:dyDescent="0.25">
      <c r="A1758" t="s">
        <v>2905</v>
      </c>
      <c r="B1758">
        <v>0.16500000000000001</v>
      </c>
      <c r="C1758">
        <v>3.4000000000000002E-2</v>
      </c>
      <c r="D1758">
        <v>0.10331370967741933</v>
      </c>
    </row>
    <row r="1759" spans="1:4" x14ac:dyDescent="0.25">
      <c r="A1759" t="s">
        <v>1679</v>
      </c>
      <c r="B1759">
        <v>0.16500000000000001</v>
      </c>
      <c r="C1759">
        <v>0</v>
      </c>
      <c r="D1759">
        <v>3.6314516129032262E-2</v>
      </c>
    </row>
    <row r="1760" spans="1:4" x14ac:dyDescent="0.25">
      <c r="A1760" t="s">
        <v>1979</v>
      </c>
      <c r="B1760">
        <v>0.16400000000000001</v>
      </c>
      <c r="C1760">
        <v>0</v>
      </c>
      <c r="D1760">
        <v>0.11414516129032259</v>
      </c>
    </row>
    <row r="1761" spans="1:4" x14ac:dyDescent="0.25">
      <c r="A1761" t="s">
        <v>1829</v>
      </c>
      <c r="B1761">
        <v>0.16381799999999999</v>
      </c>
      <c r="C1761">
        <v>9.8544999999999994E-2</v>
      </c>
      <c r="D1761">
        <v>0.13343595967741934</v>
      </c>
    </row>
    <row r="1762" spans="1:4" x14ac:dyDescent="0.25">
      <c r="A1762" t="s">
        <v>930</v>
      </c>
      <c r="B1762">
        <v>0.16350700000000001</v>
      </c>
      <c r="C1762">
        <v>0</v>
      </c>
      <c r="D1762">
        <v>3.4638056451612907E-2</v>
      </c>
    </row>
    <row r="1763" spans="1:4" x14ac:dyDescent="0.25">
      <c r="A1763" t="s">
        <v>2574</v>
      </c>
      <c r="B1763">
        <v>0.16350000000000001</v>
      </c>
      <c r="C1763">
        <v>0</v>
      </c>
      <c r="D1763">
        <v>6.9716129032258059E-2</v>
      </c>
    </row>
    <row r="1764" spans="1:4" x14ac:dyDescent="0.25">
      <c r="A1764" t="s">
        <v>1551</v>
      </c>
      <c r="B1764">
        <v>0.16300000000000001</v>
      </c>
      <c r="C1764">
        <v>0</v>
      </c>
      <c r="D1764">
        <v>4.1473145161290324E-2</v>
      </c>
    </row>
    <row r="1765" spans="1:4" x14ac:dyDescent="0.25">
      <c r="A1765" t="s">
        <v>888</v>
      </c>
      <c r="B1765">
        <v>0.16300000000000001</v>
      </c>
      <c r="C1765">
        <v>0</v>
      </c>
      <c r="D1765">
        <v>0.1144193548387097</v>
      </c>
    </row>
    <row r="1766" spans="1:4" x14ac:dyDescent="0.25">
      <c r="A1766" t="s">
        <v>1981</v>
      </c>
      <c r="B1766">
        <v>0.16300000000000001</v>
      </c>
      <c r="C1766">
        <v>7.1999999999999995E-2</v>
      </c>
      <c r="D1766">
        <v>0.11609240322580647</v>
      </c>
    </row>
    <row r="1767" spans="1:4" x14ac:dyDescent="0.25">
      <c r="A1767" t="s">
        <v>2676</v>
      </c>
      <c r="B1767">
        <v>0.16239999999999999</v>
      </c>
      <c r="C1767">
        <v>0</v>
      </c>
      <c r="D1767">
        <v>0.14171840322580645</v>
      </c>
    </row>
    <row r="1768" spans="1:4" x14ac:dyDescent="0.25">
      <c r="A1768" t="s">
        <v>1090</v>
      </c>
      <c r="B1768">
        <v>0.16237799999999999</v>
      </c>
      <c r="C1768">
        <v>0</v>
      </c>
      <c r="D1768">
        <v>0.10746461290322579</v>
      </c>
    </row>
    <row r="1769" spans="1:4" x14ac:dyDescent="0.25">
      <c r="A1769" t="s">
        <v>584</v>
      </c>
      <c r="B1769">
        <v>0.16177</v>
      </c>
      <c r="C1769">
        <v>0</v>
      </c>
      <c r="D1769">
        <v>9.1330508064516119E-2</v>
      </c>
    </row>
    <row r="1770" spans="1:4" x14ac:dyDescent="0.25">
      <c r="A1770" t="s">
        <v>909</v>
      </c>
      <c r="B1770">
        <v>0.1615</v>
      </c>
      <c r="C1770">
        <v>1E-3</v>
      </c>
      <c r="D1770">
        <v>5.9277419354838712E-2</v>
      </c>
    </row>
    <row r="1771" spans="1:4" x14ac:dyDescent="0.25">
      <c r="A1771" t="s">
        <v>644</v>
      </c>
      <c r="B1771">
        <v>0.161</v>
      </c>
      <c r="C1771">
        <v>0</v>
      </c>
      <c r="D1771">
        <v>0.10610483870967745</v>
      </c>
    </row>
    <row r="1772" spans="1:4" x14ac:dyDescent="0.25">
      <c r="A1772" t="s">
        <v>2851</v>
      </c>
      <c r="B1772">
        <v>0.161</v>
      </c>
      <c r="C1772">
        <v>7.2999999999999995E-2</v>
      </c>
      <c r="D1772">
        <v>0.10116129032258062</v>
      </c>
    </row>
    <row r="1773" spans="1:4" x14ac:dyDescent="0.25">
      <c r="A1773" t="s">
        <v>202</v>
      </c>
      <c r="B1773">
        <v>0.16070000000000001</v>
      </c>
      <c r="C1773">
        <v>0</v>
      </c>
      <c r="D1773">
        <v>0.10344919354838708</v>
      </c>
    </row>
    <row r="1774" spans="1:4" x14ac:dyDescent="0.25">
      <c r="A1774" t="s">
        <v>1871</v>
      </c>
      <c r="B1774">
        <v>0.16059999999999999</v>
      </c>
      <c r="C1774">
        <v>0</v>
      </c>
      <c r="D1774">
        <v>8.3914516129032238E-2</v>
      </c>
    </row>
    <row r="1775" spans="1:4" x14ac:dyDescent="0.25">
      <c r="A1775" t="s">
        <v>2566</v>
      </c>
      <c r="B1775">
        <v>0.16</v>
      </c>
      <c r="C1775">
        <v>0.1</v>
      </c>
      <c r="D1775">
        <v>0.10683870967741929</v>
      </c>
    </row>
    <row r="1776" spans="1:4" x14ac:dyDescent="0.25">
      <c r="A1776" t="s">
        <v>2773</v>
      </c>
      <c r="B1776">
        <v>0.16</v>
      </c>
      <c r="C1776">
        <v>0</v>
      </c>
      <c r="D1776">
        <v>6.2865516129032253E-2</v>
      </c>
    </row>
    <row r="1777" spans="1:4" x14ac:dyDescent="0.25">
      <c r="A1777" t="s">
        <v>2476</v>
      </c>
      <c r="B1777">
        <v>0.16</v>
      </c>
      <c r="C1777">
        <v>0</v>
      </c>
      <c r="D1777">
        <v>0.11211322580645165</v>
      </c>
    </row>
    <row r="1778" spans="1:4" x14ac:dyDescent="0.25">
      <c r="A1778" t="s">
        <v>1519</v>
      </c>
      <c r="B1778">
        <v>0.16</v>
      </c>
      <c r="C1778">
        <v>0</v>
      </c>
      <c r="D1778">
        <v>1.7612903225806453E-2</v>
      </c>
    </row>
    <row r="1779" spans="1:4" x14ac:dyDescent="0.25">
      <c r="A1779" t="s">
        <v>359</v>
      </c>
      <c r="B1779">
        <v>0.16</v>
      </c>
      <c r="C1779">
        <v>0</v>
      </c>
      <c r="D1779">
        <v>0.12633870967741936</v>
      </c>
    </row>
    <row r="1780" spans="1:4" x14ac:dyDescent="0.25">
      <c r="A1780" t="s">
        <v>32</v>
      </c>
      <c r="B1780">
        <v>0.159</v>
      </c>
      <c r="C1780">
        <v>0.05</v>
      </c>
      <c r="D1780">
        <v>0.10453225806451613</v>
      </c>
    </row>
    <row r="1781" spans="1:4" x14ac:dyDescent="0.25">
      <c r="A1781" t="s">
        <v>2588</v>
      </c>
      <c r="B1781">
        <v>0.15840000000000001</v>
      </c>
      <c r="C1781">
        <v>0</v>
      </c>
      <c r="D1781">
        <v>8.430967741935487E-2</v>
      </c>
    </row>
    <row r="1782" spans="1:4" x14ac:dyDescent="0.25">
      <c r="A1782" t="s">
        <v>712</v>
      </c>
      <c r="B1782">
        <v>0.1583</v>
      </c>
      <c r="C1782">
        <v>0</v>
      </c>
      <c r="D1782">
        <v>7.9500806451612907E-2</v>
      </c>
    </row>
    <row r="1783" spans="1:4" x14ac:dyDescent="0.25">
      <c r="A1783" t="s">
        <v>161</v>
      </c>
      <c r="B1783">
        <v>0.158</v>
      </c>
      <c r="C1783">
        <v>0</v>
      </c>
      <c r="D1783">
        <v>7.8327419354838682E-2</v>
      </c>
    </row>
    <row r="1784" spans="1:4" x14ac:dyDescent="0.25">
      <c r="A1784" t="s">
        <v>260</v>
      </c>
      <c r="B1784">
        <v>0.158</v>
      </c>
      <c r="C1784">
        <v>0</v>
      </c>
      <c r="D1784">
        <v>6.6589516129032272E-2</v>
      </c>
    </row>
    <row r="1785" spans="1:4" x14ac:dyDescent="0.25">
      <c r="A1785" t="s">
        <v>2449</v>
      </c>
      <c r="B1785">
        <v>0.158</v>
      </c>
      <c r="C1785">
        <v>5.1400000000000001E-2</v>
      </c>
      <c r="D1785">
        <v>9.9751612903225817E-2</v>
      </c>
    </row>
    <row r="1786" spans="1:4" x14ac:dyDescent="0.25">
      <c r="A1786" t="s">
        <v>2307</v>
      </c>
      <c r="B1786">
        <v>0.158</v>
      </c>
      <c r="C1786">
        <v>0</v>
      </c>
      <c r="D1786">
        <v>0.11966241935483875</v>
      </c>
    </row>
    <row r="1787" spans="1:4" x14ac:dyDescent="0.25">
      <c r="A1787" t="s">
        <v>2633</v>
      </c>
      <c r="B1787">
        <v>0.158</v>
      </c>
      <c r="C1787">
        <v>0</v>
      </c>
      <c r="D1787">
        <v>5.462743548387098E-2</v>
      </c>
    </row>
    <row r="1788" spans="1:4" x14ac:dyDescent="0.25">
      <c r="A1788" t="s">
        <v>2047</v>
      </c>
      <c r="B1788">
        <v>0.157</v>
      </c>
      <c r="C1788">
        <v>0</v>
      </c>
      <c r="D1788">
        <v>0.11773387096774199</v>
      </c>
    </row>
    <row r="1789" spans="1:4" x14ac:dyDescent="0.25">
      <c r="A1789" t="s">
        <v>63</v>
      </c>
      <c r="B1789">
        <v>0.155</v>
      </c>
      <c r="C1789">
        <v>0</v>
      </c>
      <c r="D1789">
        <v>4.9748387096774191E-2</v>
      </c>
    </row>
    <row r="1790" spans="1:4" x14ac:dyDescent="0.25">
      <c r="A1790" t="s">
        <v>2912</v>
      </c>
      <c r="B1790">
        <v>0.155</v>
      </c>
      <c r="C1790">
        <v>0</v>
      </c>
      <c r="D1790">
        <v>6.4833064516129024E-2</v>
      </c>
    </row>
    <row r="1791" spans="1:4" x14ac:dyDescent="0.25">
      <c r="A1791" t="s">
        <v>2891</v>
      </c>
      <c r="B1791">
        <v>0.154</v>
      </c>
      <c r="C1791">
        <v>0</v>
      </c>
      <c r="D1791">
        <v>6.693429032258065E-2</v>
      </c>
    </row>
    <row r="1792" spans="1:4" x14ac:dyDescent="0.25">
      <c r="A1792" t="s">
        <v>1689</v>
      </c>
      <c r="B1792">
        <v>0.154</v>
      </c>
      <c r="C1792">
        <v>0</v>
      </c>
      <c r="D1792">
        <v>9.9979032258064551E-2</v>
      </c>
    </row>
    <row r="1793" spans="1:4" x14ac:dyDescent="0.25">
      <c r="A1793" t="s">
        <v>251</v>
      </c>
      <c r="B1793">
        <v>0.153</v>
      </c>
      <c r="C1793">
        <v>0</v>
      </c>
      <c r="D1793">
        <v>8.6282258064516143E-2</v>
      </c>
    </row>
    <row r="1794" spans="1:4" x14ac:dyDescent="0.25">
      <c r="A1794" t="s">
        <v>2628</v>
      </c>
      <c r="B1794">
        <v>0.15279999999999999</v>
      </c>
      <c r="C1794">
        <v>0</v>
      </c>
      <c r="D1794">
        <v>0.1111975806451613</v>
      </c>
    </row>
    <row r="1795" spans="1:4" x14ac:dyDescent="0.25">
      <c r="A1795" t="s">
        <v>2659</v>
      </c>
      <c r="B1795">
        <v>0.152</v>
      </c>
      <c r="C1795">
        <v>0</v>
      </c>
      <c r="D1795">
        <v>7.1612903225806449E-2</v>
      </c>
    </row>
    <row r="1796" spans="1:4" x14ac:dyDescent="0.25">
      <c r="A1796" t="s">
        <v>334</v>
      </c>
      <c r="B1796">
        <v>0.152</v>
      </c>
      <c r="C1796">
        <v>0</v>
      </c>
      <c r="D1796">
        <v>7.3550806451612938E-2</v>
      </c>
    </row>
    <row r="1797" spans="1:4" x14ac:dyDescent="0.25">
      <c r="A1797" t="s">
        <v>2360</v>
      </c>
      <c r="B1797">
        <v>0.152</v>
      </c>
      <c r="C1797">
        <v>0</v>
      </c>
      <c r="D1797">
        <v>3.933649999999999E-2</v>
      </c>
    </row>
    <row r="1798" spans="1:4" x14ac:dyDescent="0.25">
      <c r="A1798" t="s">
        <v>2581</v>
      </c>
      <c r="B1798">
        <v>0.15179999999999999</v>
      </c>
      <c r="C1798">
        <v>0</v>
      </c>
      <c r="D1798">
        <v>0.13745919354838698</v>
      </c>
    </row>
    <row r="1799" spans="1:4" x14ac:dyDescent="0.25">
      <c r="A1799" t="s">
        <v>877</v>
      </c>
      <c r="B1799">
        <v>0.151</v>
      </c>
      <c r="C1799">
        <v>2.1000000000000001E-2</v>
      </c>
      <c r="D1799">
        <v>9.196774193548389E-2</v>
      </c>
    </row>
    <row r="1800" spans="1:4" x14ac:dyDescent="0.25">
      <c r="A1800" t="s">
        <v>667</v>
      </c>
      <c r="B1800">
        <v>0.151</v>
      </c>
      <c r="C1800">
        <v>0</v>
      </c>
      <c r="D1800">
        <v>0.10139126612903222</v>
      </c>
    </row>
    <row r="1801" spans="1:4" x14ac:dyDescent="0.25">
      <c r="A1801" t="s">
        <v>2643</v>
      </c>
      <c r="B1801">
        <v>0.15</v>
      </c>
      <c r="C1801">
        <v>0.04</v>
      </c>
      <c r="D1801">
        <v>0.11749999999999979</v>
      </c>
    </row>
    <row r="1802" spans="1:4" x14ac:dyDescent="0.25">
      <c r="A1802" t="s">
        <v>2818</v>
      </c>
      <c r="B1802">
        <v>0.15</v>
      </c>
      <c r="C1802">
        <v>0</v>
      </c>
      <c r="D1802">
        <v>2.7526612903225816E-2</v>
      </c>
    </row>
    <row r="1803" spans="1:4" x14ac:dyDescent="0.25">
      <c r="A1803" t="s">
        <v>1271</v>
      </c>
      <c r="B1803">
        <v>0.15</v>
      </c>
      <c r="C1803">
        <v>8.2400000000000001E-2</v>
      </c>
      <c r="D1803">
        <v>0.10910708064516131</v>
      </c>
    </row>
    <row r="1804" spans="1:4" x14ac:dyDescent="0.25">
      <c r="A1804" t="s">
        <v>2300</v>
      </c>
      <c r="B1804">
        <v>0.15</v>
      </c>
      <c r="C1804">
        <v>0</v>
      </c>
      <c r="D1804">
        <v>8.5120967741935505E-2</v>
      </c>
    </row>
    <row r="1805" spans="1:4" x14ac:dyDescent="0.25">
      <c r="A1805" t="s">
        <v>782</v>
      </c>
      <c r="B1805">
        <v>0.14940000000000001</v>
      </c>
      <c r="C1805">
        <v>0</v>
      </c>
      <c r="D1805">
        <v>0.10162903225806452</v>
      </c>
    </row>
    <row r="1806" spans="1:4" x14ac:dyDescent="0.25">
      <c r="A1806" t="s">
        <v>2279</v>
      </c>
      <c r="B1806">
        <v>0.14899999999999999</v>
      </c>
      <c r="C1806">
        <v>0</v>
      </c>
      <c r="D1806">
        <v>0.10807258064516129</v>
      </c>
    </row>
    <row r="1807" spans="1:4" x14ac:dyDescent="0.25">
      <c r="A1807" t="s">
        <v>1256</v>
      </c>
      <c r="B1807">
        <v>0.14899999999999999</v>
      </c>
      <c r="C1807">
        <v>0</v>
      </c>
      <c r="D1807">
        <v>0.12336290322580645</v>
      </c>
    </row>
    <row r="1808" spans="1:4" x14ac:dyDescent="0.25">
      <c r="A1808" t="s">
        <v>2344</v>
      </c>
      <c r="B1808">
        <v>0.14899999999999999</v>
      </c>
      <c r="C1808">
        <v>0</v>
      </c>
      <c r="D1808">
        <v>0.11654032258064514</v>
      </c>
    </row>
    <row r="1809" spans="1:4" x14ac:dyDescent="0.25">
      <c r="A1809" t="s">
        <v>101</v>
      </c>
      <c r="B1809">
        <v>0.14869599999999999</v>
      </c>
      <c r="C1809">
        <v>0</v>
      </c>
      <c r="D1809">
        <v>0.1025864677419355</v>
      </c>
    </row>
    <row r="1810" spans="1:4" x14ac:dyDescent="0.25">
      <c r="A1810" t="s">
        <v>1533</v>
      </c>
      <c r="B1810">
        <v>0.14799999999999999</v>
      </c>
      <c r="C1810">
        <v>0</v>
      </c>
      <c r="D1810">
        <v>0.1143709677419355</v>
      </c>
    </row>
    <row r="1811" spans="1:4" x14ac:dyDescent="0.25">
      <c r="A1811" t="s">
        <v>988</v>
      </c>
      <c r="B1811">
        <v>0.14799999999999999</v>
      </c>
      <c r="C1811">
        <v>0</v>
      </c>
      <c r="D1811">
        <v>8.0790322580645141E-2</v>
      </c>
    </row>
    <row r="1812" spans="1:4" x14ac:dyDescent="0.25">
      <c r="A1812" t="s">
        <v>154</v>
      </c>
      <c r="B1812">
        <v>0.14799999999999999</v>
      </c>
      <c r="C1812">
        <v>0</v>
      </c>
      <c r="D1812">
        <v>3.3229435483870966E-2</v>
      </c>
    </row>
    <row r="1813" spans="1:4" x14ac:dyDescent="0.25">
      <c r="A1813" t="s">
        <v>2479</v>
      </c>
      <c r="B1813">
        <v>0.14799999999999999</v>
      </c>
      <c r="C1813">
        <v>0</v>
      </c>
      <c r="D1813">
        <v>4.2806451612903237E-2</v>
      </c>
    </row>
    <row r="1814" spans="1:4" x14ac:dyDescent="0.25">
      <c r="A1814" t="s">
        <v>2475</v>
      </c>
      <c r="B1814">
        <v>0.1479</v>
      </c>
      <c r="C1814">
        <v>0</v>
      </c>
      <c r="D1814">
        <v>7.8499209677419329E-2</v>
      </c>
    </row>
    <row r="1815" spans="1:4" x14ac:dyDescent="0.25">
      <c r="A1815" t="s">
        <v>2355</v>
      </c>
      <c r="B1815">
        <v>0.1477</v>
      </c>
      <c r="C1815">
        <v>0</v>
      </c>
      <c r="D1815">
        <v>5.2126322580645174E-2</v>
      </c>
    </row>
    <row r="1816" spans="1:4" x14ac:dyDescent="0.25">
      <c r="A1816" t="s">
        <v>1933</v>
      </c>
      <c r="B1816">
        <v>0.14710000000000001</v>
      </c>
      <c r="C1816">
        <v>0</v>
      </c>
      <c r="D1816">
        <v>7.2725258064516143E-2</v>
      </c>
    </row>
    <row r="1817" spans="1:4" x14ac:dyDescent="0.25">
      <c r="A1817" t="s">
        <v>2235</v>
      </c>
      <c r="B1817">
        <v>0.14699999999999999</v>
      </c>
      <c r="C1817">
        <v>0</v>
      </c>
      <c r="D1817">
        <v>8.5008064516129023E-2</v>
      </c>
    </row>
    <row r="1818" spans="1:4" x14ac:dyDescent="0.25">
      <c r="A1818" t="s">
        <v>451</v>
      </c>
      <c r="B1818">
        <v>0.14699999999999999</v>
      </c>
      <c r="C1818">
        <v>0</v>
      </c>
      <c r="D1818">
        <v>8.7370967741935451E-2</v>
      </c>
    </row>
    <row r="1819" spans="1:4" x14ac:dyDescent="0.25">
      <c r="A1819" t="s">
        <v>1033</v>
      </c>
      <c r="B1819">
        <v>0.14599999999999999</v>
      </c>
      <c r="C1819">
        <v>0</v>
      </c>
      <c r="D1819">
        <v>0.10382258064516128</v>
      </c>
    </row>
    <row r="1820" spans="1:4" x14ac:dyDescent="0.25">
      <c r="A1820" t="s">
        <v>1509</v>
      </c>
      <c r="B1820">
        <v>0.14599999999999999</v>
      </c>
      <c r="C1820">
        <v>0</v>
      </c>
      <c r="D1820">
        <v>0.10545161290322579</v>
      </c>
    </row>
    <row r="1821" spans="1:4" x14ac:dyDescent="0.25">
      <c r="A1821" t="s">
        <v>385</v>
      </c>
      <c r="B1821">
        <v>0.1457</v>
      </c>
      <c r="C1821">
        <v>0</v>
      </c>
      <c r="D1821">
        <v>8.8096774193548416E-2</v>
      </c>
    </row>
    <row r="1822" spans="1:4" x14ac:dyDescent="0.25">
      <c r="A1822" t="s">
        <v>2626</v>
      </c>
      <c r="B1822">
        <v>0.14530000000000001</v>
      </c>
      <c r="C1822">
        <v>6.7500000000000004E-2</v>
      </c>
      <c r="D1822">
        <v>0.10779799999999999</v>
      </c>
    </row>
    <row r="1823" spans="1:4" x14ac:dyDescent="0.25">
      <c r="A1823" t="s">
        <v>292</v>
      </c>
      <c r="B1823">
        <v>0.14499999999999999</v>
      </c>
      <c r="C1823">
        <v>0</v>
      </c>
      <c r="D1823">
        <v>8.5782258064516129E-2</v>
      </c>
    </row>
    <row r="1824" spans="1:4" x14ac:dyDescent="0.25">
      <c r="A1824" t="s">
        <v>2412</v>
      </c>
      <c r="B1824">
        <v>0.14449999999999999</v>
      </c>
      <c r="C1824">
        <v>0</v>
      </c>
      <c r="D1824">
        <v>5.1261290322580665E-2</v>
      </c>
    </row>
    <row r="1825" spans="1:4" x14ac:dyDescent="0.25">
      <c r="A1825" t="s">
        <v>1611</v>
      </c>
      <c r="B1825">
        <v>0.14401</v>
      </c>
      <c r="C1825">
        <v>0</v>
      </c>
      <c r="D1825">
        <v>6.4932903225806443E-2</v>
      </c>
    </row>
    <row r="1826" spans="1:4" x14ac:dyDescent="0.25">
      <c r="A1826" t="s">
        <v>2144</v>
      </c>
      <c r="B1826">
        <v>0.14399999999999999</v>
      </c>
      <c r="C1826">
        <v>0</v>
      </c>
      <c r="D1826">
        <v>0.10508870967741939</v>
      </c>
    </row>
    <row r="1827" spans="1:4" x14ac:dyDescent="0.25">
      <c r="A1827" t="s">
        <v>1002</v>
      </c>
      <c r="B1827">
        <v>0.14399999999999999</v>
      </c>
      <c r="C1827">
        <v>0</v>
      </c>
      <c r="D1827">
        <v>0.1300645161290323</v>
      </c>
    </row>
    <row r="1828" spans="1:4" x14ac:dyDescent="0.25">
      <c r="A1828" t="s">
        <v>2740</v>
      </c>
      <c r="B1828">
        <v>0.14299999999999999</v>
      </c>
      <c r="C1828">
        <v>0</v>
      </c>
      <c r="D1828">
        <v>6.9395161290322582E-2</v>
      </c>
    </row>
    <row r="1829" spans="1:4" x14ac:dyDescent="0.25">
      <c r="A1829" t="s">
        <v>2510</v>
      </c>
      <c r="B1829">
        <v>0.14299999999999999</v>
      </c>
      <c r="C1829">
        <v>0</v>
      </c>
      <c r="D1829">
        <v>3.0658064516129027E-2</v>
      </c>
    </row>
    <row r="1830" spans="1:4" x14ac:dyDescent="0.25">
      <c r="A1830" t="s">
        <v>191</v>
      </c>
      <c r="B1830">
        <v>0.14299999999999999</v>
      </c>
      <c r="C1830">
        <v>0</v>
      </c>
      <c r="D1830">
        <v>7.5609677419354843E-2</v>
      </c>
    </row>
    <row r="1831" spans="1:4" x14ac:dyDescent="0.25">
      <c r="A1831" t="s">
        <v>2494</v>
      </c>
      <c r="B1831">
        <v>0.14199999999999999</v>
      </c>
      <c r="C1831">
        <v>0</v>
      </c>
      <c r="D1831">
        <v>6.6000000000000003E-2</v>
      </c>
    </row>
    <row r="1832" spans="1:4" x14ac:dyDescent="0.25">
      <c r="A1832" t="s">
        <v>630</v>
      </c>
      <c r="B1832">
        <v>0.14099999999999999</v>
      </c>
      <c r="C1832">
        <v>0</v>
      </c>
      <c r="D1832">
        <v>8.1709677419354837E-2</v>
      </c>
    </row>
    <row r="1833" spans="1:4" x14ac:dyDescent="0.25">
      <c r="A1833" t="s">
        <v>2275</v>
      </c>
      <c r="B1833">
        <v>0.14000000000000001</v>
      </c>
      <c r="C1833">
        <v>0</v>
      </c>
      <c r="D1833">
        <v>1.9241935483870973E-2</v>
      </c>
    </row>
    <row r="1834" spans="1:4" x14ac:dyDescent="0.25">
      <c r="A1834" t="s">
        <v>2585</v>
      </c>
      <c r="B1834">
        <v>0.14000000000000001</v>
      </c>
      <c r="C1834">
        <v>0</v>
      </c>
      <c r="D1834">
        <v>4.6072580645161273E-2</v>
      </c>
    </row>
    <row r="1835" spans="1:4" x14ac:dyDescent="0.25">
      <c r="A1835" t="s">
        <v>1225</v>
      </c>
      <c r="B1835">
        <v>0.14000000000000001</v>
      </c>
      <c r="C1835">
        <v>0</v>
      </c>
      <c r="D1835">
        <v>8.997916129032256E-2</v>
      </c>
    </row>
    <row r="1836" spans="1:4" x14ac:dyDescent="0.25">
      <c r="A1836" t="s">
        <v>2718</v>
      </c>
      <c r="B1836">
        <v>0.13900000000000001</v>
      </c>
      <c r="C1836">
        <v>5.7000000000000002E-2</v>
      </c>
      <c r="D1836">
        <v>0.10441129032258066</v>
      </c>
    </row>
    <row r="1837" spans="1:4" x14ac:dyDescent="0.25">
      <c r="A1837" t="s">
        <v>1878</v>
      </c>
      <c r="B1837">
        <v>0.13869999999999999</v>
      </c>
      <c r="C1837">
        <v>0</v>
      </c>
      <c r="D1837">
        <v>8.2533072580645128E-2</v>
      </c>
    </row>
    <row r="1838" spans="1:4" x14ac:dyDescent="0.25">
      <c r="A1838" t="s">
        <v>2259</v>
      </c>
      <c r="B1838">
        <v>0.13800000000000001</v>
      </c>
      <c r="C1838">
        <v>0</v>
      </c>
      <c r="D1838">
        <v>0.11300000000000002</v>
      </c>
    </row>
    <row r="1839" spans="1:4" x14ac:dyDescent="0.25">
      <c r="A1839" t="s">
        <v>2322</v>
      </c>
      <c r="B1839">
        <v>0.13800000000000001</v>
      </c>
      <c r="C1839">
        <v>5.9200000000000003E-2</v>
      </c>
      <c r="D1839">
        <v>0.10050161290322583</v>
      </c>
    </row>
    <row r="1840" spans="1:4" x14ac:dyDescent="0.25">
      <c r="A1840" t="s">
        <v>2425</v>
      </c>
      <c r="B1840">
        <v>0.13700000000000001</v>
      </c>
      <c r="C1840">
        <v>4.4999999999999998E-2</v>
      </c>
      <c r="D1840">
        <v>8.7758064516129053E-2</v>
      </c>
    </row>
    <row r="1841" spans="1:4" x14ac:dyDescent="0.25">
      <c r="A1841" t="s">
        <v>528</v>
      </c>
      <c r="B1841">
        <v>0.13500000000000001</v>
      </c>
      <c r="C1841">
        <v>0</v>
      </c>
      <c r="D1841">
        <v>5.8435483870967739E-2</v>
      </c>
    </row>
    <row r="1842" spans="1:4" x14ac:dyDescent="0.25">
      <c r="A1842" t="s">
        <v>1900</v>
      </c>
      <c r="B1842">
        <v>0.13500000000000001</v>
      </c>
      <c r="C1842">
        <v>6.2E-2</v>
      </c>
      <c r="D1842">
        <v>9.218548387096781E-2</v>
      </c>
    </row>
    <row r="1843" spans="1:4" x14ac:dyDescent="0.25">
      <c r="A1843" t="s">
        <v>730</v>
      </c>
      <c r="B1843">
        <v>0.13500000000000001</v>
      </c>
      <c r="C1843">
        <v>5.2999999999999999E-2</v>
      </c>
      <c r="D1843">
        <v>9.2048387096774237E-2</v>
      </c>
    </row>
    <row r="1844" spans="1:4" x14ac:dyDescent="0.25">
      <c r="A1844" t="s">
        <v>514</v>
      </c>
      <c r="B1844">
        <v>0.13500000000000001</v>
      </c>
      <c r="C1844">
        <v>0</v>
      </c>
      <c r="D1844">
        <v>8.9273000000000033E-2</v>
      </c>
    </row>
    <row r="1845" spans="1:4" x14ac:dyDescent="0.25">
      <c r="A1845" t="s">
        <v>2388</v>
      </c>
      <c r="B1845">
        <v>0.1348</v>
      </c>
      <c r="C1845">
        <v>0</v>
      </c>
      <c r="D1845">
        <v>2.4673387096774198E-2</v>
      </c>
    </row>
    <row r="1846" spans="1:4" x14ac:dyDescent="0.25">
      <c r="A1846" t="s">
        <v>960</v>
      </c>
      <c r="B1846">
        <v>0.13400000000000001</v>
      </c>
      <c r="C1846">
        <v>0</v>
      </c>
      <c r="D1846">
        <v>3.8072580645161294E-2</v>
      </c>
    </row>
    <row r="1847" spans="1:4" x14ac:dyDescent="0.25">
      <c r="A1847" t="s">
        <v>1647</v>
      </c>
      <c r="B1847">
        <v>0.1333</v>
      </c>
      <c r="C1847">
        <v>7.4000000000000003E-3</v>
      </c>
      <c r="D1847">
        <v>5.2691935483870973E-2</v>
      </c>
    </row>
    <row r="1848" spans="1:4" x14ac:dyDescent="0.25">
      <c r="A1848" t="s">
        <v>1143</v>
      </c>
      <c r="B1848">
        <v>0.13300000000000001</v>
      </c>
      <c r="C1848">
        <v>8.0000000000000002E-3</v>
      </c>
      <c r="D1848">
        <v>5.9178225806451629E-2</v>
      </c>
    </row>
    <row r="1849" spans="1:4" x14ac:dyDescent="0.25">
      <c r="A1849" t="s">
        <v>2807</v>
      </c>
      <c r="B1849">
        <v>0.13300000000000001</v>
      </c>
      <c r="C1849">
        <v>0.05</v>
      </c>
      <c r="D1849">
        <v>8.7810645161290321E-2</v>
      </c>
    </row>
    <row r="1850" spans="1:4" x14ac:dyDescent="0.25">
      <c r="A1850" t="s">
        <v>785</v>
      </c>
      <c r="B1850">
        <v>0.13200000000000001</v>
      </c>
      <c r="C1850">
        <v>0</v>
      </c>
      <c r="D1850">
        <v>8.7295967741935487E-2</v>
      </c>
    </row>
    <row r="1851" spans="1:4" x14ac:dyDescent="0.25">
      <c r="A1851" t="s">
        <v>2736</v>
      </c>
      <c r="B1851">
        <v>0.13200000000000001</v>
      </c>
      <c r="C1851">
        <v>0</v>
      </c>
      <c r="D1851">
        <v>2.6693548387096776E-2</v>
      </c>
    </row>
    <row r="1852" spans="1:4" x14ac:dyDescent="0.25">
      <c r="A1852" t="s">
        <v>1098</v>
      </c>
      <c r="B1852">
        <v>0.13133300000000001</v>
      </c>
      <c r="C1852">
        <v>0</v>
      </c>
      <c r="D1852">
        <v>5.9998241935483872E-2</v>
      </c>
    </row>
    <row r="1853" spans="1:4" x14ac:dyDescent="0.25">
      <c r="A1853" t="s">
        <v>438</v>
      </c>
      <c r="B1853">
        <v>0.13125000000000001</v>
      </c>
      <c r="C1853">
        <v>0</v>
      </c>
      <c r="D1853">
        <v>2.4100544354838702E-2</v>
      </c>
    </row>
    <row r="1854" spans="1:4" x14ac:dyDescent="0.25">
      <c r="A1854" t="s">
        <v>1965</v>
      </c>
      <c r="B1854">
        <v>0.13100000000000001</v>
      </c>
      <c r="C1854">
        <v>0</v>
      </c>
      <c r="D1854">
        <v>8.035483870967744E-2</v>
      </c>
    </row>
    <row r="1855" spans="1:4" x14ac:dyDescent="0.25">
      <c r="A1855" t="s">
        <v>215</v>
      </c>
      <c r="B1855">
        <v>0.13100000000000001</v>
      </c>
      <c r="C1855">
        <v>0</v>
      </c>
      <c r="D1855">
        <v>2.9596774193548388E-2</v>
      </c>
    </row>
    <row r="1856" spans="1:4" x14ac:dyDescent="0.25">
      <c r="A1856" t="s">
        <v>1553</v>
      </c>
      <c r="B1856">
        <v>0.13</v>
      </c>
      <c r="C1856">
        <v>0</v>
      </c>
      <c r="D1856">
        <v>2.7110645161290328E-2</v>
      </c>
    </row>
    <row r="1857" spans="1:4" x14ac:dyDescent="0.25">
      <c r="A1857" t="s">
        <v>290</v>
      </c>
      <c r="B1857">
        <v>0.13</v>
      </c>
      <c r="C1857">
        <v>0</v>
      </c>
      <c r="D1857">
        <v>6.4080645161290334E-2</v>
      </c>
    </row>
    <row r="1858" spans="1:4" x14ac:dyDescent="0.25">
      <c r="A1858" t="s">
        <v>1011</v>
      </c>
      <c r="B1858">
        <v>0.13</v>
      </c>
      <c r="C1858">
        <v>0</v>
      </c>
      <c r="D1858">
        <v>0.12120967741935487</v>
      </c>
    </row>
    <row r="1859" spans="1:4" x14ac:dyDescent="0.25">
      <c r="A1859" t="s">
        <v>1502</v>
      </c>
      <c r="B1859">
        <v>0.13</v>
      </c>
      <c r="C1859">
        <v>0</v>
      </c>
      <c r="D1859">
        <v>4.7663709677419376E-2</v>
      </c>
    </row>
    <row r="1860" spans="1:4" x14ac:dyDescent="0.25">
      <c r="A1860" t="s">
        <v>1132</v>
      </c>
      <c r="B1860">
        <v>0.13</v>
      </c>
      <c r="C1860">
        <v>0</v>
      </c>
      <c r="D1860">
        <v>8.8709677419354843E-2</v>
      </c>
    </row>
    <row r="1861" spans="1:4" x14ac:dyDescent="0.25">
      <c r="A1861" t="s">
        <v>179</v>
      </c>
      <c r="B1861">
        <v>0.13</v>
      </c>
      <c r="C1861">
        <v>0</v>
      </c>
      <c r="D1861">
        <v>6.2741935483870956E-2</v>
      </c>
    </row>
    <row r="1862" spans="1:4" x14ac:dyDescent="0.25">
      <c r="A1862" t="s">
        <v>2870</v>
      </c>
      <c r="B1862">
        <v>0.13</v>
      </c>
      <c r="C1862">
        <v>0</v>
      </c>
      <c r="D1862">
        <v>8.2838709677419381E-2</v>
      </c>
    </row>
    <row r="1863" spans="1:4" x14ac:dyDescent="0.25">
      <c r="A1863" t="s">
        <v>2887</v>
      </c>
      <c r="B1863">
        <v>0.13</v>
      </c>
      <c r="C1863">
        <v>0</v>
      </c>
      <c r="D1863">
        <v>8.9370967741935509E-2</v>
      </c>
    </row>
    <row r="1864" spans="1:4" x14ac:dyDescent="0.25">
      <c r="A1864" t="s">
        <v>2393</v>
      </c>
      <c r="B1864">
        <v>0.13</v>
      </c>
      <c r="C1864">
        <v>0</v>
      </c>
      <c r="D1864">
        <v>5.1730645161290341E-2</v>
      </c>
    </row>
    <row r="1865" spans="1:4" x14ac:dyDescent="0.25">
      <c r="A1865" t="s">
        <v>1413</v>
      </c>
      <c r="B1865">
        <v>0.12992600000000001</v>
      </c>
      <c r="C1865">
        <v>0</v>
      </c>
      <c r="D1865">
        <v>8.5707846774193561E-2</v>
      </c>
    </row>
    <row r="1866" spans="1:4" x14ac:dyDescent="0.25">
      <c r="A1866" t="s">
        <v>2371</v>
      </c>
      <c r="B1866">
        <v>0.129</v>
      </c>
      <c r="C1866">
        <v>0</v>
      </c>
      <c r="D1866">
        <v>2.6903225806451613E-2</v>
      </c>
    </row>
    <row r="1867" spans="1:4" x14ac:dyDescent="0.25">
      <c r="A1867" t="s">
        <v>2302</v>
      </c>
      <c r="B1867">
        <v>0.128</v>
      </c>
      <c r="C1867">
        <v>1.6E-2</v>
      </c>
      <c r="D1867">
        <v>8.7512822580645203E-2</v>
      </c>
    </row>
    <row r="1868" spans="1:4" x14ac:dyDescent="0.25">
      <c r="A1868" t="s">
        <v>2613</v>
      </c>
      <c r="B1868">
        <v>0.12737299999999999</v>
      </c>
      <c r="C1868">
        <v>1.9491000000000001E-2</v>
      </c>
      <c r="D1868">
        <v>6.1789208064516155E-2</v>
      </c>
    </row>
    <row r="1869" spans="1:4" x14ac:dyDescent="0.25">
      <c r="A1869" t="s">
        <v>187</v>
      </c>
      <c r="B1869">
        <v>0.12720000000000001</v>
      </c>
      <c r="C1869">
        <v>0</v>
      </c>
      <c r="D1869">
        <v>8.0503225806451612E-2</v>
      </c>
    </row>
    <row r="1870" spans="1:4" x14ac:dyDescent="0.25">
      <c r="A1870" t="s">
        <v>641</v>
      </c>
      <c r="B1870">
        <v>0.127</v>
      </c>
      <c r="C1870">
        <v>8.0000000000000002E-3</v>
      </c>
      <c r="D1870">
        <v>5.8854838709677393E-2</v>
      </c>
    </row>
    <row r="1871" spans="1:4" x14ac:dyDescent="0.25">
      <c r="A1871" t="s">
        <v>1792</v>
      </c>
      <c r="B1871">
        <v>0.127</v>
      </c>
      <c r="C1871">
        <v>0</v>
      </c>
      <c r="D1871">
        <v>0.11352419354838712</v>
      </c>
    </row>
    <row r="1872" spans="1:4" x14ac:dyDescent="0.25">
      <c r="A1872" t="s">
        <v>2819</v>
      </c>
      <c r="B1872">
        <v>0.127</v>
      </c>
      <c r="C1872">
        <v>0</v>
      </c>
      <c r="D1872">
        <v>6.1290322580645165E-2</v>
      </c>
    </row>
    <row r="1873" spans="1:4" x14ac:dyDescent="0.25">
      <c r="A1873" t="s">
        <v>2513</v>
      </c>
      <c r="B1873">
        <v>0.126</v>
      </c>
      <c r="C1873">
        <v>0</v>
      </c>
      <c r="D1873">
        <v>6.0306451612903232E-2</v>
      </c>
    </row>
    <row r="1874" spans="1:4" x14ac:dyDescent="0.25">
      <c r="A1874" t="s">
        <v>2910</v>
      </c>
      <c r="B1874">
        <v>0.12540000000000001</v>
      </c>
      <c r="C1874">
        <v>0</v>
      </c>
      <c r="D1874">
        <v>8.2660483870967777E-2</v>
      </c>
    </row>
    <row r="1875" spans="1:4" x14ac:dyDescent="0.25">
      <c r="A1875" t="s">
        <v>2466</v>
      </c>
      <c r="B1875">
        <v>0.12509999999999999</v>
      </c>
      <c r="C1875">
        <v>2E-3</v>
      </c>
      <c r="D1875">
        <v>5.9818790322580633E-2</v>
      </c>
    </row>
    <row r="1876" spans="1:4" x14ac:dyDescent="0.25">
      <c r="A1876" t="s">
        <v>28</v>
      </c>
      <c r="B1876">
        <v>0.124</v>
      </c>
      <c r="C1876">
        <v>0</v>
      </c>
      <c r="D1876">
        <v>7.9193548387096788E-2</v>
      </c>
    </row>
    <row r="1877" spans="1:4" x14ac:dyDescent="0.25">
      <c r="A1877" t="s">
        <v>1588</v>
      </c>
      <c r="B1877">
        <v>0.124</v>
      </c>
      <c r="C1877">
        <v>0</v>
      </c>
      <c r="D1877">
        <v>7.17741935483871E-2</v>
      </c>
    </row>
    <row r="1878" spans="1:4" x14ac:dyDescent="0.25">
      <c r="A1878" t="s">
        <v>250</v>
      </c>
      <c r="B1878">
        <v>0.124</v>
      </c>
      <c r="C1878">
        <v>0</v>
      </c>
      <c r="D1878">
        <v>7.2851088709677422E-2</v>
      </c>
    </row>
    <row r="1879" spans="1:4" x14ac:dyDescent="0.25">
      <c r="A1879" t="s">
        <v>1440</v>
      </c>
      <c r="B1879">
        <v>0.1239</v>
      </c>
      <c r="C1879">
        <v>1.43E-2</v>
      </c>
      <c r="D1879">
        <v>6.3560483870967743E-2</v>
      </c>
    </row>
    <row r="1880" spans="1:4" x14ac:dyDescent="0.25">
      <c r="A1880" t="s">
        <v>2153</v>
      </c>
      <c r="B1880">
        <v>0.1236</v>
      </c>
      <c r="C1880">
        <v>0</v>
      </c>
      <c r="D1880">
        <v>8.6092620967741923E-2</v>
      </c>
    </row>
    <row r="1881" spans="1:4" x14ac:dyDescent="0.25">
      <c r="A1881" t="s">
        <v>95</v>
      </c>
      <c r="B1881">
        <v>0.123</v>
      </c>
      <c r="C1881">
        <v>0</v>
      </c>
      <c r="D1881">
        <v>5.9070161290322588E-2</v>
      </c>
    </row>
    <row r="1882" spans="1:4" x14ac:dyDescent="0.25">
      <c r="A1882" t="s">
        <v>1114</v>
      </c>
      <c r="B1882">
        <v>0.121</v>
      </c>
      <c r="C1882">
        <v>0</v>
      </c>
      <c r="D1882">
        <v>3.9637096774193525E-2</v>
      </c>
    </row>
    <row r="1883" spans="1:4" x14ac:dyDescent="0.25">
      <c r="A1883" t="s">
        <v>1644</v>
      </c>
      <c r="B1883">
        <v>0.121</v>
      </c>
      <c r="C1883">
        <v>2.5000000000000001E-5</v>
      </c>
      <c r="D1883">
        <v>5.125040322580645E-2</v>
      </c>
    </row>
    <row r="1884" spans="1:4" x14ac:dyDescent="0.25">
      <c r="A1884" t="s">
        <v>1556</v>
      </c>
      <c r="B1884">
        <v>0.12</v>
      </c>
      <c r="C1884">
        <v>0</v>
      </c>
      <c r="D1884">
        <v>3.1330645161290319E-2</v>
      </c>
    </row>
    <row r="1885" spans="1:4" x14ac:dyDescent="0.25">
      <c r="A1885" t="s">
        <v>2741</v>
      </c>
      <c r="B1885">
        <v>0.12</v>
      </c>
      <c r="C1885">
        <v>0</v>
      </c>
      <c r="D1885">
        <v>8.3382258064516143E-2</v>
      </c>
    </row>
    <row r="1886" spans="1:4" x14ac:dyDescent="0.25">
      <c r="A1886" t="s">
        <v>1506</v>
      </c>
      <c r="B1886">
        <v>0.12</v>
      </c>
      <c r="C1886">
        <v>0</v>
      </c>
      <c r="D1886">
        <v>6.5777419354838731E-2</v>
      </c>
    </row>
    <row r="1887" spans="1:4" x14ac:dyDescent="0.25">
      <c r="A1887" t="s">
        <v>2088</v>
      </c>
      <c r="B1887">
        <v>0.12</v>
      </c>
      <c r="C1887">
        <v>0</v>
      </c>
      <c r="D1887">
        <v>8.4913814516129033E-2</v>
      </c>
    </row>
    <row r="1888" spans="1:4" x14ac:dyDescent="0.25">
      <c r="A1888" t="s">
        <v>2162</v>
      </c>
      <c r="B1888">
        <v>0.12</v>
      </c>
      <c r="C1888">
        <v>5.2999999999999999E-2</v>
      </c>
      <c r="D1888">
        <v>8.4633225806451648E-2</v>
      </c>
    </row>
    <row r="1889" spans="1:4" x14ac:dyDescent="0.25">
      <c r="A1889" t="s">
        <v>2227</v>
      </c>
      <c r="B1889">
        <v>0.12</v>
      </c>
      <c r="C1889">
        <v>0</v>
      </c>
      <c r="D1889">
        <v>3.4967741935483895E-2</v>
      </c>
    </row>
    <row r="1890" spans="1:4" x14ac:dyDescent="0.25">
      <c r="A1890" t="s">
        <v>2845</v>
      </c>
      <c r="B1890">
        <v>0.11899999999999999</v>
      </c>
      <c r="C1890">
        <v>0</v>
      </c>
      <c r="D1890">
        <v>6.812096774193549E-2</v>
      </c>
    </row>
    <row r="1891" spans="1:4" x14ac:dyDescent="0.25">
      <c r="A1891" t="s">
        <v>1340</v>
      </c>
      <c r="B1891">
        <v>0.1188</v>
      </c>
      <c r="C1891">
        <v>0</v>
      </c>
      <c r="D1891">
        <v>6.2558920967741946E-2</v>
      </c>
    </row>
    <row r="1892" spans="1:4" x14ac:dyDescent="0.25">
      <c r="A1892" t="s">
        <v>2362</v>
      </c>
      <c r="B1892">
        <v>0.1188</v>
      </c>
      <c r="C1892">
        <v>0</v>
      </c>
      <c r="D1892">
        <v>4.2017741935483875E-2</v>
      </c>
    </row>
    <row r="1893" spans="1:4" x14ac:dyDescent="0.25">
      <c r="A1893" t="s">
        <v>58</v>
      </c>
      <c r="B1893">
        <v>0.11799999999999999</v>
      </c>
      <c r="C1893">
        <v>0</v>
      </c>
      <c r="D1893">
        <v>4.9741935483870951E-2</v>
      </c>
    </row>
    <row r="1894" spans="1:4" x14ac:dyDescent="0.25">
      <c r="A1894" t="s">
        <v>2410</v>
      </c>
      <c r="B1894">
        <v>0.11799999999999999</v>
      </c>
      <c r="C1894">
        <v>0</v>
      </c>
      <c r="D1894">
        <v>7.1024193548387113E-2</v>
      </c>
    </row>
    <row r="1895" spans="1:4" x14ac:dyDescent="0.25">
      <c r="A1895" t="s">
        <v>740</v>
      </c>
      <c r="B1895">
        <v>0.11799999999999999</v>
      </c>
      <c r="C1895">
        <v>0</v>
      </c>
      <c r="D1895">
        <v>7.2129032258064538E-2</v>
      </c>
    </row>
    <row r="1896" spans="1:4" x14ac:dyDescent="0.25">
      <c r="A1896" t="s">
        <v>564</v>
      </c>
      <c r="B1896">
        <v>0.1179</v>
      </c>
      <c r="C1896">
        <v>0</v>
      </c>
      <c r="D1896">
        <v>4.1709185483870981E-2</v>
      </c>
    </row>
    <row r="1897" spans="1:4" x14ac:dyDescent="0.25">
      <c r="A1897" t="s">
        <v>1369</v>
      </c>
      <c r="B1897">
        <v>0.1174</v>
      </c>
      <c r="C1897">
        <v>0</v>
      </c>
      <c r="D1897">
        <v>2.7120967741935485E-2</v>
      </c>
    </row>
    <row r="1898" spans="1:4" x14ac:dyDescent="0.25">
      <c r="A1898" t="s">
        <v>987</v>
      </c>
      <c r="B1898">
        <v>0.11700000000000001</v>
      </c>
      <c r="C1898">
        <v>0</v>
      </c>
      <c r="D1898">
        <v>5.1072580645161278E-2</v>
      </c>
    </row>
    <row r="1899" spans="1:4" x14ac:dyDescent="0.25">
      <c r="A1899" t="s">
        <v>2489</v>
      </c>
      <c r="B1899">
        <v>0.11700000000000001</v>
      </c>
      <c r="C1899">
        <v>0</v>
      </c>
      <c r="D1899">
        <v>7.1043548387096769E-2</v>
      </c>
    </row>
    <row r="1900" spans="1:4" x14ac:dyDescent="0.25">
      <c r="A1900" t="s">
        <v>2117</v>
      </c>
      <c r="B1900">
        <v>0.11600000000000001</v>
      </c>
      <c r="C1900">
        <v>7.8E-2</v>
      </c>
      <c r="D1900">
        <v>8.6379032258064509E-2</v>
      </c>
    </row>
    <row r="1901" spans="1:4" x14ac:dyDescent="0.25">
      <c r="A1901" t="s">
        <v>87</v>
      </c>
      <c r="B1901">
        <v>0.11550000000000001</v>
      </c>
      <c r="C1901">
        <v>0</v>
      </c>
      <c r="D1901">
        <v>5.2821774193548408E-2</v>
      </c>
    </row>
    <row r="1902" spans="1:4" x14ac:dyDescent="0.25">
      <c r="A1902" t="s">
        <v>2148</v>
      </c>
      <c r="B1902">
        <v>0.11526699999999999</v>
      </c>
      <c r="C1902">
        <v>0</v>
      </c>
      <c r="D1902">
        <v>6.97112822580645E-2</v>
      </c>
    </row>
    <row r="1903" spans="1:4" x14ac:dyDescent="0.25">
      <c r="A1903" t="s">
        <v>948</v>
      </c>
      <c r="B1903">
        <v>0.115</v>
      </c>
      <c r="C1903">
        <v>0</v>
      </c>
      <c r="D1903">
        <v>3.2596774193548395E-2</v>
      </c>
    </row>
    <row r="1904" spans="1:4" x14ac:dyDescent="0.25">
      <c r="A1904" t="s">
        <v>2078</v>
      </c>
      <c r="B1904">
        <v>0.115</v>
      </c>
      <c r="C1904">
        <v>0</v>
      </c>
      <c r="D1904">
        <v>8.116129032258064E-2</v>
      </c>
    </row>
    <row r="1905" spans="1:4" x14ac:dyDescent="0.25">
      <c r="A1905" t="s">
        <v>1821</v>
      </c>
      <c r="B1905">
        <v>0.11459999999999999</v>
      </c>
      <c r="C1905">
        <v>0</v>
      </c>
      <c r="D1905">
        <v>3.0322580645161285E-3</v>
      </c>
    </row>
    <row r="1906" spans="1:4" x14ac:dyDescent="0.25">
      <c r="A1906" t="s">
        <v>2061</v>
      </c>
      <c r="B1906">
        <v>0.1145</v>
      </c>
      <c r="C1906">
        <v>0</v>
      </c>
      <c r="D1906">
        <v>8.7801612903225815E-2</v>
      </c>
    </row>
    <row r="1907" spans="1:4" x14ac:dyDescent="0.25">
      <c r="A1907" t="s">
        <v>1025</v>
      </c>
      <c r="B1907">
        <v>0.1145</v>
      </c>
      <c r="C1907">
        <v>7.3000000000000001E-3</v>
      </c>
      <c r="D1907">
        <v>7.1358064516129041E-2</v>
      </c>
    </row>
    <row r="1908" spans="1:4" x14ac:dyDescent="0.25">
      <c r="A1908" t="s">
        <v>1671</v>
      </c>
      <c r="B1908">
        <v>0.114</v>
      </c>
      <c r="C1908">
        <v>0</v>
      </c>
      <c r="D1908">
        <v>6.1161290322580636E-2</v>
      </c>
    </row>
    <row r="1909" spans="1:4" x14ac:dyDescent="0.25">
      <c r="A1909" t="s">
        <v>124</v>
      </c>
      <c r="B1909">
        <v>0.114</v>
      </c>
      <c r="C1909">
        <v>8.1000000000000003E-2</v>
      </c>
      <c r="D1909">
        <v>9.7556451612903244E-2</v>
      </c>
    </row>
    <row r="1910" spans="1:4" x14ac:dyDescent="0.25">
      <c r="A1910" t="s">
        <v>2899</v>
      </c>
      <c r="B1910">
        <v>0.114</v>
      </c>
      <c r="C1910">
        <v>0</v>
      </c>
      <c r="D1910">
        <v>5.4204838709677426E-2</v>
      </c>
    </row>
    <row r="1911" spans="1:4" x14ac:dyDescent="0.25">
      <c r="A1911" t="s">
        <v>2906</v>
      </c>
      <c r="B1911">
        <v>0.113</v>
      </c>
      <c r="C1911">
        <v>0</v>
      </c>
      <c r="D1911">
        <v>5.7395161290322579E-2</v>
      </c>
    </row>
    <row r="1912" spans="1:4" x14ac:dyDescent="0.25">
      <c r="A1912" t="s">
        <v>2064</v>
      </c>
      <c r="B1912">
        <v>0.113</v>
      </c>
      <c r="C1912">
        <v>0</v>
      </c>
      <c r="D1912">
        <v>7.9709677419354821E-2</v>
      </c>
    </row>
    <row r="1913" spans="1:4" x14ac:dyDescent="0.25">
      <c r="A1913" t="s">
        <v>152</v>
      </c>
      <c r="B1913">
        <v>0.113</v>
      </c>
      <c r="C1913">
        <v>7.0000000000000001E-3</v>
      </c>
      <c r="D1913">
        <v>4.0125806451612893E-2</v>
      </c>
    </row>
    <row r="1914" spans="1:4" x14ac:dyDescent="0.25">
      <c r="A1914" t="s">
        <v>714</v>
      </c>
      <c r="B1914">
        <v>0.113</v>
      </c>
      <c r="C1914">
        <v>0</v>
      </c>
      <c r="D1914">
        <v>8.6040322580645173E-2</v>
      </c>
    </row>
    <row r="1915" spans="1:4" x14ac:dyDescent="0.25">
      <c r="A1915" t="s">
        <v>2871</v>
      </c>
      <c r="B1915">
        <v>0.113</v>
      </c>
      <c r="C1915">
        <v>0</v>
      </c>
      <c r="D1915">
        <v>5.4708322580645154E-2</v>
      </c>
    </row>
    <row r="1916" spans="1:4" x14ac:dyDescent="0.25">
      <c r="A1916" t="s">
        <v>721</v>
      </c>
      <c r="B1916">
        <v>0.113</v>
      </c>
      <c r="C1916">
        <v>0</v>
      </c>
      <c r="D1916">
        <v>5.3629032258064521E-3</v>
      </c>
    </row>
    <row r="1917" spans="1:4" x14ac:dyDescent="0.25">
      <c r="A1917" t="s">
        <v>684</v>
      </c>
      <c r="B1917">
        <v>0.1124</v>
      </c>
      <c r="C1917">
        <v>0</v>
      </c>
      <c r="D1917">
        <v>7.5824193548387098E-2</v>
      </c>
    </row>
    <row r="1918" spans="1:4" x14ac:dyDescent="0.25">
      <c r="A1918" t="s">
        <v>2472</v>
      </c>
      <c r="B1918">
        <v>0.112</v>
      </c>
      <c r="C1918">
        <v>0</v>
      </c>
      <c r="D1918">
        <v>8.7561048387096815E-2</v>
      </c>
    </row>
    <row r="1919" spans="1:4" x14ac:dyDescent="0.25">
      <c r="A1919" t="s">
        <v>683</v>
      </c>
      <c r="B1919">
        <v>0.1119</v>
      </c>
      <c r="C1919">
        <v>0</v>
      </c>
      <c r="D1919">
        <v>6.5643548387096781E-2</v>
      </c>
    </row>
    <row r="1920" spans="1:4" x14ac:dyDescent="0.25">
      <c r="A1920" t="s">
        <v>698</v>
      </c>
      <c r="B1920">
        <v>0.1101</v>
      </c>
      <c r="C1920">
        <v>0</v>
      </c>
      <c r="D1920">
        <v>4.0309677419354838E-2</v>
      </c>
    </row>
    <row r="1921" spans="1:4" x14ac:dyDescent="0.25">
      <c r="A1921" t="s">
        <v>840</v>
      </c>
      <c r="B1921">
        <v>0.11</v>
      </c>
      <c r="C1921">
        <v>0</v>
      </c>
      <c r="D1921">
        <v>3.8080645161290332E-2</v>
      </c>
    </row>
    <row r="1922" spans="1:4" x14ac:dyDescent="0.25">
      <c r="A1922" t="s">
        <v>870</v>
      </c>
      <c r="B1922">
        <v>0.11</v>
      </c>
      <c r="C1922">
        <v>0</v>
      </c>
      <c r="D1922">
        <v>3.7596774193548392E-2</v>
      </c>
    </row>
    <row r="1923" spans="1:4" x14ac:dyDescent="0.25">
      <c r="A1923" t="s">
        <v>1525</v>
      </c>
      <c r="B1923">
        <v>0.11</v>
      </c>
      <c r="C1923">
        <v>0</v>
      </c>
      <c r="D1923">
        <v>6.0032258064516127E-2</v>
      </c>
    </row>
    <row r="1924" spans="1:4" x14ac:dyDescent="0.25">
      <c r="A1924" t="s">
        <v>268</v>
      </c>
      <c r="B1924">
        <v>0.11</v>
      </c>
      <c r="C1924">
        <v>0</v>
      </c>
      <c r="D1924">
        <v>6.7341774193548393E-2</v>
      </c>
    </row>
    <row r="1925" spans="1:4" x14ac:dyDescent="0.25">
      <c r="A1925" t="s">
        <v>1339</v>
      </c>
      <c r="B1925">
        <v>0.11</v>
      </c>
      <c r="C1925">
        <v>3.7999999999999999E-2</v>
      </c>
      <c r="D1925">
        <v>6.397580645161291E-2</v>
      </c>
    </row>
    <row r="1926" spans="1:4" x14ac:dyDescent="0.25">
      <c r="A1926" t="s">
        <v>25</v>
      </c>
      <c r="B1926">
        <v>0.11</v>
      </c>
      <c r="C1926">
        <v>0</v>
      </c>
      <c r="D1926">
        <v>6.2196774193548403E-2</v>
      </c>
    </row>
    <row r="1927" spans="1:4" x14ac:dyDescent="0.25">
      <c r="A1927" t="s">
        <v>123</v>
      </c>
      <c r="B1927">
        <v>0.11</v>
      </c>
      <c r="C1927">
        <v>0</v>
      </c>
      <c r="D1927">
        <v>4.1645161290322565E-2</v>
      </c>
    </row>
    <row r="1928" spans="1:4" x14ac:dyDescent="0.25">
      <c r="A1928" t="s">
        <v>2438</v>
      </c>
      <c r="B1928">
        <v>0.10954999999999999</v>
      </c>
      <c r="C1928">
        <v>0</v>
      </c>
      <c r="D1928">
        <v>7.5033612903225799E-2</v>
      </c>
    </row>
    <row r="1929" spans="1:4" x14ac:dyDescent="0.25">
      <c r="A1929" t="s">
        <v>2381</v>
      </c>
      <c r="B1929">
        <v>0.109</v>
      </c>
      <c r="C1929">
        <v>0</v>
      </c>
      <c r="D1929">
        <v>4.4983870967741944E-2</v>
      </c>
    </row>
    <row r="1930" spans="1:4" x14ac:dyDescent="0.25">
      <c r="A1930" t="s">
        <v>2648</v>
      </c>
      <c r="B1930">
        <v>0.1083913</v>
      </c>
      <c r="C1930">
        <v>0</v>
      </c>
      <c r="D1930">
        <v>6.999204193548389E-2</v>
      </c>
    </row>
    <row r="1931" spans="1:4" x14ac:dyDescent="0.25">
      <c r="A1931" t="s">
        <v>2749</v>
      </c>
      <c r="B1931">
        <v>0.108</v>
      </c>
      <c r="C1931">
        <v>0</v>
      </c>
      <c r="D1931">
        <v>5.3580645161290325E-2</v>
      </c>
    </row>
    <row r="1932" spans="1:4" x14ac:dyDescent="0.25">
      <c r="A1932" t="s">
        <v>1877</v>
      </c>
      <c r="B1932">
        <v>0.108</v>
      </c>
      <c r="C1932">
        <v>0</v>
      </c>
      <c r="D1932">
        <v>6.9865158064516139E-2</v>
      </c>
    </row>
    <row r="1933" spans="1:4" x14ac:dyDescent="0.25">
      <c r="A1933" t="s">
        <v>34</v>
      </c>
      <c r="B1933">
        <v>0.108</v>
      </c>
      <c r="C1933">
        <v>0</v>
      </c>
      <c r="D1933">
        <v>4.2324838709677438E-2</v>
      </c>
    </row>
    <row r="1934" spans="1:4" x14ac:dyDescent="0.25">
      <c r="A1934" t="s">
        <v>471</v>
      </c>
      <c r="B1934">
        <v>0.108</v>
      </c>
      <c r="C1934">
        <v>0</v>
      </c>
      <c r="D1934">
        <v>4.9622580645161285E-2</v>
      </c>
    </row>
    <row r="1935" spans="1:4" x14ac:dyDescent="0.25">
      <c r="A1935" t="s">
        <v>2806</v>
      </c>
      <c r="B1935">
        <v>0.108</v>
      </c>
      <c r="C1935">
        <v>0</v>
      </c>
      <c r="D1935">
        <v>8.5848387096774184E-2</v>
      </c>
    </row>
    <row r="1936" spans="1:4" x14ac:dyDescent="0.25">
      <c r="A1936" t="s">
        <v>672</v>
      </c>
      <c r="B1936">
        <v>0.108</v>
      </c>
      <c r="C1936">
        <v>0</v>
      </c>
      <c r="D1936">
        <v>2.9129032258064517E-2</v>
      </c>
    </row>
    <row r="1937" spans="1:4" x14ac:dyDescent="0.25">
      <c r="A1937" t="s">
        <v>1175</v>
      </c>
      <c r="B1937">
        <v>0.107</v>
      </c>
      <c r="C1937">
        <v>0</v>
      </c>
      <c r="D1937">
        <v>2.0217741935483868E-2</v>
      </c>
    </row>
    <row r="1938" spans="1:4" x14ac:dyDescent="0.25">
      <c r="A1938" t="s">
        <v>2751</v>
      </c>
      <c r="B1938">
        <v>0.107</v>
      </c>
      <c r="C1938">
        <v>0</v>
      </c>
      <c r="D1938">
        <v>3.2677419354838713E-2</v>
      </c>
    </row>
    <row r="1939" spans="1:4" x14ac:dyDescent="0.25">
      <c r="A1939" t="s">
        <v>895</v>
      </c>
      <c r="B1939">
        <v>0.107</v>
      </c>
      <c r="C1939">
        <v>0</v>
      </c>
      <c r="D1939">
        <v>4.2538709677419344E-2</v>
      </c>
    </row>
    <row r="1940" spans="1:4" x14ac:dyDescent="0.25">
      <c r="A1940" t="s">
        <v>2595</v>
      </c>
      <c r="B1940">
        <v>0.107</v>
      </c>
      <c r="C1940">
        <v>0</v>
      </c>
      <c r="D1940">
        <v>1.875806451612903E-2</v>
      </c>
    </row>
    <row r="1941" spans="1:4" x14ac:dyDescent="0.25">
      <c r="A1941" t="s">
        <v>1260</v>
      </c>
      <c r="B1941">
        <v>0.106</v>
      </c>
      <c r="C1941">
        <v>1.5800000000000002E-2</v>
      </c>
      <c r="D1941">
        <v>5.8022580645161276E-2</v>
      </c>
    </row>
    <row r="1942" spans="1:4" x14ac:dyDescent="0.25">
      <c r="A1942" t="s">
        <v>2495</v>
      </c>
      <c r="B1942">
        <v>0.106</v>
      </c>
      <c r="C1942">
        <v>0</v>
      </c>
      <c r="D1942">
        <v>2.9316129032258068E-2</v>
      </c>
    </row>
    <row r="1943" spans="1:4" x14ac:dyDescent="0.25">
      <c r="A1943" t="s">
        <v>827</v>
      </c>
      <c r="B1943">
        <v>0.105971</v>
      </c>
      <c r="C1943">
        <v>0</v>
      </c>
      <c r="D1943">
        <v>5.6801258064516136E-2</v>
      </c>
    </row>
    <row r="1944" spans="1:4" x14ac:dyDescent="0.25">
      <c r="A1944" t="s">
        <v>2591</v>
      </c>
      <c r="B1944">
        <v>0.1056</v>
      </c>
      <c r="C1944">
        <v>0</v>
      </c>
      <c r="D1944">
        <v>7.3190645161290327E-2</v>
      </c>
    </row>
    <row r="1945" spans="1:4" x14ac:dyDescent="0.25">
      <c r="A1945" t="s">
        <v>2471</v>
      </c>
      <c r="B1945">
        <v>0.105</v>
      </c>
      <c r="C1945">
        <v>6.9999999999999999E-4</v>
      </c>
      <c r="D1945">
        <v>2.5259564516129034E-2</v>
      </c>
    </row>
    <row r="1946" spans="1:4" x14ac:dyDescent="0.25">
      <c r="A1946" t="s">
        <v>1223</v>
      </c>
      <c r="B1946">
        <v>0.105</v>
      </c>
      <c r="C1946">
        <v>0</v>
      </c>
      <c r="D1946">
        <v>3.1057258064516129E-2</v>
      </c>
    </row>
    <row r="1947" spans="1:4" x14ac:dyDescent="0.25">
      <c r="A1947" t="s">
        <v>2376</v>
      </c>
      <c r="B1947">
        <v>0.105</v>
      </c>
      <c r="C1947">
        <v>0</v>
      </c>
      <c r="D1947">
        <v>2.0451612903225804E-2</v>
      </c>
    </row>
    <row r="1948" spans="1:4" x14ac:dyDescent="0.25">
      <c r="A1948" t="s">
        <v>674</v>
      </c>
      <c r="B1948">
        <v>0.1043</v>
      </c>
      <c r="C1948">
        <v>0</v>
      </c>
      <c r="D1948">
        <v>7.2434677419354845E-2</v>
      </c>
    </row>
    <row r="1949" spans="1:4" x14ac:dyDescent="0.25">
      <c r="A1949" t="s">
        <v>2816</v>
      </c>
      <c r="B1949">
        <v>0.104</v>
      </c>
      <c r="C1949">
        <v>0</v>
      </c>
      <c r="D1949">
        <v>4.4588709677419368E-2</v>
      </c>
    </row>
    <row r="1950" spans="1:4" x14ac:dyDescent="0.25">
      <c r="A1950" t="s">
        <v>27</v>
      </c>
      <c r="B1950">
        <v>0.104</v>
      </c>
      <c r="C1950">
        <v>0</v>
      </c>
      <c r="D1950">
        <v>6.4895967741935484E-2</v>
      </c>
    </row>
    <row r="1951" spans="1:4" x14ac:dyDescent="0.25">
      <c r="A1951" t="s">
        <v>2372</v>
      </c>
      <c r="B1951">
        <v>0.1036</v>
      </c>
      <c r="C1951">
        <v>0</v>
      </c>
      <c r="D1951">
        <v>3.6117741935483873E-2</v>
      </c>
    </row>
    <row r="1952" spans="1:4" x14ac:dyDescent="0.25">
      <c r="A1952" t="s">
        <v>1881</v>
      </c>
      <c r="B1952">
        <v>0.103103</v>
      </c>
      <c r="C1952">
        <v>5.67E-2</v>
      </c>
      <c r="D1952">
        <v>7.9849096774193551E-2</v>
      </c>
    </row>
    <row r="1953" spans="1:4" x14ac:dyDescent="0.25">
      <c r="A1953" t="s">
        <v>2459</v>
      </c>
      <c r="B1953">
        <v>0.10299999999999999</v>
      </c>
      <c r="C1953">
        <v>0</v>
      </c>
      <c r="D1953">
        <v>6.3847758064516147E-2</v>
      </c>
    </row>
    <row r="1954" spans="1:4" x14ac:dyDescent="0.25">
      <c r="A1954" t="s">
        <v>2319</v>
      </c>
      <c r="B1954">
        <v>0.10299999999999999</v>
      </c>
      <c r="C1954">
        <v>0</v>
      </c>
      <c r="D1954">
        <v>6.4766129032258077E-2</v>
      </c>
    </row>
    <row r="1955" spans="1:4" x14ac:dyDescent="0.25">
      <c r="A1955" t="s">
        <v>1093</v>
      </c>
      <c r="B1955">
        <v>0.102668</v>
      </c>
      <c r="C1955">
        <v>0</v>
      </c>
      <c r="D1955">
        <v>4.1484693548387096E-2</v>
      </c>
    </row>
    <row r="1956" spans="1:4" x14ac:dyDescent="0.25">
      <c r="A1956" t="s">
        <v>2866</v>
      </c>
      <c r="B1956">
        <v>0.1023</v>
      </c>
      <c r="C1956">
        <v>5.0700000000000002E-2</v>
      </c>
      <c r="D1956">
        <v>7.2154838709677427E-2</v>
      </c>
    </row>
    <row r="1957" spans="1:4" x14ac:dyDescent="0.25">
      <c r="A1957" t="s">
        <v>1602</v>
      </c>
      <c r="B1957">
        <v>0.10199999999999999</v>
      </c>
      <c r="C1957">
        <v>0</v>
      </c>
      <c r="D1957">
        <v>3.0379032258064521E-2</v>
      </c>
    </row>
    <row r="1958" spans="1:4" x14ac:dyDescent="0.25">
      <c r="A1958" t="s">
        <v>302</v>
      </c>
      <c r="B1958">
        <v>0.10199999999999999</v>
      </c>
      <c r="C1958">
        <v>0</v>
      </c>
      <c r="D1958">
        <v>5.9483870967741943E-2</v>
      </c>
    </row>
    <row r="1959" spans="1:4" x14ac:dyDescent="0.25">
      <c r="A1959" t="s">
        <v>2829</v>
      </c>
      <c r="B1959">
        <v>0.10199999999999999</v>
      </c>
      <c r="C1959">
        <v>2.4E-2</v>
      </c>
      <c r="D1959">
        <v>4.9209677419354836E-2</v>
      </c>
    </row>
    <row r="1960" spans="1:4" x14ac:dyDescent="0.25">
      <c r="A1960" t="s">
        <v>2053</v>
      </c>
      <c r="B1960">
        <v>0.1017</v>
      </c>
      <c r="C1960">
        <v>0</v>
      </c>
      <c r="D1960">
        <v>6.5498387096774189E-3</v>
      </c>
    </row>
    <row r="1961" spans="1:4" x14ac:dyDescent="0.25">
      <c r="A1961" t="s">
        <v>1161</v>
      </c>
      <c r="B1961">
        <v>0.10100000000000001</v>
      </c>
      <c r="C1961">
        <v>0</v>
      </c>
      <c r="D1961">
        <v>3.3891935483870969E-2</v>
      </c>
    </row>
    <row r="1962" spans="1:4" x14ac:dyDescent="0.25">
      <c r="A1962" t="s">
        <v>1364</v>
      </c>
      <c r="B1962">
        <v>0.100684</v>
      </c>
      <c r="C1962">
        <v>0</v>
      </c>
      <c r="D1962">
        <v>3.4265072580645137E-2</v>
      </c>
    </row>
    <row r="1963" spans="1:4" x14ac:dyDescent="0.25">
      <c r="A1963" t="s">
        <v>906</v>
      </c>
      <c r="B1963">
        <v>0.10019</v>
      </c>
      <c r="C1963">
        <v>0</v>
      </c>
      <c r="D1963">
        <v>7.4591653225806451E-2</v>
      </c>
    </row>
    <row r="1964" spans="1:4" x14ac:dyDescent="0.25">
      <c r="A1964" t="s">
        <v>1805</v>
      </c>
      <c r="B1964">
        <v>0.1</v>
      </c>
      <c r="C1964">
        <v>0</v>
      </c>
      <c r="D1964">
        <v>3.2319354838709687E-2</v>
      </c>
    </row>
    <row r="1965" spans="1:4" x14ac:dyDescent="0.25">
      <c r="A1965" t="s">
        <v>1807</v>
      </c>
      <c r="B1965">
        <v>0.1</v>
      </c>
      <c r="C1965">
        <v>0</v>
      </c>
      <c r="D1965">
        <v>1.7629838709677423E-2</v>
      </c>
    </row>
    <row r="1966" spans="1:4" x14ac:dyDescent="0.25">
      <c r="A1966" t="s">
        <v>1558</v>
      </c>
      <c r="B1966">
        <v>0.1</v>
      </c>
      <c r="C1966">
        <v>0</v>
      </c>
      <c r="D1966">
        <v>5.7612903225806443E-2</v>
      </c>
    </row>
    <row r="1967" spans="1:4" x14ac:dyDescent="0.25">
      <c r="A1967" t="s">
        <v>2820</v>
      </c>
      <c r="B1967">
        <v>0.1</v>
      </c>
      <c r="C1967">
        <v>0</v>
      </c>
      <c r="D1967">
        <v>3.5540725806451609E-2</v>
      </c>
    </row>
    <row r="1968" spans="1:4" x14ac:dyDescent="0.25">
      <c r="A1968" t="s">
        <v>1994</v>
      </c>
      <c r="B1968">
        <v>0.1</v>
      </c>
      <c r="C1968">
        <v>0</v>
      </c>
      <c r="D1968">
        <v>6.8387096774193537E-2</v>
      </c>
    </row>
    <row r="1969" spans="1:4" x14ac:dyDescent="0.25">
      <c r="A1969" t="s">
        <v>510</v>
      </c>
      <c r="B1969">
        <v>0.1</v>
      </c>
      <c r="C1969">
        <v>0</v>
      </c>
      <c r="D1969">
        <v>4.5282258064516114E-2</v>
      </c>
    </row>
    <row r="1970" spans="1:4" x14ac:dyDescent="0.25">
      <c r="A1970" t="s">
        <v>2268</v>
      </c>
      <c r="B1970">
        <v>0.1</v>
      </c>
      <c r="C1970">
        <v>0.01</v>
      </c>
      <c r="D1970">
        <v>5.0066935483870985E-2</v>
      </c>
    </row>
    <row r="1971" spans="1:4" x14ac:dyDescent="0.25">
      <c r="A1971" t="s">
        <v>796</v>
      </c>
      <c r="B1971">
        <v>0.1</v>
      </c>
      <c r="C1971">
        <v>0</v>
      </c>
      <c r="D1971">
        <v>5.9460483870967744E-2</v>
      </c>
    </row>
    <row r="1972" spans="1:4" x14ac:dyDescent="0.25">
      <c r="A1972" t="s">
        <v>1587</v>
      </c>
      <c r="B1972">
        <v>0.1</v>
      </c>
      <c r="C1972">
        <v>0</v>
      </c>
      <c r="D1972">
        <v>3.3145161290322592E-2</v>
      </c>
    </row>
    <row r="1973" spans="1:4" x14ac:dyDescent="0.25">
      <c r="A1973" t="s">
        <v>1140</v>
      </c>
      <c r="B1973">
        <v>0.1</v>
      </c>
      <c r="C1973">
        <v>0</v>
      </c>
      <c r="D1973">
        <v>8.1156451612903219E-2</v>
      </c>
    </row>
    <row r="1974" spans="1:4" x14ac:dyDescent="0.25">
      <c r="A1974" t="s">
        <v>1204</v>
      </c>
      <c r="B1974">
        <v>0.1</v>
      </c>
      <c r="C1974">
        <v>0</v>
      </c>
      <c r="D1974">
        <v>5.6806451612903229E-2</v>
      </c>
    </row>
    <row r="1975" spans="1:4" x14ac:dyDescent="0.25">
      <c r="A1975" t="s">
        <v>744</v>
      </c>
      <c r="B1975">
        <v>0.1</v>
      </c>
      <c r="C1975">
        <v>0</v>
      </c>
      <c r="D1975">
        <v>5.4338709677419356E-2</v>
      </c>
    </row>
    <row r="1976" spans="1:4" x14ac:dyDescent="0.25">
      <c r="A1976" t="s">
        <v>2384</v>
      </c>
      <c r="B1976">
        <v>0.1</v>
      </c>
      <c r="C1976">
        <v>0</v>
      </c>
      <c r="D1976">
        <v>1.0520967741935486E-2</v>
      </c>
    </row>
    <row r="1977" spans="1:4" x14ac:dyDescent="0.25">
      <c r="A1977" t="s">
        <v>2804</v>
      </c>
      <c r="B1977">
        <v>9.9900000000000003E-2</v>
      </c>
      <c r="C1977">
        <v>0</v>
      </c>
      <c r="D1977">
        <v>5.0929032258064506E-2</v>
      </c>
    </row>
    <row r="1978" spans="1:4" x14ac:dyDescent="0.25">
      <c r="A1978" t="s">
        <v>623</v>
      </c>
      <c r="B1978">
        <v>9.9299999999999999E-2</v>
      </c>
      <c r="C1978">
        <v>0</v>
      </c>
      <c r="D1978">
        <v>8.2604032258064494E-2</v>
      </c>
    </row>
    <row r="1979" spans="1:4" x14ac:dyDescent="0.25">
      <c r="A1979" t="s">
        <v>460</v>
      </c>
      <c r="B1979">
        <v>9.9099999999999994E-2</v>
      </c>
      <c r="C1979">
        <v>3.39E-2</v>
      </c>
      <c r="D1979">
        <v>6.1797580645161297E-2</v>
      </c>
    </row>
    <row r="1980" spans="1:4" x14ac:dyDescent="0.25">
      <c r="A1980" t="s">
        <v>2181</v>
      </c>
      <c r="B1980">
        <v>9.9000000000000005E-2</v>
      </c>
      <c r="C1980">
        <v>0</v>
      </c>
      <c r="D1980">
        <v>7.4911290322580648E-2</v>
      </c>
    </row>
    <row r="1981" spans="1:4" x14ac:dyDescent="0.25">
      <c r="A1981" t="s">
        <v>236</v>
      </c>
      <c r="B1981">
        <v>9.8000000000000004E-2</v>
      </c>
      <c r="C1981">
        <v>0</v>
      </c>
      <c r="D1981">
        <v>6.1481322580645176E-2</v>
      </c>
    </row>
    <row r="1982" spans="1:4" x14ac:dyDescent="0.25">
      <c r="A1982" t="s">
        <v>2158</v>
      </c>
      <c r="B1982">
        <v>9.8000000000000004E-2</v>
      </c>
      <c r="C1982">
        <v>0</v>
      </c>
      <c r="D1982">
        <v>7.0112903225806475E-2</v>
      </c>
    </row>
    <row r="1983" spans="1:4" x14ac:dyDescent="0.25">
      <c r="A1983" t="s">
        <v>1691</v>
      </c>
      <c r="B1983">
        <v>9.8000000000000004E-2</v>
      </c>
      <c r="C1983">
        <v>0</v>
      </c>
      <c r="D1983">
        <v>4.419354838709675E-2</v>
      </c>
    </row>
    <row r="1984" spans="1:4" x14ac:dyDescent="0.25">
      <c r="A1984" t="s">
        <v>745</v>
      </c>
      <c r="B1984">
        <v>9.8000000000000004E-2</v>
      </c>
      <c r="C1984">
        <v>0</v>
      </c>
      <c r="D1984">
        <v>4.2191612903225803E-2</v>
      </c>
    </row>
    <row r="1985" spans="1:4" x14ac:dyDescent="0.25">
      <c r="A1985" t="s">
        <v>1795</v>
      </c>
      <c r="B1985">
        <v>9.7000000000000003E-2</v>
      </c>
      <c r="C1985">
        <v>0</v>
      </c>
      <c r="D1985">
        <v>4.9806451612903209E-2</v>
      </c>
    </row>
    <row r="1986" spans="1:4" x14ac:dyDescent="0.25">
      <c r="A1986" t="s">
        <v>1158</v>
      </c>
      <c r="B1986">
        <v>9.7000000000000003E-2</v>
      </c>
      <c r="C1986">
        <v>0</v>
      </c>
      <c r="D1986">
        <v>4.9508064516129019E-2</v>
      </c>
    </row>
    <row r="1987" spans="1:4" x14ac:dyDescent="0.25">
      <c r="A1987" t="s">
        <v>162</v>
      </c>
      <c r="B1987">
        <v>9.7000000000000003E-2</v>
      </c>
      <c r="C1987">
        <v>0</v>
      </c>
      <c r="D1987">
        <v>4.0927419354838707E-2</v>
      </c>
    </row>
    <row r="1988" spans="1:4" x14ac:dyDescent="0.25">
      <c r="A1988" t="s">
        <v>1677</v>
      </c>
      <c r="B1988">
        <v>9.7000000000000003E-2</v>
      </c>
      <c r="C1988">
        <v>0</v>
      </c>
      <c r="D1988">
        <v>1.9758064516129038E-2</v>
      </c>
    </row>
    <row r="1989" spans="1:4" x14ac:dyDescent="0.25">
      <c r="A1989" t="s">
        <v>315</v>
      </c>
      <c r="B1989">
        <v>9.7000000000000003E-2</v>
      </c>
      <c r="C1989">
        <v>6.0000000000000002E-5</v>
      </c>
      <c r="D1989">
        <v>2.9919362903225798E-2</v>
      </c>
    </row>
    <row r="1990" spans="1:4" x14ac:dyDescent="0.25">
      <c r="A1990" t="s">
        <v>1517</v>
      </c>
      <c r="B1990">
        <v>9.7000000000000003E-2</v>
      </c>
      <c r="C1990">
        <v>0</v>
      </c>
      <c r="D1990">
        <v>5.0370967741935495E-2</v>
      </c>
    </row>
    <row r="1991" spans="1:4" x14ac:dyDescent="0.25">
      <c r="A1991" t="s">
        <v>1188</v>
      </c>
      <c r="B1991">
        <v>9.7000000000000003E-2</v>
      </c>
      <c r="C1991">
        <v>0</v>
      </c>
      <c r="D1991">
        <v>3.99032258064516E-2</v>
      </c>
    </row>
    <row r="1992" spans="1:4" x14ac:dyDescent="0.25">
      <c r="A1992" t="s">
        <v>2501</v>
      </c>
      <c r="B1992">
        <v>9.7000000000000003E-2</v>
      </c>
      <c r="C1992">
        <v>0</v>
      </c>
      <c r="D1992">
        <v>3.6556451612903232E-2</v>
      </c>
    </row>
    <row r="1993" spans="1:4" x14ac:dyDescent="0.25">
      <c r="A1993" t="s">
        <v>62</v>
      </c>
      <c r="B1993">
        <v>9.69E-2</v>
      </c>
      <c r="C1993">
        <v>0</v>
      </c>
      <c r="D1993">
        <v>4.4950322580645172E-2</v>
      </c>
    </row>
    <row r="1994" spans="1:4" x14ac:dyDescent="0.25">
      <c r="A1994" t="s">
        <v>563</v>
      </c>
      <c r="B1994">
        <v>9.6500000000000002E-2</v>
      </c>
      <c r="C1994">
        <v>0</v>
      </c>
      <c r="D1994">
        <v>4.8178887096774189E-2</v>
      </c>
    </row>
    <row r="1995" spans="1:4" x14ac:dyDescent="0.25">
      <c r="A1995" t="s">
        <v>466</v>
      </c>
      <c r="B1995">
        <v>9.6460000000000004E-2</v>
      </c>
      <c r="C1995">
        <v>5.2440000000000001E-2</v>
      </c>
      <c r="D1995">
        <v>7.0118870967741914E-2</v>
      </c>
    </row>
    <row r="1996" spans="1:4" x14ac:dyDescent="0.25">
      <c r="A1996" t="s">
        <v>2833</v>
      </c>
      <c r="B1996">
        <v>9.6000000000000002E-2</v>
      </c>
      <c r="C1996">
        <v>0</v>
      </c>
      <c r="D1996">
        <v>5.4753225806451609E-2</v>
      </c>
    </row>
    <row r="1997" spans="1:4" x14ac:dyDescent="0.25">
      <c r="A1997" t="s">
        <v>891</v>
      </c>
      <c r="B1997">
        <v>9.6000000000000002E-2</v>
      </c>
      <c r="C1997">
        <v>2.8299999999999999E-2</v>
      </c>
      <c r="D1997">
        <v>6.041935483870968E-2</v>
      </c>
    </row>
    <row r="1998" spans="1:4" x14ac:dyDescent="0.25">
      <c r="A1998" t="s">
        <v>2571</v>
      </c>
      <c r="B1998">
        <v>9.6000000000000002E-2</v>
      </c>
      <c r="C1998">
        <v>0</v>
      </c>
      <c r="D1998">
        <v>6.2528387096774191E-2</v>
      </c>
    </row>
    <row r="1999" spans="1:4" x14ac:dyDescent="0.25">
      <c r="A1999" t="s">
        <v>2389</v>
      </c>
      <c r="B1999">
        <v>9.6000000000000002E-2</v>
      </c>
      <c r="C1999">
        <v>0</v>
      </c>
      <c r="D1999">
        <v>2.1437741935483871E-2</v>
      </c>
    </row>
    <row r="2000" spans="1:4" x14ac:dyDescent="0.25">
      <c r="A2000" t="s">
        <v>1716</v>
      </c>
      <c r="B2000">
        <v>9.5141000000000003E-2</v>
      </c>
      <c r="C2000">
        <v>0</v>
      </c>
      <c r="D2000">
        <v>6.9824064516129034E-2</v>
      </c>
    </row>
    <row r="2001" spans="1:4" x14ac:dyDescent="0.25">
      <c r="A2001" t="s">
        <v>423</v>
      </c>
      <c r="B2001">
        <v>9.5000000000000001E-2</v>
      </c>
      <c r="C2001">
        <v>2.5999999999999999E-2</v>
      </c>
      <c r="D2001">
        <v>5.5072580645161288E-2</v>
      </c>
    </row>
    <row r="2002" spans="1:4" x14ac:dyDescent="0.25">
      <c r="A2002" t="s">
        <v>984</v>
      </c>
      <c r="B2002">
        <v>9.5000000000000001E-2</v>
      </c>
      <c r="C2002">
        <v>0</v>
      </c>
      <c r="D2002">
        <v>4.8743548387096769E-2</v>
      </c>
    </row>
    <row r="2003" spans="1:4" x14ac:dyDescent="0.25">
      <c r="A2003" t="s">
        <v>904</v>
      </c>
      <c r="B2003">
        <v>9.4E-2</v>
      </c>
      <c r="C2003">
        <v>0</v>
      </c>
      <c r="D2003">
        <v>4.7302999999999998E-2</v>
      </c>
    </row>
    <row r="2004" spans="1:4" x14ac:dyDescent="0.25">
      <c r="A2004" t="s">
        <v>1099</v>
      </c>
      <c r="B2004">
        <v>9.4E-2</v>
      </c>
      <c r="C2004">
        <v>0</v>
      </c>
      <c r="D2004">
        <v>1.6191935483870965E-2</v>
      </c>
    </row>
    <row r="2005" spans="1:4" x14ac:dyDescent="0.25">
      <c r="A2005" t="s">
        <v>1718</v>
      </c>
      <c r="B2005">
        <v>9.4E-2</v>
      </c>
      <c r="C2005">
        <v>0</v>
      </c>
      <c r="D2005">
        <v>3.9477419354838714E-2</v>
      </c>
    </row>
    <row r="2006" spans="1:4" x14ac:dyDescent="0.25">
      <c r="A2006" t="s">
        <v>1276</v>
      </c>
      <c r="B2006">
        <v>9.3928999999999999E-2</v>
      </c>
      <c r="C2006">
        <v>0</v>
      </c>
      <c r="D2006">
        <v>6.1945225806451606E-2</v>
      </c>
    </row>
    <row r="2007" spans="1:4" x14ac:dyDescent="0.25">
      <c r="A2007" t="s">
        <v>1872</v>
      </c>
      <c r="B2007">
        <v>9.3600000000000003E-2</v>
      </c>
      <c r="C2007">
        <v>0</v>
      </c>
      <c r="D2007">
        <v>6.1959677419354833E-2</v>
      </c>
    </row>
    <row r="2008" spans="1:4" x14ac:dyDescent="0.25">
      <c r="A2008" t="s">
        <v>1632</v>
      </c>
      <c r="B2008">
        <v>9.3257999999999994E-2</v>
      </c>
      <c r="C2008">
        <v>0</v>
      </c>
      <c r="D2008">
        <v>5.067092741935484E-2</v>
      </c>
    </row>
    <row r="2009" spans="1:4" x14ac:dyDescent="0.25">
      <c r="A2009" t="s">
        <v>2909</v>
      </c>
      <c r="B2009">
        <v>9.2999999999999999E-2</v>
      </c>
      <c r="C2009">
        <v>0</v>
      </c>
      <c r="D2009">
        <v>6.2016129032258081E-2</v>
      </c>
    </row>
    <row r="2010" spans="1:4" x14ac:dyDescent="0.25">
      <c r="A2010" t="s">
        <v>79</v>
      </c>
      <c r="B2010">
        <v>9.2999999999999999E-2</v>
      </c>
      <c r="C2010">
        <v>0</v>
      </c>
      <c r="D2010">
        <v>7.7200806451612911E-2</v>
      </c>
    </row>
    <row r="2011" spans="1:4" x14ac:dyDescent="0.25">
      <c r="A2011" t="s">
        <v>894</v>
      </c>
      <c r="B2011">
        <v>9.2609999999999998E-2</v>
      </c>
      <c r="C2011">
        <v>0</v>
      </c>
      <c r="D2011">
        <v>3.9400137096774195E-2</v>
      </c>
    </row>
    <row r="2012" spans="1:4" x14ac:dyDescent="0.25">
      <c r="A2012" t="s">
        <v>57</v>
      </c>
      <c r="B2012">
        <v>9.1999999999999998E-2</v>
      </c>
      <c r="C2012">
        <v>0</v>
      </c>
      <c r="D2012">
        <v>3.9629032258064495E-2</v>
      </c>
    </row>
    <row r="2013" spans="1:4" x14ac:dyDescent="0.25">
      <c r="A2013" t="s">
        <v>163</v>
      </c>
      <c r="B2013">
        <v>9.1999999999999998E-2</v>
      </c>
      <c r="C2013">
        <v>0</v>
      </c>
      <c r="D2013">
        <v>4.3211290322580621E-2</v>
      </c>
    </row>
    <row r="2014" spans="1:4" x14ac:dyDescent="0.25">
      <c r="A2014" t="s">
        <v>2145</v>
      </c>
      <c r="B2014">
        <v>9.1999999999999998E-2</v>
      </c>
      <c r="C2014">
        <v>0</v>
      </c>
      <c r="D2014">
        <v>5.5975806451612889E-2</v>
      </c>
    </row>
    <row r="2015" spans="1:4" x14ac:dyDescent="0.25">
      <c r="A2015" t="s">
        <v>405</v>
      </c>
      <c r="B2015">
        <v>9.0899999999999995E-2</v>
      </c>
      <c r="C2015">
        <v>0</v>
      </c>
      <c r="D2015">
        <v>3.3712903225806452E-2</v>
      </c>
    </row>
    <row r="2016" spans="1:4" x14ac:dyDescent="0.25">
      <c r="A2016" t="s">
        <v>982</v>
      </c>
      <c r="B2016">
        <v>0.09</v>
      </c>
      <c r="C2016">
        <v>5.0999999999999997E-2</v>
      </c>
      <c r="D2016">
        <v>7.317741935483868E-2</v>
      </c>
    </row>
    <row r="2017" spans="1:4" x14ac:dyDescent="0.25">
      <c r="A2017" t="s">
        <v>529</v>
      </c>
      <c r="B2017">
        <v>0.09</v>
      </c>
      <c r="C2017">
        <v>0</v>
      </c>
      <c r="D2017">
        <v>8.8548387096774123E-2</v>
      </c>
    </row>
    <row r="2018" spans="1:4" x14ac:dyDescent="0.25">
      <c r="A2018" t="s">
        <v>743</v>
      </c>
      <c r="B2018">
        <v>0.09</v>
      </c>
      <c r="C2018">
        <v>0</v>
      </c>
      <c r="D2018">
        <v>4.7725806451612895E-2</v>
      </c>
    </row>
    <row r="2019" spans="1:4" x14ac:dyDescent="0.25">
      <c r="A2019" t="s">
        <v>1221</v>
      </c>
      <c r="B2019">
        <v>0.09</v>
      </c>
      <c r="C2019">
        <v>0</v>
      </c>
      <c r="D2019">
        <v>5.5250967741935497E-2</v>
      </c>
    </row>
    <row r="2020" spans="1:4" x14ac:dyDescent="0.25">
      <c r="A2020" t="s">
        <v>1420</v>
      </c>
      <c r="B2020">
        <v>8.9599999999999999E-2</v>
      </c>
      <c r="C2020">
        <v>3.5000000000000003E-2</v>
      </c>
      <c r="D2020">
        <v>6.2441129032258083E-2</v>
      </c>
    </row>
    <row r="2021" spans="1:4" x14ac:dyDescent="0.25">
      <c r="A2021" t="s">
        <v>2487</v>
      </c>
      <c r="B2021">
        <v>8.9330000000000007E-2</v>
      </c>
      <c r="C2021">
        <v>0</v>
      </c>
      <c r="D2021">
        <v>3.8028209677419357E-2</v>
      </c>
    </row>
    <row r="2022" spans="1:4" x14ac:dyDescent="0.25">
      <c r="A2022" t="s">
        <v>2075</v>
      </c>
      <c r="B2022">
        <v>8.8999999999999996E-2</v>
      </c>
      <c r="C2022">
        <v>0</v>
      </c>
      <c r="D2022">
        <v>4.995967741935483E-2</v>
      </c>
    </row>
    <row r="2023" spans="1:4" x14ac:dyDescent="0.25">
      <c r="A2023" t="s">
        <v>1576</v>
      </c>
      <c r="B2023">
        <v>8.8999999999999996E-2</v>
      </c>
      <c r="C2023">
        <v>3.9E-2</v>
      </c>
      <c r="D2023">
        <v>6.4016129032258048E-2</v>
      </c>
    </row>
    <row r="2024" spans="1:4" x14ac:dyDescent="0.25">
      <c r="A2024" t="s">
        <v>716</v>
      </c>
      <c r="B2024">
        <v>8.8800000000000004E-2</v>
      </c>
      <c r="C2024">
        <v>0</v>
      </c>
      <c r="D2024">
        <v>7.340241935483871E-2</v>
      </c>
    </row>
    <row r="2025" spans="1:4" x14ac:dyDescent="0.25">
      <c r="A2025" t="s">
        <v>991</v>
      </c>
      <c r="B2025">
        <v>8.8720999999999994E-2</v>
      </c>
      <c r="C2025">
        <v>3.0000000000000001E-3</v>
      </c>
      <c r="D2025">
        <v>4.1582000000000001E-2</v>
      </c>
    </row>
    <row r="2026" spans="1:4" x14ac:dyDescent="0.25">
      <c r="A2026" t="s">
        <v>2615</v>
      </c>
      <c r="B2026">
        <v>8.7999999999999995E-2</v>
      </c>
      <c r="C2026">
        <v>0</v>
      </c>
      <c r="D2026">
        <v>6.3822580645161303E-2</v>
      </c>
    </row>
    <row r="2027" spans="1:4" x14ac:dyDescent="0.25">
      <c r="A2027" t="s">
        <v>2046</v>
      </c>
      <c r="B2027">
        <v>8.7999999999999995E-2</v>
      </c>
      <c r="C2027">
        <v>0</v>
      </c>
      <c r="D2027">
        <v>4.3185483870967732E-2</v>
      </c>
    </row>
    <row r="2028" spans="1:4" x14ac:dyDescent="0.25">
      <c r="A2028" t="s">
        <v>2890</v>
      </c>
      <c r="B2028">
        <v>8.6999999999999994E-2</v>
      </c>
      <c r="C2028">
        <v>0</v>
      </c>
      <c r="D2028">
        <v>6.387096774193547E-3</v>
      </c>
    </row>
    <row r="2029" spans="1:4" x14ac:dyDescent="0.25">
      <c r="A2029" t="s">
        <v>679</v>
      </c>
      <c r="B2029">
        <v>8.6999999999999994E-2</v>
      </c>
      <c r="C2029">
        <v>0</v>
      </c>
      <c r="D2029">
        <v>4.4187903225806464E-2</v>
      </c>
    </row>
    <row r="2030" spans="1:4" x14ac:dyDescent="0.25">
      <c r="A2030" t="s">
        <v>1589</v>
      </c>
      <c r="B2030">
        <v>8.6999999999999994E-2</v>
      </c>
      <c r="C2030">
        <v>0</v>
      </c>
      <c r="D2030">
        <v>2.6096774193548396E-2</v>
      </c>
    </row>
    <row r="2031" spans="1:4" x14ac:dyDescent="0.25">
      <c r="A2031" t="s">
        <v>404</v>
      </c>
      <c r="B2031">
        <v>8.6999999999999994E-2</v>
      </c>
      <c r="C2031">
        <v>0</v>
      </c>
      <c r="D2031">
        <v>3.9589838709677409E-2</v>
      </c>
    </row>
    <row r="2032" spans="1:4" x14ac:dyDescent="0.25">
      <c r="A2032" t="s">
        <v>2632</v>
      </c>
      <c r="B2032">
        <v>8.6400000000000005E-2</v>
      </c>
      <c r="C2032">
        <v>5.7600000000000004E-3</v>
      </c>
      <c r="D2032">
        <v>5.5327258064516147E-2</v>
      </c>
    </row>
    <row r="2033" spans="1:4" x14ac:dyDescent="0.25">
      <c r="A2033" t="s">
        <v>736</v>
      </c>
      <c r="B2033">
        <v>8.5999999999999993E-2</v>
      </c>
      <c r="C2033">
        <v>0</v>
      </c>
      <c r="D2033">
        <v>6.7693548387096764E-2</v>
      </c>
    </row>
    <row r="2034" spans="1:4" x14ac:dyDescent="0.25">
      <c r="A2034" t="s">
        <v>1108</v>
      </c>
      <c r="B2034">
        <v>8.5999999999999993E-2</v>
      </c>
      <c r="C2034">
        <v>0</v>
      </c>
      <c r="D2034">
        <v>6.1540322580645151E-2</v>
      </c>
    </row>
    <row r="2035" spans="1:4" x14ac:dyDescent="0.25">
      <c r="A2035" t="s">
        <v>2325</v>
      </c>
      <c r="B2035">
        <v>8.5999999999999993E-2</v>
      </c>
      <c r="C2035">
        <v>0</v>
      </c>
      <c r="D2035">
        <v>4.4419354838709686E-2</v>
      </c>
    </row>
    <row r="2036" spans="1:4" x14ac:dyDescent="0.25">
      <c r="A2036" t="s">
        <v>2770</v>
      </c>
      <c r="B2036">
        <v>8.5459999999999994E-2</v>
      </c>
      <c r="C2036">
        <v>0</v>
      </c>
      <c r="D2036">
        <v>3.7771112903225809E-2</v>
      </c>
    </row>
    <row r="2037" spans="1:4" x14ac:dyDescent="0.25">
      <c r="A2037" t="s">
        <v>2493</v>
      </c>
      <c r="B2037">
        <v>8.5400000000000004E-2</v>
      </c>
      <c r="C2037">
        <v>0</v>
      </c>
      <c r="D2037">
        <v>2.1588887096774197E-2</v>
      </c>
    </row>
    <row r="2038" spans="1:4" x14ac:dyDescent="0.25">
      <c r="A2038" t="s">
        <v>783</v>
      </c>
      <c r="B2038">
        <v>8.5400000000000004E-2</v>
      </c>
      <c r="C2038">
        <v>0</v>
      </c>
      <c r="D2038">
        <v>4.7808064516129019E-2</v>
      </c>
    </row>
    <row r="2039" spans="1:4" x14ac:dyDescent="0.25">
      <c r="A2039" t="s">
        <v>2685</v>
      </c>
      <c r="B2039">
        <v>8.5000000000000006E-2</v>
      </c>
      <c r="C2039">
        <v>0</v>
      </c>
      <c r="D2039">
        <v>4.9354838709677419E-2</v>
      </c>
    </row>
    <row r="2040" spans="1:4" x14ac:dyDescent="0.25">
      <c r="A2040" t="s">
        <v>2433</v>
      </c>
      <c r="B2040">
        <v>8.5000000000000006E-2</v>
      </c>
      <c r="C2040">
        <v>0</v>
      </c>
      <c r="D2040">
        <v>5.4345161290322574E-2</v>
      </c>
    </row>
    <row r="2041" spans="1:4" x14ac:dyDescent="0.25">
      <c r="A2041" t="s">
        <v>810</v>
      </c>
      <c r="B2041">
        <v>8.5000000000000006E-2</v>
      </c>
      <c r="C2041">
        <v>0</v>
      </c>
      <c r="D2041">
        <v>2.718240322580643E-2</v>
      </c>
    </row>
    <row r="2042" spans="1:4" x14ac:dyDescent="0.25">
      <c r="A2042" t="s">
        <v>1350</v>
      </c>
      <c r="B2042">
        <v>8.5000000000000006E-2</v>
      </c>
      <c r="C2042">
        <v>0</v>
      </c>
      <c r="D2042">
        <v>4.8314516129032266E-2</v>
      </c>
    </row>
    <row r="2043" spans="1:4" x14ac:dyDescent="0.25">
      <c r="A2043" t="s">
        <v>861</v>
      </c>
      <c r="B2043">
        <v>8.48E-2</v>
      </c>
      <c r="C2043">
        <v>0</v>
      </c>
      <c r="D2043">
        <v>1.4165967741935489E-2</v>
      </c>
    </row>
    <row r="2044" spans="1:4" x14ac:dyDescent="0.25">
      <c r="A2044" t="s">
        <v>2499</v>
      </c>
      <c r="B2044">
        <v>8.4690000000000001E-2</v>
      </c>
      <c r="C2044">
        <v>0</v>
      </c>
      <c r="D2044">
        <v>2.0991370967741934E-2</v>
      </c>
    </row>
    <row r="2045" spans="1:4" x14ac:dyDescent="0.25">
      <c r="A2045" t="s">
        <v>480</v>
      </c>
      <c r="B2045">
        <v>8.4000000000000005E-2</v>
      </c>
      <c r="C2045">
        <v>0</v>
      </c>
      <c r="D2045">
        <v>3.7185483870967734E-2</v>
      </c>
    </row>
    <row r="2046" spans="1:4" x14ac:dyDescent="0.25">
      <c r="A2046" t="s">
        <v>940</v>
      </c>
      <c r="B2046">
        <v>8.4000000000000005E-2</v>
      </c>
      <c r="C2046">
        <v>0</v>
      </c>
      <c r="D2046">
        <v>3.3252016129032246E-2</v>
      </c>
    </row>
    <row r="2047" spans="1:4" x14ac:dyDescent="0.25">
      <c r="A2047" t="s">
        <v>2917</v>
      </c>
      <c r="B2047">
        <v>8.4000000000000005E-2</v>
      </c>
      <c r="C2047">
        <v>0</v>
      </c>
      <c r="D2047">
        <v>5.7842741935483895E-2</v>
      </c>
    </row>
    <row r="2048" spans="1:4" x14ac:dyDescent="0.25">
      <c r="A2048" t="s">
        <v>675</v>
      </c>
      <c r="B2048">
        <v>8.3099999999999993E-2</v>
      </c>
      <c r="C2048">
        <v>0</v>
      </c>
      <c r="D2048">
        <v>5.0787096774193533E-2</v>
      </c>
    </row>
    <row r="2049" spans="1:4" x14ac:dyDescent="0.25">
      <c r="A2049" t="s">
        <v>85</v>
      </c>
      <c r="B2049">
        <v>8.3000000000000004E-2</v>
      </c>
      <c r="C2049">
        <v>1.9E-2</v>
      </c>
      <c r="D2049">
        <v>4.5774193548387111E-2</v>
      </c>
    </row>
    <row r="2050" spans="1:4" x14ac:dyDescent="0.25">
      <c r="A2050" t="s">
        <v>445</v>
      </c>
      <c r="B2050">
        <v>8.3000000000000004E-2</v>
      </c>
      <c r="C2050">
        <v>0</v>
      </c>
      <c r="D2050">
        <v>4.5403225806451605E-2</v>
      </c>
    </row>
    <row r="2051" spans="1:4" x14ac:dyDescent="0.25">
      <c r="A2051" t="s">
        <v>902</v>
      </c>
      <c r="B2051">
        <v>8.3000000000000004E-2</v>
      </c>
      <c r="C2051">
        <v>0</v>
      </c>
      <c r="D2051">
        <v>3.6827419354838693E-2</v>
      </c>
    </row>
    <row r="2052" spans="1:4" x14ac:dyDescent="0.25">
      <c r="A2052" t="s">
        <v>1564</v>
      </c>
      <c r="B2052">
        <v>8.2000000000000003E-2</v>
      </c>
      <c r="C2052">
        <v>0</v>
      </c>
      <c r="D2052">
        <v>5.5225806451612909E-2</v>
      </c>
    </row>
    <row r="2053" spans="1:4" x14ac:dyDescent="0.25">
      <c r="A2053" t="s">
        <v>2901</v>
      </c>
      <c r="B2053">
        <v>8.2000000000000003E-2</v>
      </c>
      <c r="C2053">
        <v>0</v>
      </c>
      <c r="D2053">
        <v>2.6991935483870973E-2</v>
      </c>
    </row>
    <row r="2054" spans="1:4" x14ac:dyDescent="0.25">
      <c r="A2054" t="s">
        <v>2550</v>
      </c>
      <c r="B2054">
        <v>8.1020999999999996E-2</v>
      </c>
      <c r="C2054">
        <v>0</v>
      </c>
      <c r="D2054">
        <v>4.4839709677419355E-2</v>
      </c>
    </row>
    <row r="2055" spans="1:4" x14ac:dyDescent="0.25">
      <c r="A2055" t="s">
        <v>2754</v>
      </c>
      <c r="B2055">
        <v>8.1000000000000003E-2</v>
      </c>
      <c r="C2055">
        <v>0</v>
      </c>
      <c r="D2055">
        <v>6.0098387096774196E-2</v>
      </c>
    </row>
    <row r="2056" spans="1:4" x14ac:dyDescent="0.25">
      <c r="A2056" t="s">
        <v>649</v>
      </c>
      <c r="B2056">
        <v>0.08</v>
      </c>
      <c r="C2056">
        <v>0</v>
      </c>
      <c r="D2056">
        <v>2.814516129032258E-2</v>
      </c>
    </row>
    <row r="2057" spans="1:4" x14ac:dyDescent="0.25">
      <c r="A2057" t="s">
        <v>868</v>
      </c>
      <c r="B2057">
        <v>0.08</v>
      </c>
      <c r="C2057">
        <v>0</v>
      </c>
      <c r="D2057">
        <v>3.2124193548387109E-2</v>
      </c>
    </row>
    <row r="2058" spans="1:4" x14ac:dyDescent="0.25">
      <c r="A2058" t="s">
        <v>1960</v>
      </c>
      <c r="B2058">
        <v>0.08</v>
      </c>
      <c r="C2058">
        <v>0</v>
      </c>
      <c r="D2058">
        <v>2.9435483870967744E-2</v>
      </c>
    </row>
    <row r="2059" spans="1:4" x14ac:dyDescent="0.25">
      <c r="A2059" t="s">
        <v>2272</v>
      </c>
      <c r="B2059">
        <v>0.08</v>
      </c>
      <c r="C2059">
        <v>0</v>
      </c>
      <c r="D2059">
        <v>4.2820112903225814E-2</v>
      </c>
    </row>
    <row r="2060" spans="1:4" x14ac:dyDescent="0.25">
      <c r="A2060" t="s">
        <v>2129</v>
      </c>
      <c r="B2060">
        <v>7.9435000000000006E-2</v>
      </c>
      <c r="C2060">
        <v>4.9000000000000002E-2</v>
      </c>
      <c r="D2060">
        <v>6.7494758064516103E-2</v>
      </c>
    </row>
    <row r="2061" spans="1:4" x14ac:dyDescent="0.25">
      <c r="A2061" t="s">
        <v>846</v>
      </c>
      <c r="B2061">
        <v>7.9000000000000001E-2</v>
      </c>
      <c r="C2061">
        <v>0</v>
      </c>
      <c r="D2061">
        <v>4.4572580645161286E-2</v>
      </c>
    </row>
    <row r="2062" spans="1:4" x14ac:dyDescent="0.25">
      <c r="A2062" t="s">
        <v>2546</v>
      </c>
      <c r="B2062">
        <v>7.9000000000000001E-2</v>
      </c>
      <c r="C2062">
        <v>0</v>
      </c>
      <c r="D2062">
        <v>3.6290322580645164E-2</v>
      </c>
    </row>
    <row r="2063" spans="1:4" x14ac:dyDescent="0.25">
      <c r="A2063" t="s">
        <v>2334</v>
      </c>
      <c r="B2063">
        <v>7.9000000000000001E-2</v>
      </c>
      <c r="C2063">
        <v>0.02</v>
      </c>
      <c r="D2063">
        <v>4.6725806451612908E-2</v>
      </c>
    </row>
    <row r="2064" spans="1:4" x14ac:dyDescent="0.25">
      <c r="A2064" t="s">
        <v>1764</v>
      </c>
      <c r="B2064">
        <v>7.8289999999999998E-2</v>
      </c>
      <c r="C2064">
        <v>0</v>
      </c>
      <c r="D2064">
        <v>2.2460483870967746E-2</v>
      </c>
    </row>
    <row r="2065" spans="1:4" x14ac:dyDescent="0.25">
      <c r="A2065" t="s">
        <v>1164</v>
      </c>
      <c r="B2065">
        <v>7.8E-2</v>
      </c>
      <c r="C2065">
        <v>0</v>
      </c>
      <c r="D2065">
        <v>3.7403225806451598E-2</v>
      </c>
    </row>
    <row r="2066" spans="1:4" x14ac:dyDescent="0.25">
      <c r="A2066" t="s">
        <v>2884</v>
      </c>
      <c r="B2066">
        <v>7.8E-2</v>
      </c>
      <c r="C2066">
        <v>0</v>
      </c>
      <c r="D2066">
        <v>4.3658064516129039E-2</v>
      </c>
    </row>
    <row r="2067" spans="1:4" x14ac:dyDescent="0.25">
      <c r="A2067" t="s">
        <v>2252</v>
      </c>
      <c r="B2067">
        <v>7.8E-2</v>
      </c>
      <c r="C2067">
        <v>0</v>
      </c>
      <c r="D2067">
        <v>4.7500000000000001E-2</v>
      </c>
    </row>
    <row r="2068" spans="1:4" x14ac:dyDescent="0.25">
      <c r="A2068" t="s">
        <v>1763</v>
      </c>
      <c r="B2068">
        <v>7.7939999999999995E-2</v>
      </c>
      <c r="C2068">
        <v>0</v>
      </c>
      <c r="D2068">
        <v>5.6055282258064533E-2</v>
      </c>
    </row>
    <row r="2069" spans="1:4" x14ac:dyDescent="0.25">
      <c r="A2069" t="s">
        <v>693</v>
      </c>
      <c r="B2069">
        <v>7.7600000000000002E-2</v>
      </c>
      <c r="C2069">
        <v>0</v>
      </c>
      <c r="D2069">
        <v>4.4140806451612898E-2</v>
      </c>
    </row>
    <row r="2070" spans="1:4" x14ac:dyDescent="0.25">
      <c r="A2070" t="s">
        <v>957</v>
      </c>
      <c r="B2070">
        <v>7.6999999999999999E-2</v>
      </c>
      <c r="C2070">
        <v>0</v>
      </c>
      <c r="D2070">
        <v>2.5854838709677419E-2</v>
      </c>
    </row>
    <row r="2071" spans="1:4" x14ac:dyDescent="0.25">
      <c r="A2071" t="s">
        <v>363</v>
      </c>
      <c r="B2071">
        <v>7.6999999999999999E-2</v>
      </c>
      <c r="C2071">
        <v>0</v>
      </c>
      <c r="D2071">
        <v>3.6782258064516127E-2</v>
      </c>
    </row>
    <row r="2072" spans="1:4" x14ac:dyDescent="0.25">
      <c r="A2072" t="s">
        <v>2331</v>
      </c>
      <c r="B2072">
        <v>7.6271000000000005E-2</v>
      </c>
      <c r="C2072">
        <v>0</v>
      </c>
      <c r="D2072">
        <v>4.2351064516129008E-2</v>
      </c>
    </row>
    <row r="2073" spans="1:4" x14ac:dyDescent="0.25">
      <c r="A2073" t="s">
        <v>1348</v>
      </c>
      <c r="B2073">
        <v>7.6200000000000004E-2</v>
      </c>
      <c r="C2073">
        <v>0</v>
      </c>
      <c r="D2073">
        <v>4.2466129032258083E-2</v>
      </c>
    </row>
    <row r="2074" spans="1:4" x14ac:dyDescent="0.25">
      <c r="A2074" t="s">
        <v>2824</v>
      </c>
      <c r="B2074">
        <v>7.5999999999999998E-2</v>
      </c>
      <c r="C2074">
        <v>0</v>
      </c>
      <c r="D2074">
        <v>4.4822580645161293E-2</v>
      </c>
    </row>
    <row r="2075" spans="1:4" x14ac:dyDescent="0.25">
      <c r="A2075" t="s">
        <v>735</v>
      </c>
      <c r="B2075">
        <v>7.5999999999999998E-2</v>
      </c>
      <c r="C2075">
        <v>0</v>
      </c>
      <c r="D2075">
        <v>4.4388887096774188E-2</v>
      </c>
    </row>
    <row r="2076" spans="1:4" x14ac:dyDescent="0.25">
      <c r="A2076" t="s">
        <v>937</v>
      </c>
      <c r="B2076">
        <v>7.5999999999999998E-2</v>
      </c>
      <c r="C2076">
        <v>0</v>
      </c>
      <c r="D2076">
        <v>4.7846774193548394E-2</v>
      </c>
    </row>
    <row r="2077" spans="1:4" x14ac:dyDescent="0.25">
      <c r="A2077" t="s">
        <v>1137</v>
      </c>
      <c r="B2077">
        <v>7.5999999999999998E-2</v>
      </c>
      <c r="C2077">
        <v>0</v>
      </c>
      <c r="D2077">
        <v>3.0077419354838715E-2</v>
      </c>
    </row>
    <row r="2078" spans="1:4" x14ac:dyDescent="0.25">
      <c r="A2078" t="s">
        <v>776</v>
      </c>
      <c r="B2078">
        <v>7.5999999999999998E-2</v>
      </c>
      <c r="C2078">
        <v>1E-3</v>
      </c>
      <c r="D2078">
        <v>3.4219354838709665E-2</v>
      </c>
    </row>
    <row r="2079" spans="1:4" x14ac:dyDescent="0.25">
      <c r="A2079" t="s">
        <v>169</v>
      </c>
      <c r="B2079">
        <v>7.5499999999999998E-2</v>
      </c>
      <c r="C2079">
        <v>0</v>
      </c>
      <c r="D2079">
        <v>4.1690322580645138E-2</v>
      </c>
    </row>
    <row r="2080" spans="1:4" x14ac:dyDescent="0.25">
      <c r="A2080" t="s">
        <v>836</v>
      </c>
      <c r="B2080">
        <v>7.5346999999999997E-2</v>
      </c>
      <c r="C2080">
        <v>1.6632999999999998E-2</v>
      </c>
      <c r="D2080">
        <v>3.8777112903225788E-2</v>
      </c>
    </row>
    <row r="2081" spans="1:4" x14ac:dyDescent="0.25">
      <c r="A2081" t="s">
        <v>1507</v>
      </c>
      <c r="B2081">
        <v>7.4999999999999997E-2</v>
      </c>
      <c r="C2081">
        <v>0</v>
      </c>
      <c r="D2081">
        <v>3.0008064516129029E-2</v>
      </c>
    </row>
    <row r="2082" spans="1:4" x14ac:dyDescent="0.25">
      <c r="A2082" t="s">
        <v>2418</v>
      </c>
      <c r="B2082">
        <v>7.4999999999999997E-2</v>
      </c>
      <c r="C2082">
        <v>0</v>
      </c>
      <c r="D2082">
        <v>5.3671774193548384E-2</v>
      </c>
    </row>
    <row r="2083" spans="1:4" x14ac:dyDescent="0.25">
      <c r="A2083" t="s">
        <v>634</v>
      </c>
      <c r="B2083">
        <v>7.4999999999999997E-2</v>
      </c>
      <c r="C2083">
        <v>0</v>
      </c>
      <c r="D2083">
        <v>5.0519354838709674E-2</v>
      </c>
    </row>
    <row r="2084" spans="1:4" x14ac:dyDescent="0.25">
      <c r="A2084" t="s">
        <v>2605</v>
      </c>
      <c r="B2084">
        <v>7.4740000000000001E-2</v>
      </c>
      <c r="C2084">
        <v>0</v>
      </c>
      <c r="D2084">
        <v>1.9583822580645158E-2</v>
      </c>
    </row>
    <row r="2085" spans="1:4" x14ac:dyDescent="0.25">
      <c r="A2085" t="s">
        <v>1387</v>
      </c>
      <c r="B2085">
        <v>7.46E-2</v>
      </c>
      <c r="C2085">
        <v>0</v>
      </c>
      <c r="D2085">
        <v>5.6258870967741945E-2</v>
      </c>
    </row>
    <row r="2086" spans="1:4" x14ac:dyDescent="0.25">
      <c r="A2086" t="s">
        <v>1637</v>
      </c>
      <c r="B2086">
        <v>7.3999999999999996E-2</v>
      </c>
      <c r="C2086">
        <v>0.03</v>
      </c>
      <c r="D2086">
        <v>6.0121774193548375E-2</v>
      </c>
    </row>
    <row r="2087" spans="1:4" x14ac:dyDescent="0.25">
      <c r="A2087" t="s">
        <v>272</v>
      </c>
      <c r="B2087">
        <v>7.3999999999999996E-2</v>
      </c>
      <c r="C2087">
        <v>0.01</v>
      </c>
      <c r="D2087">
        <v>3.3709677419354836E-2</v>
      </c>
    </row>
    <row r="2088" spans="1:4" x14ac:dyDescent="0.25">
      <c r="A2088" t="s">
        <v>2323</v>
      </c>
      <c r="B2088">
        <v>7.3999999999999996E-2</v>
      </c>
      <c r="C2088">
        <v>0</v>
      </c>
      <c r="D2088">
        <v>4.2435483870967745E-2</v>
      </c>
    </row>
    <row r="2089" spans="1:4" x14ac:dyDescent="0.25">
      <c r="A2089" t="s">
        <v>1154</v>
      </c>
      <c r="B2089">
        <v>7.3999999999999996E-2</v>
      </c>
      <c r="C2089">
        <v>1.6E-2</v>
      </c>
      <c r="D2089">
        <v>4.9798387096774192E-2</v>
      </c>
    </row>
    <row r="2090" spans="1:4" x14ac:dyDescent="0.25">
      <c r="A2090" t="s">
        <v>2434</v>
      </c>
      <c r="B2090">
        <v>7.3499999999999996E-2</v>
      </c>
      <c r="C2090">
        <v>0</v>
      </c>
      <c r="D2090">
        <v>4.5953225806451621E-2</v>
      </c>
    </row>
    <row r="2091" spans="1:4" x14ac:dyDescent="0.25">
      <c r="A2091" t="s">
        <v>2502</v>
      </c>
      <c r="B2091">
        <v>7.3452000000000003E-2</v>
      </c>
      <c r="C2091">
        <v>0</v>
      </c>
      <c r="D2091">
        <v>2.1983290322580645E-2</v>
      </c>
    </row>
    <row r="2092" spans="1:4" x14ac:dyDescent="0.25">
      <c r="A2092" t="s">
        <v>1285</v>
      </c>
      <c r="B2092">
        <v>7.2999999999999995E-2</v>
      </c>
      <c r="C2092">
        <v>0</v>
      </c>
      <c r="D2092">
        <v>2.3298387096774197E-2</v>
      </c>
    </row>
    <row r="2093" spans="1:4" x14ac:dyDescent="0.25">
      <c r="A2093" t="s">
        <v>844</v>
      </c>
      <c r="B2093">
        <v>7.1999999999999995E-2</v>
      </c>
      <c r="C2093">
        <v>0</v>
      </c>
      <c r="D2093">
        <v>1.7278225806451619E-2</v>
      </c>
    </row>
    <row r="2094" spans="1:4" x14ac:dyDescent="0.25">
      <c r="A2094" t="s">
        <v>886</v>
      </c>
      <c r="B2094">
        <v>7.1999999999999995E-2</v>
      </c>
      <c r="C2094">
        <v>0</v>
      </c>
      <c r="D2094">
        <v>2.9522580645161289E-2</v>
      </c>
    </row>
    <row r="2095" spans="1:4" x14ac:dyDescent="0.25">
      <c r="A2095" t="s">
        <v>2081</v>
      </c>
      <c r="B2095">
        <v>7.1999999999999995E-2</v>
      </c>
      <c r="C2095">
        <v>0</v>
      </c>
      <c r="D2095">
        <v>4.6225806451612922E-2</v>
      </c>
    </row>
    <row r="2096" spans="1:4" x14ac:dyDescent="0.25">
      <c r="A2096" t="s">
        <v>1394</v>
      </c>
      <c r="B2096">
        <v>7.1999999999999995E-2</v>
      </c>
      <c r="C2096">
        <v>0</v>
      </c>
      <c r="D2096">
        <v>4.3513709677419361E-2</v>
      </c>
    </row>
    <row r="2097" spans="1:4" x14ac:dyDescent="0.25">
      <c r="A2097" t="s">
        <v>715</v>
      </c>
      <c r="B2097">
        <v>7.1900000000000006E-2</v>
      </c>
      <c r="C2097">
        <v>0</v>
      </c>
      <c r="D2097">
        <v>4.5250806451612877E-2</v>
      </c>
    </row>
    <row r="2098" spans="1:4" x14ac:dyDescent="0.25">
      <c r="A2098" t="s">
        <v>1583</v>
      </c>
      <c r="B2098">
        <v>7.0999999999999994E-2</v>
      </c>
      <c r="C2098">
        <v>0</v>
      </c>
      <c r="D2098">
        <v>3.7364838709677425E-2</v>
      </c>
    </row>
    <row r="2099" spans="1:4" x14ac:dyDescent="0.25">
      <c r="A2099" t="s">
        <v>1604</v>
      </c>
      <c r="B2099">
        <v>7.0000000000000007E-2</v>
      </c>
      <c r="C2099">
        <v>0</v>
      </c>
      <c r="D2099">
        <v>6.871935483870964E-2</v>
      </c>
    </row>
    <row r="2100" spans="1:4" x14ac:dyDescent="0.25">
      <c r="A2100" t="s">
        <v>151</v>
      </c>
      <c r="B2100">
        <v>7.0000000000000007E-2</v>
      </c>
      <c r="C2100">
        <v>0</v>
      </c>
      <c r="D2100">
        <v>3.4869193548387099E-2</v>
      </c>
    </row>
    <row r="2101" spans="1:4" x14ac:dyDescent="0.25">
      <c r="A2101" t="s">
        <v>1645</v>
      </c>
      <c r="B2101">
        <v>7.0000000000000007E-2</v>
      </c>
      <c r="C2101">
        <v>0</v>
      </c>
      <c r="D2101">
        <v>6.8870967741935449E-2</v>
      </c>
    </row>
    <row r="2102" spans="1:4" x14ac:dyDescent="0.25">
      <c r="A2102" t="s">
        <v>67</v>
      </c>
      <c r="B2102">
        <v>7.0000000000000007E-2</v>
      </c>
      <c r="C2102">
        <v>0</v>
      </c>
      <c r="D2102">
        <v>5.3427419354838704E-2</v>
      </c>
    </row>
    <row r="2103" spans="1:4" x14ac:dyDescent="0.25">
      <c r="A2103" t="s">
        <v>1351</v>
      </c>
      <c r="B2103">
        <v>7.0000000000000007E-2</v>
      </c>
      <c r="C2103">
        <v>0</v>
      </c>
      <c r="D2103">
        <v>3.0838709677419356E-2</v>
      </c>
    </row>
    <row r="2104" spans="1:4" x14ac:dyDescent="0.25">
      <c r="A2104" t="s">
        <v>947</v>
      </c>
      <c r="B2104">
        <v>6.9870000000000002E-2</v>
      </c>
      <c r="C2104">
        <v>0</v>
      </c>
      <c r="D2104">
        <v>4.4001362903225795E-2</v>
      </c>
    </row>
    <row r="2105" spans="1:4" x14ac:dyDescent="0.25">
      <c r="A2105" t="s">
        <v>1462</v>
      </c>
      <c r="B2105">
        <v>6.9400000000000003E-2</v>
      </c>
      <c r="C2105">
        <v>4.3499999999999997E-2</v>
      </c>
      <c r="D2105">
        <v>5.3745967741935477E-2</v>
      </c>
    </row>
    <row r="2106" spans="1:4" x14ac:dyDescent="0.25">
      <c r="A2106" t="s">
        <v>2255</v>
      </c>
      <c r="B2106">
        <v>6.9199999999999998E-2</v>
      </c>
      <c r="C2106">
        <v>0</v>
      </c>
      <c r="D2106">
        <v>4.4190322580645154E-2</v>
      </c>
    </row>
    <row r="2107" spans="1:4" x14ac:dyDescent="0.25">
      <c r="A2107" t="s">
        <v>395</v>
      </c>
      <c r="B2107">
        <v>6.9099999999999995E-2</v>
      </c>
      <c r="C2107">
        <v>7.4000000000000003E-3</v>
      </c>
      <c r="D2107">
        <v>3.2574193548387094E-2</v>
      </c>
    </row>
    <row r="2108" spans="1:4" x14ac:dyDescent="0.25">
      <c r="A2108" t="s">
        <v>135</v>
      </c>
      <c r="B2108">
        <v>6.9000000000000006E-2</v>
      </c>
      <c r="C2108">
        <v>0</v>
      </c>
      <c r="D2108">
        <v>4.7153225806451593E-2</v>
      </c>
    </row>
    <row r="2109" spans="1:4" x14ac:dyDescent="0.25">
      <c r="A2109" t="s">
        <v>2128</v>
      </c>
      <c r="B2109">
        <v>6.9000000000000006E-2</v>
      </c>
      <c r="C2109">
        <v>0</v>
      </c>
      <c r="D2109">
        <v>4.3903225806451611E-2</v>
      </c>
    </row>
    <row r="2110" spans="1:4" x14ac:dyDescent="0.25">
      <c r="A2110" t="s">
        <v>2454</v>
      </c>
      <c r="B2110">
        <v>6.9000000000000006E-2</v>
      </c>
      <c r="C2110">
        <v>0</v>
      </c>
      <c r="D2110">
        <v>3.2177419354838713E-2</v>
      </c>
    </row>
    <row r="2111" spans="1:4" x14ac:dyDescent="0.25">
      <c r="A2111" t="s">
        <v>2717</v>
      </c>
      <c r="B2111">
        <v>6.8699999999999997E-2</v>
      </c>
      <c r="C2111">
        <v>0</v>
      </c>
      <c r="D2111">
        <v>4.1999193548387118E-2</v>
      </c>
    </row>
    <row r="2112" spans="1:4" x14ac:dyDescent="0.25">
      <c r="A2112" t="s">
        <v>2420</v>
      </c>
      <c r="B2112">
        <v>6.8000000000000005E-2</v>
      </c>
      <c r="C2112">
        <v>0</v>
      </c>
      <c r="D2112">
        <v>3.8137096774193538E-2</v>
      </c>
    </row>
    <row r="2113" spans="1:4" x14ac:dyDescent="0.25">
      <c r="A2113" t="s">
        <v>2538</v>
      </c>
      <c r="B2113">
        <v>6.8000000000000005E-2</v>
      </c>
      <c r="C2113">
        <v>1.2999999999999999E-3</v>
      </c>
      <c r="D2113">
        <v>2.2683870967741934E-2</v>
      </c>
    </row>
    <row r="2114" spans="1:4" x14ac:dyDescent="0.25">
      <c r="A2114" t="s">
        <v>778</v>
      </c>
      <c r="B2114">
        <v>6.8000000000000005E-2</v>
      </c>
      <c r="C2114">
        <v>0</v>
      </c>
      <c r="D2114">
        <v>3.7298387096774195E-2</v>
      </c>
    </row>
    <row r="2115" spans="1:4" x14ac:dyDescent="0.25">
      <c r="A2115" t="s">
        <v>2484</v>
      </c>
      <c r="B2115">
        <v>6.787E-2</v>
      </c>
      <c r="C2115">
        <v>0</v>
      </c>
      <c r="D2115">
        <v>4.9779629032258042E-2</v>
      </c>
    </row>
    <row r="2116" spans="1:4" x14ac:dyDescent="0.25">
      <c r="A2116" t="s">
        <v>2435</v>
      </c>
      <c r="B2116">
        <v>6.7822999999999994E-2</v>
      </c>
      <c r="C2116">
        <v>0</v>
      </c>
      <c r="D2116">
        <v>5.5458072580645154E-2</v>
      </c>
    </row>
    <row r="2117" spans="1:4" x14ac:dyDescent="0.25">
      <c r="A2117" t="s">
        <v>1727</v>
      </c>
      <c r="B2117">
        <v>6.7110000000000003E-2</v>
      </c>
      <c r="C2117">
        <v>0</v>
      </c>
      <c r="D2117">
        <v>4.5711387096774192E-2</v>
      </c>
    </row>
    <row r="2118" spans="1:4" x14ac:dyDescent="0.25">
      <c r="A2118" t="s">
        <v>2745</v>
      </c>
      <c r="B2118">
        <v>6.7007999999999998E-2</v>
      </c>
      <c r="C2118">
        <v>0</v>
      </c>
      <c r="D2118">
        <v>3.687975806451613E-3</v>
      </c>
    </row>
    <row r="2119" spans="1:4" x14ac:dyDescent="0.25">
      <c r="A2119" t="s">
        <v>1618</v>
      </c>
      <c r="B2119">
        <v>6.7000000000000004E-2</v>
      </c>
      <c r="C2119">
        <v>0</v>
      </c>
      <c r="D2119">
        <v>2.3814516129032241E-2</v>
      </c>
    </row>
    <row r="2120" spans="1:4" x14ac:dyDescent="0.25">
      <c r="A2120" t="s">
        <v>1342</v>
      </c>
      <c r="B2120">
        <v>6.7000000000000004E-2</v>
      </c>
      <c r="C2120">
        <v>3.8999999999999998E-3</v>
      </c>
      <c r="D2120">
        <v>3.1549838709677418E-2</v>
      </c>
    </row>
    <row r="2121" spans="1:4" x14ac:dyDescent="0.25">
      <c r="A2121" t="s">
        <v>1501</v>
      </c>
      <c r="B2121">
        <v>6.7000000000000004E-2</v>
      </c>
      <c r="C2121">
        <v>0</v>
      </c>
      <c r="D2121">
        <v>2.1506451612903217E-2</v>
      </c>
    </row>
    <row r="2122" spans="1:4" x14ac:dyDescent="0.25">
      <c r="A2122" t="s">
        <v>274</v>
      </c>
      <c r="B2122">
        <v>6.7000000000000004E-2</v>
      </c>
      <c r="C2122">
        <v>1.6E-2</v>
      </c>
      <c r="D2122">
        <v>3.6580645161290302E-2</v>
      </c>
    </row>
    <row r="2123" spans="1:4" x14ac:dyDescent="0.25">
      <c r="A2123" t="s">
        <v>1096</v>
      </c>
      <c r="B2123">
        <v>6.7000000000000004E-2</v>
      </c>
      <c r="C2123">
        <v>0</v>
      </c>
      <c r="D2123">
        <v>2.6685483870967742E-2</v>
      </c>
    </row>
    <row r="2124" spans="1:4" x14ac:dyDescent="0.25">
      <c r="A2124" t="s">
        <v>1234</v>
      </c>
      <c r="B2124">
        <v>6.6900000000000001E-2</v>
      </c>
      <c r="C2124">
        <v>4.9500000000000002E-2</v>
      </c>
      <c r="D2124">
        <v>5.7073790322580649E-2</v>
      </c>
    </row>
    <row r="2125" spans="1:4" x14ac:dyDescent="0.25">
      <c r="A2125" t="s">
        <v>2660</v>
      </c>
      <c r="B2125">
        <v>6.6799999999999998E-2</v>
      </c>
      <c r="C2125">
        <v>0</v>
      </c>
      <c r="D2125">
        <v>2.5992741935483853E-2</v>
      </c>
    </row>
    <row r="2126" spans="1:4" x14ac:dyDescent="0.25">
      <c r="A2126" t="s">
        <v>993</v>
      </c>
      <c r="B2126">
        <v>6.6199999999999995E-2</v>
      </c>
      <c r="C2126">
        <v>0</v>
      </c>
      <c r="D2126">
        <v>3.896629032258065E-2</v>
      </c>
    </row>
    <row r="2127" spans="1:4" x14ac:dyDescent="0.25">
      <c r="A2127" t="s">
        <v>1378</v>
      </c>
      <c r="B2127">
        <v>6.6000000000000003E-2</v>
      </c>
      <c r="C2127">
        <v>0</v>
      </c>
      <c r="D2127">
        <v>4.9403225806451626E-3</v>
      </c>
    </row>
    <row r="2128" spans="1:4" x14ac:dyDescent="0.25">
      <c r="A2128" t="s">
        <v>1083</v>
      </c>
      <c r="B2128">
        <v>6.6000000000000003E-2</v>
      </c>
      <c r="C2128">
        <v>0</v>
      </c>
      <c r="D2128">
        <v>4.3427419354838716E-2</v>
      </c>
    </row>
    <row r="2129" spans="1:4" x14ac:dyDescent="0.25">
      <c r="A2129" t="s">
        <v>2447</v>
      </c>
      <c r="B2129">
        <v>6.6000000000000003E-2</v>
      </c>
      <c r="C2129">
        <v>0</v>
      </c>
      <c r="D2129">
        <v>5.0481612903225802E-2</v>
      </c>
    </row>
    <row r="2130" spans="1:4" x14ac:dyDescent="0.25">
      <c r="A2130" t="s">
        <v>2277</v>
      </c>
      <c r="B2130">
        <v>6.6000000000000003E-2</v>
      </c>
      <c r="C2130">
        <v>0</v>
      </c>
      <c r="D2130">
        <v>3.9320967741935484E-2</v>
      </c>
    </row>
    <row r="2131" spans="1:4" x14ac:dyDescent="0.25">
      <c r="A2131" t="s">
        <v>1717</v>
      </c>
      <c r="B2131">
        <v>6.6000000000000003E-2</v>
      </c>
      <c r="C2131">
        <v>0</v>
      </c>
      <c r="D2131">
        <v>1.7341935483870974E-2</v>
      </c>
    </row>
    <row r="2132" spans="1:4" x14ac:dyDescent="0.25">
      <c r="A2132" t="s">
        <v>1153</v>
      </c>
      <c r="B2132">
        <v>6.5699999999999995E-2</v>
      </c>
      <c r="C2132">
        <v>0</v>
      </c>
      <c r="D2132">
        <v>2.6739516129032255E-2</v>
      </c>
    </row>
    <row r="2133" spans="1:4" x14ac:dyDescent="0.25">
      <c r="A2133" t="s">
        <v>2762</v>
      </c>
      <c r="B2133">
        <v>6.54E-2</v>
      </c>
      <c r="C2133">
        <v>0</v>
      </c>
      <c r="D2133">
        <v>4.0879032258064517E-2</v>
      </c>
    </row>
    <row r="2134" spans="1:4" x14ac:dyDescent="0.25">
      <c r="A2134" t="s">
        <v>212</v>
      </c>
      <c r="B2134">
        <v>6.5199999999999994E-2</v>
      </c>
      <c r="C2134">
        <v>0</v>
      </c>
      <c r="D2134">
        <v>1.7456451612903223E-2</v>
      </c>
    </row>
    <row r="2135" spans="1:4" x14ac:dyDescent="0.25">
      <c r="A2135" t="s">
        <v>256</v>
      </c>
      <c r="B2135">
        <v>6.5000000000000002E-2</v>
      </c>
      <c r="C2135">
        <v>3.3000000000000002E-2</v>
      </c>
      <c r="D2135">
        <v>5.1338709677419353E-2</v>
      </c>
    </row>
    <row r="2136" spans="1:4" x14ac:dyDescent="0.25">
      <c r="A2136" t="s">
        <v>2506</v>
      </c>
      <c r="B2136">
        <v>6.5000000000000002E-2</v>
      </c>
      <c r="C2136">
        <v>0</v>
      </c>
      <c r="D2136">
        <v>6.9290322580645167E-3</v>
      </c>
    </row>
    <row r="2137" spans="1:4" x14ac:dyDescent="0.25">
      <c r="A2137" t="s">
        <v>2478</v>
      </c>
      <c r="B2137">
        <v>6.4259999999999998E-2</v>
      </c>
      <c r="C2137">
        <v>0</v>
      </c>
      <c r="D2137">
        <v>4.6355048387096781E-2</v>
      </c>
    </row>
    <row r="2138" spans="1:4" x14ac:dyDescent="0.25">
      <c r="A2138" t="s">
        <v>273</v>
      </c>
      <c r="B2138">
        <v>6.4000000000000001E-2</v>
      </c>
      <c r="C2138">
        <v>0</v>
      </c>
      <c r="D2138">
        <v>2.5844354838709675E-2</v>
      </c>
    </row>
    <row r="2139" spans="1:4" x14ac:dyDescent="0.25">
      <c r="A2139" t="s">
        <v>1201</v>
      </c>
      <c r="B2139">
        <v>6.4000000000000001E-2</v>
      </c>
      <c r="C2139">
        <v>0</v>
      </c>
      <c r="D2139">
        <v>3.8612903225806468E-2</v>
      </c>
    </row>
    <row r="2140" spans="1:4" x14ac:dyDescent="0.25">
      <c r="A2140" t="s">
        <v>2421</v>
      </c>
      <c r="B2140">
        <v>6.3967999999999997E-2</v>
      </c>
      <c r="C2140">
        <v>0</v>
      </c>
      <c r="D2140">
        <v>3.8603604838709678E-2</v>
      </c>
    </row>
    <row r="2141" spans="1:4" x14ac:dyDescent="0.25">
      <c r="A2141" t="s">
        <v>2808</v>
      </c>
      <c r="B2141">
        <v>6.3E-2</v>
      </c>
      <c r="C2141">
        <v>0</v>
      </c>
      <c r="D2141">
        <v>2.909193548387096E-2</v>
      </c>
    </row>
    <row r="2142" spans="1:4" x14ac:dyDescent="0.25">
      <c r="A2142" t="s">
        <v>1695</v>
      </c>
      <c r="B2142">
        <v>6.2E-2</v>
      </c>
      <c r="C2142">
        <v>0</v>
      </c>
      <c r="D2142">
        <v>3.1150000000000008E-2</v>
      </c>
    </row>
    <row r="2143" spans="1:4" x14ac:dyDescent="0.25">
      <c r="A2143" t="s">
        <v>1522</v>
      </c>
      <c r="B2143">
        <v>6.2E-2</v>
      </c>
      <c r="C2143">
        <v>0</v>
      </c>
      <c r="D2143">
        <v>3.2274193548387099E-2</v>
      </c>
    </row>
    <row r="2144" spans="1:4" x14ac:dyDescent="0.25">
      <c r="A2144" t="s">
        <v>1555</v>
      </c>
      <c r="B2144">
        <v>6.1800000000000001E-2</v>
      </c>
      <c r="C2144">
        <v>0</v>
      </c>
      <c r="D2144">
        <v>9.9563467741935491E-3</v>
      </c>
    </row>
    <row r="2145" spans="1:4" x14ac:dyDescent="0.25">
      <c r="A2145" t="s">
        <v>120</v>
      </c>
      <c r="B2145">
        <v>6.1699999999999998E-2</v>
      </c>
      <c r="C2145">
        <v>2.5000000000000001E-3</v>
      </c>
      <c r="D2145">
        <v>2.9583064516129031E-2</v>
      </c>
    </row>
    <row r="2146" spans="1:4" x14ac:dyDescent="0.25">
      <c r="A2146" t="s">
        <v>304</v>
      </c>
      <c r="B2146">
        <v>6.1209E-2</v>
      </c>
      <c r="C2146">
        <v>0</v>
      </c>
      <c r="D2146">
        <v>2.9849193548387092E-2</v>
      </c>
    </row>
    <row r="2147" spans="1:4" x14ac:dyDescent="0.25">
      <c r="A2147" t="s">
        <v>2168</v>
      </c>
      <c r="B2147">
        <v>6.1133E-2</v>
      </c>
      <c r="C2147">
        <v>0</v>
      </c>
      <c r="D2147">
        <v>2.2046129032258038E-2</v>
      </c>
    </row>
    <row r="2148" spans="1:4" x14ac:dyDescent="0.25">
      <c r="A2148" t="s">
        <v>210</v>
      </c>
      <c r="B2148">
        <v>6.1100000000000002E-2</v>
      </c>
      <c r="C2148">
        <v>0</v>
      </c>
      <c r="D2148">
        <v>1.9946774193548386E-2</v>
      </c>
    </row>
    <row r="2149" spans="1:4" x14ac:dyDescent="0.25">
      <c r="A2149" t="s">
        <v>2719</v>
      </c>
      <c r="B2149">
        <v>6.0999999999999999E-2</v>
      </c>
      <c r="C2149">
        <v>0</v>
      </c>
      <c r="D2149">
        <v>1.7337096774193549E-2</v>
      </c>
    </row>
    <row r="2150" spans="1:4" x14ac:dyDescent="0.25">
      <c r="A2150" t="s">
        <v>2451</v>
      </c>
      <c r="B2150">
        <v>6.0516E-2</v>
      </c>
      <c r="C2150">
        <v>0</v>
      </c>
      <c r="D2150">
        <v>3.9420104838709683E-2</v>
      </c>
    </row>
    <row r="2151" spans="1:4" x14ac:dyDescent="0.25">
      <c r="A2151" t="s">
        <v>2328</v>
      </c>
      <c r="B2151">
        <v>6.0499999999999998E-2</v>
      </c>
      <c r="C2151">
        <v>0</v>
      </c>
      <c r="D2151">
        <v>3.9219354838709676E-2</v>
      </c>
    </row>
    <row r="2152" spans="1:4" x14ac:dyDescent="0.25">
      <c r="A2152" t="s">
        <v>1766</v>
      </c>
      <c r="B2152">
        <v>6.0249999999999998E-2</v>
      </c>
      <c r="C2152">
        <v>0</v>
      </c>
      <c r="D2152">
        <v>1.7184258064516129E-2</v>
      </c>
    </row>
    <row r="2153" spans="1:4" x14ac:dyDescent="0.25">
      <c r="A2153" t="s">
        <v>1250</v>
      </c>
      <c r="B2153">
        <v>0.06</v>
      </c>
      <c r="C2153">
        <v>0</v>
      </c>
      <c r="D2153">
        <v>2.3225806451612915E-2</v>
      </c>
    </row>
    <row r="2154" spans="1:4" x14ac:dyDescent="0.25">
      <c r="A2154" t="s">
        <v>599</v>
      </c>
      <c r="B2154">
        <v>0.06</v>
      </c>
      <c r="C2154">
        <v>8.9999999999999993E-3</v>
      </c>
      <c r="D2154">
        <v>3.1435483870967763E-2</v>
      </c>
    </row>
    <row r="2155" spans="1:4" x14ac:dyDescent="0.25">
      <c r="A2155" t="s">
        <v>828</v>
      </c>
      <c r="B2155">
        <v>0.06</v>
      </c>
      <c r="C2155">
        <v>0</v>
      </c>
      <c r="D2155">
        <v>2.9003161290322585E-2</v>
      </c>
    </row>
    <row r="2156" spans="1:4" x14ac:dyDescent="0.25">
      <c r="A2156" t="s">
        <v>2427</v>
      </c>
      <c r="B2156">
        <v>0.06</v>
      </c>
      <c r="C2156">
        <v>0</v>
      </c>
      <c r="D2156">
        <v>3.6370967741935475E-2</v>
      </c>
    </row>
    <row r="2157" spans="1:4" x14ac:dyDescent="0.25">
      <c r="A2157" t="s">
        <v>2348</v>
      </c>
      <c r="B2157">
        <v>0.06</v>
      </c>
      <c r="C2157">
        <v>1.2E-2</v>
      </c>
      <c r="D2157">
        <v>3.3203153225806449E-2</v>
      </c>
    </row>
    <row r="2158" spans="1:4" x14ac:dyDescent="0.25">
      <c r="A2158" t="s">
        <v>640</v>
      </c>
      <c r="B2158">
        <v>5.9700000000000003E-2</v>
      </c>
      <c r="C2158">
        <v>5.7999999999999996E-3</v>
      </c>
      <c r="D2158">
        <v>2.7536080645161297E-2</v>
      </c>
    </row>
    <row r="2159" spans="1:4" x14ac:dyDescent="0.25">
      <c r="A2159" t="s">
        <v>2880</v>
      </c>
      <c r="B2159">
        <v>5.8999999999999997E-2</v>
      </c>
      <c r="C2159">
        <v>0</v>
      </c>
      <c r="D2159">
        <v>2.1027419354838716E-2</v>
      </c>
    </row>
    <row r="2160" spans="1:4" x14ac:dyDescent="0.25">
      <c r="A2160" t="s">
        <v>26</v>
      </c>
      <c r="B2160">
        <v>5.8999999999999997E-2</v>
      </c>
      <c r="C2160">
        <v>0</v>
      </c>
      <c r="D2160">
        <v>3.2919354838709662E-2</v>
      </c>
    </row>
    <row r="2161" spans="1:4" x14ac:dyDescent="0.25">
      <c r="A2161" t="s">
        <v>1208</v>
      </c>
      <c r="B2161">
        <v>5.8999999999999997E-2</v>
      </c>
      <c r="C2161">
        <v>0</v>
      </c>
      <c r="D2161">
        <v>1.9996774193548388E-2</v>
      </c>
    </row>
    <row r="2162" spans="1:4" x14ac:dyDescent="0.25">
      <c r="A2162" t="s">
        <v>484</v>
      </c>
      <c r="B2162">
        <v>5.8999999999999997E-2</v>
      </c>
      <c r="C2162">
        <v>2.8000000000000001E-2</v>
      </c>
      <c r="D2162">
        <v>4.275806451612902E-2</v>
      </c>
    </row>
    <row r="2163" spans="1:4" x14ac:dyDescent="0.25">
      <c r="A2163" t="s">
        <v>2519</v>
      </c>
      <c r="B2163">
        <v>5.8999999999999997E-2</v>
      </c>
      <c r="C2163">
        <v>8.0000000000000002E-3</v>
      </c>
      <c r="D2163">
        <v>3.1923112903225803E-2</v>
      </c>
    </row>
    <row r="2164" spans="1:4" x14ac:dyDescent="0.25">
      <c r="A2164" t="s">
        <v>1762</v>
      </c>
      <c r="B2164">
        <v>5.8435000000000001E-2</v>
      </c>
      <c r="C2164">
        <v>0</v>
      </c>
      <c r="D2164">
        <v>4.0713814516129029E-2</v>
      </c>
    </row>
    <row r="2165" spans="1:4" x14ac:dyDescent="0.25">
      <c r="A2165" t="s">
        <v>2423</v>
      </c>
      <c r="B2165">
        <v>5.8099999999999999E-2</v>
      </c>
      <c r="C2165">
        <v>0</v>
      </c>
      <c r="D2165">
        <v>2.9491129032258062E-2</v>
      </c>
    </row>
    <row r="2166" spans="1:4" x14ac:dyDescent="0.25">
      <c r="A2166" t="s">
        <v>1178</v>
      </c>
      <c r="B2166">
        <v>5.8000000000000003E-2</v>
      </c>
      <c r="C2166">
        <v>0</v>
      </c>
      <c r="D2166">
        <v>3.3395161290322578E-2</v>
      </c>
    </row>
    <row r="2167" spans="1:4" x14ac:dyDescent="0.25">
      <c r="A2167" t="s">
        <v>747</v>
      </c>
      <c r="B2167">
        <v>5.7808999999999999E-2</v>
      </c>
      <c r="C2167">
        <v>0</v>
      </c>
      <c r="D2167">
        <v>1.184098387096774E-2</v>
      </c>
    </row>
    <row r="2168" spans="1:4" x14ac:dyDescent="0.25">
      <c r="A2168" t="s">
        <v>1523</v>
      </c>
      <c r="B2168">
        <v>5.7000000000000002E-2</v>
      </c>
      <c r="C2168">
        <v>0</v>
      </c>
      <c r="D2168">
        <v>2.8919354838709683E-2</v>
      </c>
    </row>
    <row r="2169" spans="1:4" x14ac:dyDescent="0.25">
      <c r="A2169" t="s">
        <v>2164</v>
      </c>
      <c r="B2169">
        <v>5.6732999999999999E-2</v>
      </c>
      <c r="C2169">
        <v>0</v>
      </c>
      <c r="D2169">
        <v>4.3320943548387073E-2</v>
      </c>
    </row>
    <row r="2170" spans="1:4" x14ac:dyDescent="0.25">
      <c r="A2170" t="s">
        <v>691</v>
      </c>
      <c r="B2170">
        <v>5.6599999999999998E-2</v>
      </c>
      <c r="C2170">
        <v>0</v>
      </c>
      <c r="D2170">
        <v>4.5024999999999989E-2</v>
      </c>
    </row>
    <row r="2171" spans="1:4" x14ac:dyDescent="0.25">
      <c r="A2171" t="s">
        <v>1131</v>
      </c>
      <c r="B2171">
        <v>5.6493000000000002E-2</v>
      </c>
      <c r="C2171">
        <v>0</v>
      </c>
      <c r="D2171">
        <v>3.1371532258064515E-2</v>
      </c>
    </row>
    <row r="2172" spans="1:4" x14ac:dyDescent="0.25">
      <c r="A2172" t="s">
        <v>2557</v>
      </c>
      <c r="B2172">
        <v>5.6000000000000001E-2</v>
      </c>
      <c r="C2172">
        <v>0</v>
      </c>
      <c r="D2172">
        <v>2.89758064516129E-2</v>
      </c>
    </row>
    <row r="2173" spans="1:4" x14ac:dyDescent="0.25">
      <c r="A2173" t="s">
        <v>441</v>
      </c>
      <c r="B2173">
        <v>5.6000000000000001E-2</v>
      </c>
      <c r="C2173">
        <v>0</v>
      </c>
      <c r="D2173">
        <v>3.264516129032257E-2</v>
      </c>
    </row>
    <row r="2174" spans="1:4" x14ac:dyDescent="0.25">
      <c r="A2174" t="s">
        <v>488</v>
      </c>
      <c r="B2174">
        <v>5.6000000000000001E-2</v>
      </c>
      <c r="C2174">
        <v>0</v>
      </c>
      <c r="D2174">
        <v>2.4266129032258065E-3</v>
      </c>
    </row>
    <row r="2175" spans="1:4" x14ac:dyDescent="0.25">
      <c r="A2175" t="s">
        <v>2810</v>
      </c>
      <c r="B2175">
        <v>5.5800000000000002E-2</v>
      </c>
      <c r="C2175">
        <v>0</v>
      </c>
      <c r="D2175">
        <v>3.1896043548387099E-2</v>
      </c>
    </row>
    <row r="2176" spans="1:4" x14ac:dyDescent="0.25">
      <c r="A2176" t="s">
        <v>2560</v>
      </c>
      <c r="B2176">
        <v>5.5E-2</v>
      </c>
      <c r="C2176">
        <v>0</v>
      </c>
      <c r="D2176">
        <v>3.1040322580645149E-2</v>
      </c>
    </row>
    <row r="2177" spans="1:4" x14ac:dyDescent="0.25">
      <c r="A2177" t="s">
        <v>474</v>
      </c>
      <c r="B2177">
        <v>5.5E-2</v>
      </c>
      <c r="C2177">
        <v>0</v>
      </c>
      <c r="D2177">
        <v>2.9104838709677418E-2</v>
      </c>
    </row>
    <row r="2178" spans="1:4" x14ac:dyDescent="0.25">
      <c r="A2178" t="s">
        <v>2822</v>
      </c>
      <c r="B2178">
        <v>5.5E-2</v>
      </c>
      <c r="C2178">
        <v>0</v>
      </c>
      <c r="D2178">
        <v>2.0471370967741934E-2</v>
      </c>
    </row>
    <row r="2179" spans="1:4" x14ac:dyDescent="0.25">
      <c r="A2179" t="s">
        <v>1393</v>
      </c>
      <c r="B2179">
        <v>5.5E-2</v>
      </c>
      <c r="C2179">
        <v>0</v>
      </c>
      <c r="D2179">
        <v>2.3095199999999996E-2</v>
      </c>
    </row>
    <row r="2180" spans="1:4" x14ac:dyDescent="0.25">
      <c r="A2180" t="s">
        <v>2242</v>
      </c>
      <c r="B2180">
        <v>5.5E-2</v>
      </c>
      <c r="C2180">
        <v>1.4999999999999999E-2</v>
      </c>
      <c r="D2180">
        <v>3.670161290322578E-2</v>
      </c>
    </row>
    <row r="2181" spans="1:4" x14ac:dyDescent="0.25">
      <c r="A2181" t="s">
        <v>1825</v>
      </c>
      <c r="B2181">
        <v>5.4800000000000001E-2</v>
      </c>
      <c r="C2181">
        <v>0</v>
      </c>
      <c r="D2181">
        <v>2.8651548387096781E-2</v>
      </c>
    </row>
    <row r="2182" spans="1:4" x14ac:dyDescent="0.25">
      <c r="A2182" t="s">
        <v>2358</v>
      </c>
      <c r="B2182">
        <v>5.45E-2</v>
      </c>
      <c r="C2182">
        <v>3.0851E-2</v>
      </c>
      <c r="D2182">
        <v>4.138959677419355E-2</v>
      </c>
    </row>
    <row r="2183" spans="1:4" x14ac:dyDescent="0.25">
      <c r="A2183" t="s">
        <v>2306</v>
      </c>
      <c r="B2183">
        <v>5.4300000000000001E-2</v>
      </c>
      <c r="C2183">
        <v>5.0000000000000001E-4</v>
      </c>
      <c r="D2183">
        <v>2.10266129032258E-2</v>
      </c>
    </row>
    <row r="2184" spans="1:4" x14ac:dyDescent="0.25">
      <c r="A2184" t="s">
        <v>2704</v>
      </c>
      <c r="B2184">
        <v>5.4163000000000003E-2</v>
      </c>
      <c r="C2184">
        <v>0</v>
      </c>
      <c r="D2184">
        <v>5.9945161290322589E-3</v>
      </c>
    </row>
    <row r="2185" spans="1:4" x14ac:dyDescent="0.25">
      <c r="A2185" t="s">
        <v>2243</v>
      </c>
      <c r="B2185">
        <v>5.3999999999999999E-2</v>
      </c>
      <c r="C2185">
        <v>0</v>
      </c>
      <c r="D2185">
        <v>4.6258064516129065E-2</v>
      </c>
    </row>
    <row r="2186" spans="1:4" x14ac:dyDescent="0.25">
      <c r="A2186" t="s">
        <v>316</v>
      </c>
      <c r="B2186">
        <v>5.3999999999999999E-2</v>
      </c>
      <c r="C2186">
        <v>0</v>
      </c>
      <c r="D2186">
        <v>3.8809677419354843E-2</v>
      </c>
    </row>
    <row r="2187" spans="1:4" x14ac:dyDescent="0.25">
      <c r="A2187" t="s">
        <v>615</v>
      </c>
      <c r="B2187">
        <v>5.3999999999999999E-2</v>
      </c>
      <c r="C2187">
        <v>0</v>
      </c>
      <c r="D2187">
        <v>2.3290322580645163E-2</v>
      </c>
    </row>
    <row r="2188" spans="1:4" x14ac:dyDescent="0.25">
      <c r="A2188" t="s">
        <v>2365</v>
      </c>
      <c r="B2188">
        <v>5.3999999999999999E-2</v>
      </c>
      <c r="C2188">
        <v>0</v>
      </c>
      <c r="D2188">
        <v>2.3114193548387108E-2</v>
      </c>
    </row>
    <row r="2189" spans="1:4" x14ac:dyDescent="0.25">
      <c r="A2189" t="s">
        <v>2744</v>
      </c>
      <c r="B2189">
        <v>5.3800000000000001E-2</v>
      </c>
      <c r="C2189">
        <v>0</v>
      </c>
      <c r="D2189">
        <v>1.2128306451612898E-2</v>
      </c>
    </row>
    <row r="2190" spans="1:4" x14ac:dyDescent="0.25">
      <c r="A2190" t="s">
        <v>2112</v>
      </c>
      <c r="B2190">
        <v>5.3699999999999998E-2</v>
      </c>
      <c r="C2190">
        <v>0</v>
      </c>
      <c r="D2190">
        <v>1.3200322580645164E-2</v>
      </c>
    </row>
    <row r="2191" spans="1:4" x14ac:dyDescent="0.25">
      <c r="A2191" t="s">
        <v>420</v>
      </c>
      <c r="B2191">
        <v>5.3404E-2</v>
      </c>
      <c r="C2191">
        <v>0</v>
      </c>
      <c r="D2191">
        <v>9.7326612903225803E-3</v>
      </c>
    </row>
    <row r="2192" spans="1:4" x14ac:dyDescent="0.25">
      <c r="A2192" t="s">
        <v>692</v>
      </c>
      <c r="B2192">
        <v>5.3400000000000003E-2</v>
      </c>
      <c r="C2192">
        <v>0</v>
      </c>
      <c r="D2192">
        <v>2.9408064516129026E-2</v>
      </c>
    </row>
    <row r="2193" spans="1:4" x14ac:dyDescent="0.25">
      <c r="A2193" t="s">
        <v>713</v>
      </c>
      <c r="B2193">
        <v>5.33E-2</v>
      </c>
      <c r="C2193">
        <v>0</v>
      </c>
      <c r="D2193">
        <v>4.1611290322580638E-2</v>
      </c>
    </row>
    <row r="2194" spans="1:4" x14ac:dyDescent="0.25">
      <c r="A2194" t="s">
        <v>1392</v>
      </c>
      <c r="B2194">
        <v>5.3199999999999997E-2</v>
      </c>
      <c r="C2194">
        <v>0</v>
      </c>
      <c r="D2194">
        <v>2.0120593548387102E-2</v>
      </c>
    </row>
    <row r="2195" spans="1:4" x14ac:dyDescent="0.25">
      <c r="A2195" t="s">
        <v>1345</v>
      </c>
      <c r="B2195">
        <v>5.2999999999999999E-2</v>
      </c>
      <c r="C2195">
        <v>0</v>
      </c>
      <c r="D2195">
        <v>3.5741935483870967E-2</v>
      </c>
    </row>
    <row r="2196" spans="1:4" x14ac:dyDescent="0.25">
      <c r="A2196" t="s">
        <v>708</v>
      </c>
      <c r="B2196">
        <v>5.2999999999999999E-2</v>
      </c>
      <c r="C2196">
        <v>0</v>
      </c>
      <c r="D2196">
        <v>2.6580645161290318E-2</v>
      </c>
    </row>
    <row r="2197" spans="1:4" x14ac:dyDescent="0.25">
      <c r="A2197" t="s">
        <v>700</v>
      </c>
      <c r="B2197">
        <v>5.2499999999999998E-2</v>
      </c>
      <c r="C2197">
        <v>0</v>
      </c>
      <c r="D2197">
        <v>4.2408387096774185E-2</v>
      </c>
    </row>
    <row r="2198" spans="1:4" x14ac:dyDescent="0.25">
      <c r="A2198" t="s">
        <v>814</v>
      </c>
      <c r="B2198">
        <v>5.2130000000000003E-2</v>
      </c>
      <c r="C2198">
        <v>0</v>
      </c>
      <c r="D2198">
        <v>2.5635306451612896E-2</v>
      </c>
    </row>
    <row r="2199" spans="1:4" x14ac:dyDescent="0.25">
      <c r="A2199" t="s">
        <v>1430</v>
      </c>
      <c r="B2199">
        <v>5.1999999999999998E-2</v>
      </c>
      <c r="C2199">
        <v>0</v>
      </c>
      <c r="D2199">
        <v>3.2580645161290341E-2</v>
      </c>
    </row>
    <row r="2200" spans="1:4" x14ac:dyDescent="0.25">
      <c r="A2200" t="s">
        <v>232</v>
      </c>
      <c r="B2200">
        <v>5.1999999999999998E-2</v>
      </c>
      <c r="C2200">
        <v>0</v>
      </c>
      <c r="D2200">
        <v>2.4832258064516128E-2</v>
      </c>
    </row>
    <row r="2201" spans="1:4" x14ac:dyDescent="0.25">
      <c r="A2201" t="s">
        <v>689</v>
      </c>
      <c r="B2201">
        <v>5.1999999999999998E-2</v>
      </c>
      <c r="C2201">
        <v>0</v>
      </c>
      <c r="D2201">
        <v>3.2077419354838717E-2</v>
      </c>
    </row>
    <row r="2202" spans="1:4" x14ac:dyDescent="0.25">
      <c r="A2202" t="s">
        <v>142</v>
      </c>
      <c r="B2202">
        <v>5.0999999999999997E-2</v>
      </c>
      <c r="C2202">
        <v>0</v>
      </c>
      <c r="D2202">
        <v>1.8337822580645161E-2</v>
      </c>
    </row>
    <row r="2203" spans="1:4" x14ac:dyDescent="0.25">
      <c r="A2203" t="s">
        <v>1160</v>
      </c>
      <c r="B2203">
        <v>5.0999999999999997E-2</v>
      </c>
      <c r="C2203">
        <v>0</v>
      </c>
      <c r="D2203">
        <v>2.0177419354838712E-2</v>
      </c>
    </row>
    <row r="2204" spans="1:4" x14ac:dyDescent="0.25">
      <c r="A2204" t="s">
        <v>2286</v>
      </c>
      <c r="B2204">
        <v>5.0999999999999997E-2</v>
      </c>
      <c r="C2204">
        <v>0</v>
      </c>
      <c r="D2204">
        <v>3.2877419354838705E-2</v>
      </c>
    </row>
    <row r="2205" spans="1:4" x14ac:dyDescent="0.25">
      <c r="A2205" t="s">
        <v>1355</v>
      </c>
      <c r="B2205">
        <v>5.0550999999999999E-2</v>
      </c>
      <c r="C2205">
        <v>0</v>
      </c>
      <c r="D2205">
        <v>2.1255217741935482E-2</v>
      </c>
    </row>
    <row r="2206" spans="1:4" x14ac:dyDescent="0.25">
      <c r="A2206" t="s">
        <v>2169</v>
      </c>
      <c r="B2206">
        <v>5.04E-2</v>
      </c>
      <c r="C2206">
        <v>0</v>
      </c>
      <c r="D2206">
        <v>3.2062096774193548E-2</v>
      </c>
    </row>
    <row r="2207" spans="1:4" x14ac:dyDescent="0.25">
      <c r="A2207" t="s">
        <v>1808</v>
      </c>
      <c r="B2207">
        <v>0.05</v>
      </c>
      <c r="C2207">
        <v>0</v>
      </c>
      <c r="D2207">
        <v>1.255661290322581E-2</v>
      </c>
    </row>
    <row r="2208" spans="1:4" x14ac:dyDescent="0.25">
      <c r="A2208" t="s">
        <v>1444</v>
      </c>
      <c r="B2208">
        <v>0.05</v>
      </c>
      <c r="C2208">
        <v>0</v>
      </c>
      <c r="D2208">
        <v>2.5066096774193535E-2</v>
      </c>
    </row>
    <row r="2209" spans="1:4" x14ac:dyDescent="0.25">
      <c r="A2209" t="s">
        <v>687</v>
      </c>
      <c r="B2209">
        <v>0.05</v>
      </c>
      <c r="C2209">
        <v>0</v>
      </c>
      <c r="D2209">
        <v>3.5238709677419364E-2</v>
      </c>
    </row>
    <row r="2210" spans="1:4" x14ac:dyDescent="0.25">
      <c r="A2210" t="s">
        <v>526</v>
      </c>
      <c r="B2210">
        <v>0.05</v>
      </c>
      <c r="C2210">
        <v>0</v>
      </c>
      <c r="D2210">
        <v>1.9862903225806455E-2</v>
      </c>
    </row>
    <row r="2211" spans="1:4" x14ac:dyDescent="0.25">
      <c r="A2211" t="s">
        <v>1038</v>
      </c>
      <c r="B2211">
        <v>0.05</v>
      </c>
      <c r="C2211">
        <v>0</v>
      </c>
      <c r="D2211">
        <v>3.2344088709677428E-2</v>
      </c>
    </row>
    <row r="2212" spans="1:4" x14ac:dyDescent="0.25">
      <c r="A2212" t="s">
        <v>775</v>
      </c>
      <c r="B2212">
        <v>0.05</v>
      </c>
      <c r="C2212">
        <v>0</v>
      </c>
      <c r="D2212">
        <v>6.7661290322580661E-3</v>
      </c>
    </row>
    <row r="2213" spans="1:4" x14ac:dyDescent="0.25">
      <c r="A2213" t="s">
        <v>1482</v>
      </c>
      <c r="B2213">
        <v>0.05</v>
      </c>
      <c r="C2213">
        <v>0</v>
      </c>
      <c r="D2213">
        <v>2.4579032258064518E-2</v>
      </c>
    </row>
    <row r="2214" spans="1:4" x14ac:dyDescent="0.25">
      <c r="A2214" t="s">
        <v>2869</v>
      </c>
      <c r="B2214">
        <v>4.9700000000000001E-2</v>
      </c>
      <c r="C2214">
        <v>0</v>
      </c>
      <c r="D2214">
        <v>2.6769354838709677E-2</v>
      </c>
    </row>
    <row r="2215" spans="1:4" x14ac:dyDescent="0.25">
      <c r="A2215" t="s">
        <v>1595</v>
      </c>
      <c r="B2215">
        <v>4.9632999999999997E-2</v>
      </c>
      <c r="C2215">
        <v>0</v>
      </c>
      <c r="D2215">
        <v>1.5320798387096777E-2</v>
      </c>
    </row>
    <row r="2216" spans="1:4" x14ac:dyDescent="0.25">
      <c r="A2216" t="s">
        <v>831</v>
      </c>
      <c r="B2216">
        <v>4.9248E-2</v>
      </c>
      <c r="C2216">
        <v>0</v>
      </c>
      <c r="D2216">
        <v>1.470572580645161E-2</v>
      </c>
    </row>
    <row r="2217" spans="1:4" x14ac:dyDescent="0.25">
      <c r="A2217" t="s">
        <v>2477</v>
      </c>
      <c r="B2217">
        <v>4.9000000000000002E-2</v>
      </c>
      <c r="C2217">
        <v>5.0000000000000001E-4</v>
      </c>
      <c r="D2217">
        <v>1.7407564516129036E-2</v>
      </c>
    </row>
    <row r="2218" spans="1:4" x14ac:dyDescent="0.25">
      <c r="A2218" t="s">
        <v>2664</v>
      </c>
      <c r="B2218">
        <v>4.8500000000000001E-2</v>
      </c>
      <c r="C2218">
        <v>0</v>
      </c>
      <c r="D2218">
        <v>1.61E-2</v>
      </c>
    </row>
    <row r="2219" spans="1:4" x14ac:dyDescent="0.25">
      <c r="A2219" t="s">
        <v>1539</v>
      </c>
      <c r="B2219">
        <v>4.8000000000000001E-2</v>
      </c>
      <c r="C2219">
        <v>1E-3</v>
      </c>
      <c r="D2219">
        <v>1.4709677419354842E-2</v>
      </c>
    </row>
    <row r="2220" spans="1:4" x14ac:dyDescent="0.25">
      <c r="A2220" t="s">
        <v>1616</v>
      </c>
      <c r="B2220">
        <v>4.8000000000000001E-2</v>
      </c>
      <c r="C2220">
        <v>0</v>
      </c>
      <c r="D2220">
        <v>1.4709677419354843E-2</v>
      </c>
    </row>
    <row r="2221" spans="1:4" x14ac:dyDescent="0.25">
      <c r="A2221" t="s">
        <v>336</v>
      </c>
      <c r="B2221">
        <v>4.8000000000000001E-2</v>
      </c>
      <c r="C2221">
        <v>0</v>
      </c>
      <c r="D2221">
        <v>2.9488709677419355E-2</v>
      </c>
    </row>
    <row r="2222" spans="1:4" x14ac:dyDescent="0.25">
      <c r="A2222" t="s">
        <v>887</v>
      </c>
      <c r="B2222">
        <v>4.8000000000000001E-2</v>
      </c>
      <c r="C2222">
        <v>0</v>
      </c>
      <c r="D2222">
        <v>3.146048387096774E-2</v>
      </c>
    </row>
    <row r="2223" spans="1:4" x14ac:dyDescent="0.25">
      <c r="A2223" t="s">
        <v>2882</v>
      </c>
      <c r="B2223">
        <v>4.8000000000000001E-2</v>
      </c>
      <c r="C2223">
        <v>0</v>
      </c>
      <c r="D2223">
        <v>2.4760483870967739E-2</v>
      </c>
    </row>
    <row r="2224" spans="1:4" x14ac:dyDescent="0.25">
      <c r="A2224" t="s">
        <v>476</v>
      </c>
      <c r="B2224">
        <v>4.8000000000000001E-2</v>
      </c>
      <c r="C2224">
        <v>0</v>
      </c>
      <c r="D2224">
        <v>4.0954838709677401E-2</v>
      </c>
    </row>
    <row r="2225" spans="1:4" x14ac:dyDescent="0.25">
      <c r="A2225" t="s">
        <v>2535</v>
      </c>
      <c r="B2225">
        <v>4.7899999999999998E-2</v>
      </c>
      <c r="C2225">
        <v>0</v>
      </c>
      <c r="D2225">
        <v>1.8246774193548386E-2</v>
      </c>
    </row>
    <row r="2226" spans="1:4" x14ac:dyDescent="0.25">
      <c r="A2226" t="s">
        <v>2159</v>
      </c>
      <c r="B2226">
        <v>4.7338999999999999E-2</v>
      </c>
      <c r="C2226">
        <v>0</v>
      </c>
      <c r="D2226">
        <v>3.011533387096774E-2</v>
      </c>
    </row>
    <row r="2227" spans="1:4" x14ac:dyDescent="0.25">
      <c r="A2227" t="s">
        <v>1133</v>
      </c>
      <c r="B2227">
        <v>4.7E-2</v>
      </c>
      <c r="C2227">
        <v>0</v>
      </c>
      <c r="D2227">
        <v>3.7835483870967732E-2</v>
      </c>
    </row>
    <row r="2228" spans="1:4" x14ac:dyDescent="0.25">
      <c r="A2228" t="s">
        <v>262</v>
      </c>
      <c r="B2228">
        <v>4.7E-2</v>
      </c>
      <c r="C2228">
        <v>0</v>
      </c>
      <c r="D2228">
        <v>3.0362903225806457E-2</v>
      </c>
    </row>
    <row r="2229" spans="1:4" x14ac:dyDescent="0.25">
      <c r="A2229" t="s">
        <v>261</v>
      </c>
      <c r="B2229">
        <v>4.5999999999999999E-2</v>
      </c>
      <c r="C2229">
        <v>1E-3</v>
      </c>
      <c r="D2229">
        <v>1.4785564516129038E-2</v>
      </c>
    </row>
    <row r="2230" spans="1:4" x14ac:dyDescent="0.25">
      <c r="A2230" t="s">
        <v>2273</v>
      </c>
      <c r="B2230">
        <v>4.5999999999999999E-2</v>
      </c>
      <c r="C2230">
        <v>0</v>
      </c>
      <c r="D2230">
        <v>2.7629032258064509E-2</v>
      </c>
    </row>
    <row r="2231" spans="1:4" x14ac:dyDescent="0.25">
      <c r="A2231" t="s">
        <v>2898</v>
      </c>
      <c r="B2231">
        <v>4.5999999999999999E-2</v>
      </c>
      <c r="C2231">
        <v>0</v>
      </c>
      <c r="D2231">
        <v>2.5612903225806453E-2</v>
      </c>
    </row>
    <row r="2232" spans="1:4" x14ac:dyDescent="0.25">
      <c r="A2232" t="s">
        <v>1458</v>
      </c>
      <c r="B2232">
        <v>4.5999999999999999E-2</v>
      </c>
      <c r="C2232">
        <v>0</v>
      </c>
      <c r="D2232">
        <v>2.4870967741935483E-2</v>
      </c>
    </row>
    <row r="2233" spans="1:4" x14ac:dyDescent="0.25">
      <c r="A2233" t="s">
        <v>2353</v>
      </c>
      <c r="B2233">
        <v>4.5999999999999999E-2</v>
      </c>
      <c r="C2233">
        <v>0</v>
      </c>
      <c r="D2233">
        <v>1.9754177419354837E-2</v>
      </c>
    </row>
    <row r="2234" spans="1:4" x14ac:dyDescent="0.25">
      <c r="A2234" t="s">
        <v>2496</v>
      </c>
      <c r="B2234">
        <v>4.5999999999999999E-2</v>
      </c>
      <c r="C2234">
        <v>0</v>
      </c>
      <c r="D2234">
        <v>1.0322580645161294E-2</v>
      </c>
    </row>
    <row r="2235" spans="1:4" x14ac:dyDescent="0.25">
      <c r="A2235" t="s">
        <v>1086</v>
      </c>
      <c r="B2235">
        <v>4.5797999999999998E-2</v>
      </c>
      <c r="C2235">
        <v>0</v>
      </c>
      <c r="D2235">
        <v>7.8309758064516143E-3</v>
      </c>
    </row>
    <row r="2236" spans="1:4" x14ac:dyDescent="0.25">
      <c r="A2236" t="s">
        <v>859</v>
      </c>
      <c r="B2236">
        <v>4.5499999999999999E-2</v>
      </c>
      <c r="C2236">
        <v>0</v>
      </c>
      <c r="D2236">
        <v>7.4043548387096782E-3</v>
      </c>
    </row>
    <row r="2237" spans="1:4" x14ac:dyDescent="0.25">
      <c r="A2237" t="s">
        <v>2567</v>
      </c>
      <c r="B2237">
        <v>4.4999999999999998E-2</v>
      </c>
      <c r="C2237">
        <v>0</v>
      </c>
      <c r="D2237">
        <v>2.0104241935483873E-2</v>
      </c>
    </row>
    <row r="2238" spans="1:4" x14ac:dyDescent="0.25">
      <c r="A2238" t="s">
        <v>472</v>
      </c>
      <c r="B2238">
        <v>4.4999999999999998E-2</v>
      </c>
      <c r="C2238">
        <v>0</v>
      </c>
      <c r="D2238">
        <v>1.6987096774193546E-2</v>
      </c>
    </row>
    <row r="2239" spans="1:4" x14ac:dyDescent="0.25">
      <c r="A2239" t="s">
        <v>1071</v>
      </c>
      <c r="B2239">
        <v>4.48E-2</v>
      </c>
      <c r="C2239">
        <v>2.1499999999999998E-2</v>
      </c>
      <c r="D2239">
        <v>2.7368548387096771E-2</v>
      </c>
    </row>
    <row r="2240" spans="1:4" x14ac:dyDescent="0.25">
      <c r="A2240" t="s">
        <v>673</v>
      </c>
      <c r="B2240">
        <v>4.4600000000000001E-2</v>
      </c>
      <c r="C2240">
        <v>0</v>
      </c>
      <c r="D2240">
        <v>3.37008064516129E-2</v>
      </c>
    </row>
    <row r="2241" spans="1:4" x14ac:dyDescent="0.25">
      <c r="A2241" t="s">
        <v>2570</v>
      </c>
      <c r="B2241">
        <v>4.4400000000000002E-2</v>
      </c>
      <c r="C2241">
        <v>0</v>
      </c>
      <c r="D2241">
        <v>3.1592741935483871E-2</v>
      </c>
    </row>
    <row r="2242" spans="1:4" x14ac:dyDescent="0.25">
      <c r="A2242" t="s">
        <v>651</v>
      </c>
      <c r="B2242">
        <v>4.3999999999999997E-2</v>
      </c>
      <c r="C2242">
        <v>0</v>
      </c>
      <c r="D2242">
        <v>1.5209677419354846E-2</v>
      </c>
    </row>
    <row r="2243" spans="1:4" x14ac:dyDescent="0.25">
      <c r="A2243" t="s">
        <v>356</v>
      </c>
      <c r="B2243">
        <v>4.3999999999999997E-2</v>
      </c>
      <c r="C2243">
        <v>0</v>
      </c>
      <c r="D2243">
        <v>2.0867741935483877E-2</v>
      </c>
    </row>
    <row r="2244" spans="1:4" x14ac:dyDescent="0.25">
      <c r="A2244" t="s">
        <v>1428</v>
      </c>
      <c r="B2244">
        <v>4.3999999999999997E-2</v>
      </c>
      <c r="C2244">
        <v>0</v>
      </c>
      <c r="D2244">
        <v>1.8535080645161288E-2</v>
      </c>
    </row>
    <row r="2245" spans="1:4" x14ac:dyDescent="0.25">
      <c r="A2245" t="s">
        <v>553</v>
      </c>
      <c r="B2245">
        <v>4.3976000000000001E-2</v>
      </c>
      <c r="C2245">
        <v>0</v>
      </c>
      <c r="D2245">
        <v>1.9537379032258061E-2</v>
      </c>
    </row>
    <row r="2246" spans="1:4" x14ac:dyDescent="0.25">
      <c r="A2246" t="s">
        <v>2488</v>
      </c>
      <c r="B2246">
        <v>4.3630000000000002E-2</v>
      </c>
      <c r="C2246">
        <v>0</v>
      </c>
      <c r="D2246">
        <v>2.2455177419354842E-2</v>
      </c>
    </row>
    <row r="2247" spans="1:4" x14ac:dyDescent="0.25">
      <c r="A2247" t="s">
        <v>1411</v>
      </c>
      <c r="B2247">
        <v>4.3200000000000002E-2</v>
      </c>
      <c r="C2247">
        <v>0</v>
      </c>
      <c r="D2247">
        <v>1.8488709677419352E-2</v>
      </c>
    </row>
    <row r="2248" spans="1:4" x14ac:dyDescent="0.25">
      <c r="A2248" t="s">
        <v>835</v>
      </c>
      <c r="B2248">
        <v>4.3198E-2</v>
      </c>
      <c r="C2248">
        <v>5.195E-3</v>
      </c>
      <c r="D2248">
        <v>1.7957596774193545E-2</v>
      </c>
    </row>
    <row r="2249" spans="1:4" x14ac:dyDescent="0.25">
      <c r="A2249" t="s">
        <v>1830</v>
      </c>
      <c r="B2249">
        <v>4.2999999999999997E-2</v>
      </c>
      <c r="C2249">
        <v>0</v>
      </c>
      <c r="D2249">
        <v>2.3975806451612899E-2</v>
      </c>
    </row>
    <row r="2250" spans="1:4" x14ac:dyDescent="0.25">
      <c r="A2250" t="s">
        <v>2023</v>
      </c>
      <c r="B2250">
        <v>4.2999999999999997E-2</v>
      </c>
      <c r="C2250">
        <v>0</v>
      </c>
      <c r="D2250">
        <v>3.509677419354839E-2</v>
      </c>
    </row>
    <row r="2251" spans="1:4" x14ac:dyDescent="0.25">
      <c r="A2251" t="s">
        <v>2102</v>
      </c>
      <c r="B2251">
        <v>4.2999999999999997E-2</v>
      </c>
      <c r="C2251">
        <v>0</v>
      </c>
      <c r="D2251">
        <v>1.4459548387096779E-2</v>
      </c>
    </row>
    <row r="2252" spans="1:4" x14ac:dyDescent="0.25">
      <c r="A2252" t="s">
        <v>2172</v>
      </c>
      <c r="B2252">
        <v>4.2999999999999997E-2</v>
      </c>
      <c r="C2252">
        <v>0</v>
      </c>
      <c r="D2252">
        <v>2.9483870967741931E-2</v>
      </c>
    </row>
    <row r="2253" spans="1:4" x14ac:dyDescent="0.25">
      <c r="A2253" t="s">
        <v>477</v>
      </c>
      <c r="B2253">
        <v>4.2999999999999997E-2</v>
      </c>
      <c r="C2253">
        <v>0</v>
      </c>
      <c r="D2253">
        <v>1.6024193548387102E-2</v>
      </c>
    </row>
    <row r="2254" spans="1:4" x14ac:dyDescent="0.25">
      <c r="A2254" t="s">
        <v>2742</v>
      </c>
      <c r="B2254">
        <v>4.2000000000000003E-2</v>
      </c>
      <c r="C2254">
        <v>0</v>
      </c>
      <c r="D2254">
        <v>1.7608500000000006E-2</v>
      </c>
    </row>
    <row r="2255" spans="1:4" x14ac:dyDescent="0.25">
      <c r="A2255" t="s">
        <v>2055</v>
      </c>
      <c r="B2255">
        <v>4.1619000000000003E-2</v>
      </c>
      <c r="C2255">
        <v>3.3043000000000003E-2</v>
      </c>
      <c r="D2255">
        <v>3.7742145161290326E-2</v>
      </c>
    </row>
    <row r="2256" spans="1:4" x14ac:dyDescent="0.25">
      <c r="A2256" t="s">
        <v>2442</v>
      </c>
      <c r="B2256">
        <v>4.1551999999999999E-2</v>
      </c>
      <c r="C2256">
        <v>2.9659999999999999E-3</v>
      </c>
      <c r="D2256">
        <v>1.7158588709677416E-2</v>
      </c>
    </row>
    <row r="2257" spans="1:4" x14ac:dyDescent="0.25">
      <c r="A2257" t="s">
        <v>1765</v>
      </c>
      <c r="B2257">
        <v>4.1360000000000001E-2</v>
      </c>
      <c r="C2257">
        <v>0</v>
      </c>
      <c r="D2257">
        <v>1.1796016129032258E-2</v>
      </c>
    </row>
    <row r="2258" spans="1:4" x14ac:dyDescent="0.25">
      <c r="A2258" t="s">
        <v>2411</v>
      </c>
      <c r="B2258">
        <v>4.1000000000000002E-2</v>
      </c>
      <c r="C2258">
        <v>0</v>
      </c>
      <c r="D2258">
        <v>2.1351612903225813E-2</v>
      </c>
    </row>
    <row r="2259" spans="1:4" x14ac:dyDescent="0.25">
      <c r="A2259" t="s">
        <v>2043</v>
      </c>
      <c r="B2259">
        <v>4.1000000000000002E-2</v>
      </c>
      <c r="C2259">
        <v>0</v>
      </c>
      <c r="D2259">
        <v>2.6935483870967735E-2</v>
      </c>
    </row>
    <row r="2260" spans="1:4" x14ac:dyDescent="0.25">
      <c r="A2260" t="s">
        <v>2753</v>
      </c>
      <c r="B2260">
        <v>4.0599999999999997E-2</v>
      </c>
      <c r="C2260">
        <v>0</v>
      </c>
      <c r="D2260">
        <v>2.6778064516129029E-2</v>
      </c>
    </row>
    <row r="2261" spans="1:4" x14ac:dyDescent="0.25">
      <c r="A2261" t="s">
        <v>1061</v>
      </c>
      <c r="B2261">
        <v>0.04</v>
      </c>
      <c r="C2261">
        <v>0</v>
      </c>
      <c r="D2261">
        <v>1.5254838709677419E-2</v>
      </c>
    </row>
    <row r="2262" spans="1:4" x14ac:dyDescent="0.25">
      <c r="A2262" t="s">
        <v>1375</v>
      </c>
      <c r="B2262">
        <v>0.04</v>
      </c>
      <c r="C2262">
        <v>0</v>
      </c>
      <c r="D2262">
        <v>2.5630645161290336E-2</v>
      </c>
    </row>
    <row r="2263" spans="1:4" x14ac:dyDescent="0.25">
      <c r="A2263" t="s">
        <v>1962</v>
      </c>
      <c r="B2263">
        <v>0.04</v>
      </c>
      <c r="C2263">
        <v>0</v>
      </c>
      <c r="D2263">
        <v>1.9662903225806452E-2</v>
      </c>
    </row>
    <row r="2264" spans="1:4" x14ac:dyDescent="0.25">
      <c r="A2264" t="s">
        <v>595</v>
      </c>
      <c r="B2264">
        <v>0.04</v>
      </c>
      <c r="C2264">
        <v>0</v>
      </c>
      <c r="D2264">
        <v>2.9991935483870961E-2</v>
      </c>
    </row>
    <row r="2265" spans="1:4" x14ac:dyDescent="0.25">
      <c r="A2265" t="s">
        <v>266</v>
      </c>
      <c r="B2265">
        <v>0.04</v>
      </c>
      <c r="C2265">
        <v>0</v>
      </c>
      <c r="D2265">
        <v>1.703225806451614E-2</v>
      </c>
    </row>
    <row r="2266" spans="1:4" x14ac:dyDescent="0.25">
      <c r="A2266" t="s">
        <v>317</v>
      </c>
      <c r="B2266">
        <v>0.04</v>
      </c>
      <c r="C2266">
        <v>0</v>
      </c>
      <c r="D2266">
        <v>2.0766129032258062E-2</v>
      </c>
    </row>
    <row r="2267" spans="1:4" x14ac:dyDescent="0.25">
      <c r="A2267" t="s">
        <v>2395</v>
      </c>
      <c r="B2267">
        <v>0.04</v>
      </c>
      <c r="C2267">
        <v>0</v>
      </c>
      <c r="D2267">
        <v>1.5803225806451625E-2</v>
      </c>
    </row>
    <row r="2268" spans="1:4" x14ac:dyDescent="0.25">
      <c r="A2268" t="s">
        <v>704</v>
      </c>
      <c r="B2268">
        <v>3.9800000000000002E-2</v>
      </c>
      <c r="C2268">
        <v>0</v>
      </c>
      <c r="D2268">
        <v>2.7190322580645156E-2</v>
      </c>
    </row>
    <row r="2269" spans="1:4" x14ac:dyDescent="0.25">
      <c r="A2269" t="s">
        <v>813</v>
      </c>
      <c r="B2269">
        <v>3.9600000000000003E-2</v>
      </c>
      <c r="C2269">
        <v>0</v>
      </c>
      <c r="D2269">
        <v>1.0358064516129032E-2</v>
      </c>
    </row>
    <row r="2270" spans="1:4" x14ac:dyDescent="0.25">
      <c r="A2270" t="s">
        <v>97</v>
      </c>
      <c r="B2270">
        <v>3.9600000000000003E-2</v>
      </c>
      <c r="C2270">
        <v>0</v>
      </c>
      <c r="D2270">
        <v>1.6619354838709677E-2</v>
      </c>
    </row>
    <row r="2271" spans="1:4" x14ac:dyDescent="0.25">
      <c r="A2271" t="s">
        <v>703</v>
      </c>
      <c r="B2271">
        <v>3.9600000000000003E-2</v>
      </c>
      <c r="C2271">
        <v>0</v>
      </c>
      <c r="D2271">
        <v>2.6594354838709668E-2</v>
      </c>
    </row>
    <row r="2272" spans="1:4" x14ac:dyDescent="0.25">
      <c r="A2272" t="s">
        <v>48</v>
      </c>
      <c r="B2272">
        <v>3.9239999999999997E-2</v>
      </c>
      <c r="C2272">
        <v>0</v>
      </c>
      <c r="D2272">
        <v>1.319610483870967E-2</v>
      </c>
    </row>
    <row r="2273" spans="1:4" x14ac:dyDescent="0.25">
      <c r="A2273" t="s">
        <v>2771</v>
      </c>
      <c r="B2273">
        <v>3.9199999999999999E-2</v>
      </c>
      <c r="C2273">
        <v>0</v>
      </c>
      <c r="D2273">
        <v>1.7597354838709677E-2</v>
      </c>
    </row>
    <row r="2274" spans="1:4" x14ac:dyDescent="0.25">
      <c r="A2274" t="s">
        <v>2852</v>
      </c>
      <c r="B2274">
        <v>3.9190000000000003E-2</v>
      </c>
      <c r="C2274">
        <v>0</v>
      </c>
      <c r="D2274">
        <v>1.1065967741935485E-2</v>
      </c>
    </row>
    <row r="2275" spans="1:4" x14ac:dyDescent="0.25">
      <c r="A2275" t="s">
        <v>2835</v>
      </c>
      <c r="B2275">
        <v>3.9100000000000003E-2</v>
      </c>
      <c r="C2275">
        <v>0</v>
      </c>
      <c r="D2275">
        <v>2.2747580645161278E-2</v>
      </c>
    </row>
    <row r="2276" spans="1:4" x14ac:dyDescent="0.25">
      <c r="A2276" t="s">
        <v>2729</v>
      </c>
      <c r="B2276">
        <v>3.9E-2</v>
      </c>
      <c r="C2276">
        <v>0</v>
      </c>
      <c r="D2276">
        <v>1.5129032258064522E-2</v>
      </c>
    </row>
    <row r="2277" spans="1:4" x14ac:dyDescent="0.25">
      <c r="A2277" t="s">
        <v>695</v>
      </c>
      <c r="B2277">
        <v>3.9E-2</v>
      </c>
      <c r="C2277">
        <v>0</v>
      </c>
      <c r="D2277">
        <v>2.6980161290322584E-2</v>
      </c>
    </row>
    <row r="2278" spans="1:4" x14ac:dyDescent="0.25">
      <c r="A2278" t="s">
        <v>2885</v>
      </c>
      <c r="B2278">
        <v>3.9E-2</v>
      </c>
      <c r="C2278">
        <v>0</v>
      </c>
      <c r="D2278">
        <v>2.651612903225806E-2</v>
      </c>
    </row>
    <row r="2279" spans="1:4" x14ac:dyDescent="0.25">
      <c r="A2279" t="s">
        <v>511</v>
      </c>
      <c r="B2279">
        <v>3.9E-2</v>
      </c>
      <c r="C2279">
        <v>0</v>
      </c>
      <c r="D2279">
        <v>2.1543387096774204E-2</v>
      </c>
    </row>
    <row r="2280" spans="1:4" x14ac:dyDescent="0.25">
      <c r="A2280" t="s">
        <v>1142</v>
      </c>
      <c r="B2280">
        <v>3.9E-2</v>
      </c>
      <c r="C2280">
        <v>0</v>
      </c>
      <c r="D2280">
        <v>3.0201612903225799E-2</v>
      </c>
    </row>
    <row r="2281" spans="1:4" x14ac:dyDescent="0.25">
      <c r="A2281" t="s">
        <v>2776</v>
      </c>
      <c r="B2281">
        <v>3.8289999999999998E-2</v>
      </c>
      <c r="C2281">
        <v>0</v>
      </c>
      <c r="D2281">
        <v>1.4523870967741933E-2</v>
      </c>
    </row>
    <row r="2282" spans="1:4" x14ac:dyDescent="0.25">
      <c r="A2282" t="s">
        <v>1574</v>
      </c>
      <c r="B2282">
        <v>3.8199999999999998E-2</v>
      </c>
      <c r="C2282">
        <v>2.23E-2</v>
      </c>
      <c r="D2282">
        <v>3.0497580645161292E-2</v>
      </c>
    </row>
    <row r="2283" spans="1:4" x14ac:dyDescent="0.25">
      <c r="A2283" t="s">
        <v>1039</v>
      </c>
      <c r="B2283">
        <v>3.807E-2</v>
      </c>
      <c r="C2283">
        <v>0</v>
      </c>
      <c r="D2283">
        <v>2.6581338709677417E-2</v>
      </c>
    </row>
    <row r="2284" spans="1:4" x14ac:dyDescent="0.25">
      <c r="A2284" t="s">
        <v>655</v>
      </c>
      <c r="B2284">
        <v>3.7999999999999999E-2</v>
      </c>
      <c r="C2284">
        <v>0</v>
      </c>
      <c r="D2284">
        <v>1.3250000000000005E-2</v>
      </c>
    </row>
    <row r="2285" spans="1:4" x14ac:dyDescent="0.25">
      <c r="A2285" t="s">
        <v>976</v>
      </c>
      <c r="B2285">
        <v>3.7999999999999999E-2</v>
      </c>
      <c r="C2285">
        <v>0</v>
      </c>
      <c r="D2285">
        <v>1.5603225806451619E-2</v>
      </c>
    </row>
    <row r="2286" spans="1:4" x14ac:dyDescent="0.25">
      <c r="A2286" t="s">
        <v>767</v>
      </c>
      <c r="B2286">
        <v>3.7999999999999999E-2</v>
      </c>
      <c r="C2286">
        <v>0</v>
      </c>
      <c r="D2286">
        <v>2.0601612903225808E-2</v>
      </c>
    </row>
    <row r="2287" spans="1:4" x14ac:dyDescent="0.25">
      <c r="A2287" t="s">
        <v>685</v>
      </c>
      <c r="B2287">
        <v>3.7999999999999999E-2</v>
      </c>
      <c r="C2287">
        <v>0</v>
      </c>
      <c r="D2287">
        <v>2.4914516129032255E-2</v>
      </c>
    </row>
    <row r="2288" spans="1:4" x14ac:dyDescent="0.25">
      <c r="A2288" t="s">
        <v>2444</v>
      </c>
      <c r="B2288">
        <v>3.7999999999999999E-2</v>
      </c>
      <c r="C2288">
        <v>0</v>
      </c>
      <c r="D2288">
        <v>1.9138870967741937E-2</v>
      </c>
    </row>
    <row r="2289" spans="1:4" x14ac:dyDescent="0.25">
      <c r="A2289" t="s">
        <v>1582</v>
      </c>
      <c r="B2289">
        <v>3.7999999999999999E-2</v>
      </c>
      <c r="C2289">
        <v>0</v>
      </c>
      <c r="D2289">
        <v>2.6418548387096771E-2</v>
      </c>
    </row>
    <row r="2290" spans="1:4" x14ac:dyDescent="0.25">
      <c r="A2290" t="s">
        <v>1590</v>
      </c>
      <c r="B2290">
        <v>3.7999999999999999E-2</v>
      </c>
      <c r="C2290">
        <v>0</v>
      </c>
      <c r="D2290">
        <v>2.6542419354838705E-2</v>
      </c>
    </row>
    <row r="2291" spans="1:4" x14ac:dyDescent="0.25">
      <c r="A2291" t="s">
        <v>2826</v>
      </c>
      <c r="B2291">
        <v>3.7499999999999999E-2</v>
      </c>
      <c r="C2291">
        <v>0</v>
      </c>
      <c r="D2291">
        <v>1.8732290322580655E-2</v>
      </c>
    </row>
    <row r="2292" spans="1:4" x14ac:dyDescent="0.25">
      <c r="A2292" t="s">
        <v>2456</v>
      </c>
      <c r="B2292">
        <v>3.7449999999999997E-2</v>
      </c>
      <c r="C2292">
        <v>0</v>
      </c>
      <c r="D2292">
        <v>1.5524403225806454E-2</v>
      </c>
    </row>
    <row r="2293" spans="1:4" x14ac:dyDescent="0.25">
      <c r="A2293" t="s">
        <v>2324</v>
      </c>
      <c r="B2293">
        <v>3.7249999999999998E-2</v>
      </c>
      <c r="C2293">
        <v>0</v>
      </c>
      <c r="D2293">
        <v>1.6183685483870967E-2</v>
      </c>
    </row>
    <row r="2294" spans="1:4" x14ac:dyDescent="0.25">
      <c r="A2294" t="s">
        <v>2156</v>
      </c>
      <c r="B2294">
        <v>3.7129000000000002E-2</v>
      </c>
      <c r="C2294">
        <v>0</v>
      </c>
      <c r="D2294">
        <v>2.417695161290323E-2</v>
      </c>
    </row>
    <row r="2295" spans="1:4" x14ac:dyDescent="0.25">
      <c r="A2295" t="s">
        <v>1560</v>
      </c>
      <c r="B2295">
        <v>3.6999999999999998E-2</v>
      </c>
      <c r="C2295">
        <v>0</v>
      </c>
      <c r="D2295">
        <v>2.5637096774193544E-2</v>
      </c>
    </row>
    <row r="2296" spans="1:4" x14ac:dyDescent="0.25">
      <c r="A2296" t="s">
        <v>1457</v>
      </c>
      <c r="B2296">
        <v>3.6999999999999998E-2</v>
      </c>
      <c r="C2296">
        <v>8.0000000000000002E-3</v>
      </c>
      <c r="D2296">
        <v>2.0390322580645163E-2</v>
      </c>
    </row>
    <row r="2297" spans="1:4" x14ac:dyDescent="0.25">
      <c r="A2297" t="s">
        <v>2294</v>
      </c>
      <c r="B2297">
        <v>3.6999999999999998E-2</v>
      </c>
      <c r="C2297">
        <v>0</v>
      </c>
      <c r="D2297">
        <v>2.1846774193548382E-2</v>
      </c>
    </row>
    <row r="2298" spans="1:4" x14ac:dyDescent="0.25">
      <c r="A2298" t="s">
        <v>307</v>
      </c>
      <c r="B2298">
        <v>3.6999999999999998E-2</v>
      </c>
      <c r="C2298">
        <v>0</v>
      </c>
      <c r="D2298">
        <v>1.3951612903225814E-2</v>
      </c>
    </row>
    <row r="2299" spans="1:4" x14ac:dyDescent="0.25">
      <c r="A2299" t="s">
        <v>2326</v>
      </c>
      <c r="B2299">
        <v>3.6999999999999998E-2</v>
      </c>
      <c r="C2299">
        <v>0</v>
      </c>
      <c r="D2299">
        <v>2.561209677419354E-2</v>
      </c>
    </row>
    <row r="2300" spans="1:4" x14ac:dyDescent="0.25">
      <c r="A2300" t="s">
        <v>2377</v>
      </c>
      <c r="B2300">
        <v>3.6999999999999998E-2</v>
      </c>
      <c r="C2300">
        <v>0</v>
      </c>
      <c r="D2300">
        <v>3.6612903225806451E-3</v>
      </c>
    </row>
    <row r="2301" spans="1:4" x14ac:dyDescent="0.25">
      <c r="A2301" t="s">
        <v>490</v>
      </c>
      <c r="B2301">
        <v>3.6900000000000002E-2</v>
      </c>
      <c r="C2301">
        <v>0</v>
      </c>
      <c r="D2301">
        <v>2.3067854838709684E-2</v>
      </c>
    </row>
    <row r="2302" spans="1:4" x14ac:dyDescent="0.25">
      <c r="A2302" t="s">
        <v>701</v>
      </c>
      <c r="B2302">
        <v>3.6900000000000002E-2</v>
      </c>
      <c r="C2302">
        <v>0</v>
      </c>
      <c r="D2302">
        <v>2.9622580645161295E-2</v>
      </c>
    </row>
    <row r="2303" spans="1:4" x14ac:dyDescent="0.25">
      <c r="A2303" t="s">
        <v>2787</v>
      </c>
      <c r="B2303">
        <v>3.6770999999999998E-2</v>
      </c>
      <c r="C2303">
        <v>0</v>
      </c>
      <c r="D2303">
        <v>9.7153790322580657E-3</v>
      </c>
    </row>
    <row r="2304" spans="1:4" x14ac:dyDescent="0.25">
      <c r="A2304" t="s">
        <v>2090</v>
      </c>
      <c r="B2304">
        <v>3.6729999999999999E-2</v>
      </c>
      <c r="C2304">
        <v>0</v>
      </c>
      <c r="D2304">
        <v>6.4279838709677415E-3</v>
      </c>
    </row>
    <row r="2305" spans="1:4" x14ac:dyDescent="0.25">
      <c r="A2305" t="s">
        <v>2041</v>
      </c>
      <c r="B2305">
        <v>3.6216999999999999E-2</v>
      </c>
      <c r="C2305">
        <v>0</v>
      </c>
      <c r="D2305">
        <v>8.5289193548387116E-3</v>
      </c>
    </row>
    <row r="2306" spans="1:4" x14ac:dyDescent="0.25">
      <c r="A2306" t="s">
        <v>2706</v>
      </c>
      <c r="B2306">
        <v>3.6200000000000003E-2</v>
      </c>
      <c r="C2306">
        <v>0</v>
      </c>
      <c r="D2306">
        <v>2.3850000000000007E-2</v>
      </c>
    </row>
    <row r="2307" spans="1:4" x14ac:dyDescent="0.25">
      <c r="A2307" t="s">
        <v>372</v>
      </c>
      <c r="B2307">
        <v>3.5999999999999997E-2</v>
      </c>
      <c r="C2307">
        <v>0</v>
      </c>
      <c r="D2307">
        <v>1.9290322580645159E-2</v>
      </c>
    </row>
    <row r="2308" spans="1:4" x14ac:dyDescent="0.25">
      <c r="A2308" t="s">
        <v>1397</v>
      </c>
      <c r="B2308">
        <v>3.5999999999999997E-2</v>
      </c>
      <c r="C2308">
        <v>0</v>
      </c>
      <c r="D2308">
        <v>7.4292741935483896E-3</v>
      </c>
    </row>
    <row r="2309" spans="1:4" x14ac:dyDescent="0.25">
      <c r="A2309" t="s">
        <v>1146</v>
      </c>
      <c r="B2309">
        <v>3.5999999999999997E-2</v>
      </c>
      <c r="C2309">
        <v>0</v>
      </c>
      <c r="D2309">
        <v>2.661290322580645E-2</v>
      </c>
    </row>
    <row r="2310" spans="1:4" x14ac:dyDescent="0.25">
      <c r="A2310" t="s">
        <v>2394</v>
      </c>
      <c r="B2310">
        <v>3.5999999999999997E-2</v>
      </c>
      <c r="C2310">
        <v>0</v>
      </c>
      <c r="D2310">
        <v>1.7766129032258073E-2</v>
      </c>
    </row>
    <row r="2311" spans="1:4" x14ac:dyDescent="0.25">
      <c r="A2311" t="s">
        <v>860</v>
      </c>
      <c r="B2311">
        <v>3.5900000000000001E-2</v>
      </c>
      <c r="C2311">
        <v>0</v>
      </c>
      <c r="D2311">
        <v>5.849516129032257E-3</v>
      </c>
    </row>
    <row r="2312" spans="1:4" x14ac:dyDescent="0.25">
      <c r="A2312" t="s">
        <v>2625</v>
      </c>
      <c r="B2312">
        <v>3.5400000000000001E-2</v>
      </c>
      <c r="C2312">
        <v>1.7600000000000001E-2</v>
      </c>
      <c r="D2312">
        <v>2.6616725806451604E-2</v>
      </c>
    </row>
    <row r="2313" spans="1:4" x14ac:dyDescent="0.25">
      <c r="A2313" t="s">
        <v>656</v>
      </c>
      <c r="B2313">
        <v>3.5000000000000003E-2</v>
      </c>
      <c r="C2313">
        <v>0</v>
      </c>
      <c r="D2313">
        <v>1.2185483870967748E-2</v>
      </c>
    </row>
    <row r="2314" spans="1:4" x14ac:dyDescent="0.25">
      <c r="A2314" t="s">
        <v>1467</v>
      </c>
      <c r="B2314">
        <v>3.5000000000000003E-2</v>
      </c>
      <c r="C2314">
        <v>0</v>
      </c>
      <c r="D2314">
        <v>2.5266129032258066E-2</v>
      </c>
    </row>
    <row r="2315" spans="1:4" x14ac:dyDescent="0.25">
      <c r="A2315" t="s">
        <v>188</v>
      </c>
      <c r="B2315">
        <v>3.5000000000000003E-2</v>
      </c>
      <c r="C2315">
        <v>0</v>
      </c>
      <c r="D2315">
        <v>1.8590322580645163E-2</v>
      </c>
    </row>
    <row r="2316" spans="1:4" x14ac:dyDescent="0.25">
      <c r="A2316" t="s">
        <v>1463</v>
      </c>
      <c r="B2316">
        <v>3.5000000000000003E-2</v>
      </c>
      <c r="C2316">
        <v>0</v>
      </c>
      <c r="D2316">
        <v>1.4991935483870978E-2</v>
      </c>
    </row>
    <row r="2317" spans="1:4" x14ac:dyDescent="0.25">
      <c r="A2317" t="s">
        <v>1118</v>
      </c>
      <c r="B2317">
        <v>3.5000000000000003E-2</v>
      </c>
      <c r="C2317">
        <v>0</v>
      </c>
      <c r="D2317">
        <v>2.1190322580645161E-2</v>
      </c>
    </row>
    <row r="2318" spans="1:4" x14ac:dyDescent="0.25">
      <c r="A2318" t="s">
        <v>2392</v>
      </c>
      <c r="B2318">
        <v>3.5000000000000003E-2</v>
      </c>
      <c r="C2318">
        <v>0</v>
      </c>
      <c r="D2318">
        <v>2.0225806451612913E-2</v>
      </c>
    </row>
    <row r="2319" spans="1:4" x14ac:dyDescent="0.25">
      <c r="A2319" t="s">
        <v>2769</v>
      </c>
      <c r="B2319">
        <v>3.5000000000000003E-2</v>
      </c>
      <c r="C2319">
        <v>0</v>
      </c>
      <c r="D2319">
        <v>1.4582258064516136E-2</v>
      </c>
    </row>
    <row r="2320" spans="1:4" x14ac:dyDescent="0.25">
      <c r="A2320" t="s">
        <v>2759</v>
      </c>
      <c r="B2320">
        <v>3.44E-2</v>
      </c>
      <c r="C2320">
        <v>0</v>
      </c>
      <c r="D2320">
        <v>2.0038709677419358E-2</v>
      </c>
    </row>
    <row r="2321" spans="1:4" x14ac:dyDescent="0.25">
      <c r="A2321" t="s">
        <v>1362</v>
      </c>
      <c r="B2321">
        <v>3.424E-2</v>
      </c>
      <c r="C2321">
        <v>0</v>
      </c>
      <c r="D2321">
        <v>1.5991096774193549E-2</v>
      </c>
    </row>
    <row r="2322" spans="1:4" x14ac:dyDescent="0.25">
      <c r="A2322" t="s">
        <v>539</v>
      </c>
      <c r="B2322">
        <v>3.4000000000000002E-2</v>
      </c>
      <c r="C2322">
        <v>0</v>
      </c>
      <c r="D2322">
        <v>1.7311290322580657E-2</v>
      </c>
    </row>
    <row r="2323" spans="1:4" x14ac:dyDescent="0.25">
      <c r="A2323" t="s">
        <v>271</v>
      </c>
      <c r="B2323">
        <v>3.4000000000000002E-2</v>
      </c>
      <c r="C2323">
        <v>0</v>
      </c>
      <c r="D2323">
        <v>1.244354838709678E-2</v>
      </c>
    </row>
    <row r="2324" spans="1:4" x14ac:dyDescent="0.25">
      <c r="A2324" t="s">
        <v>2030</v>
      </c>
      <c r="B2324">
        <v>3.4000000000000002E-2</v>
      </c>
      <c r="C2324">
        <v>0</v>
      </c>
      <c r="D2324">
        <v>1.6351612903225815E-2</v>
      </c>
    </row>
    <row r="2325" spans="1:4" x14ac:dyDescent="0.25">
      <c r="A2325" t="s">
        <v>2801</v>
      </c>
      <c r="B2325">
        <v>3.3700000000000001E-2</v>
      </c>
      <c r="C2325">
        <v>0</v>
      </c>
      <c r="D2325">
        <v>2.3870967741935483E-3</v>
      </c>
    </row>
    <row r="2326" spans="1:4" x14ac:dyDescent="0.25">
      <c r="A2326" t="s">
        <v>2798</v>
      </c>
      <c r="B2326">
        <v>3.3456E-2</v>
      </c>
      <c r="C2326">
        <v>6.1399999999999996E-4</v>
      </c>
      <c r="D2326">
        <v>8.3553854838709675E-3</v>
      </c>
    </row>
    <row r="2327" spans="1:4" x14ac:dyDescent="0.25">
      <c r="A2327" t="s">
        <v>1254</v>
      </c>
      <c r="B2327">
        <v>3.3000000000000002E-2</v>
      </c>
      <c r="C2327">
        <v>0</v>
      </c>
      <c r="D2327">
        <v>1.8338709677419365E-2</v>
      </c>
    </row>
    <row r="2328" spans="1:4" x14ac:dyDescent="0.25">
      <c r="A2328" t="s">
        <v>138</v>
      </c>
      <c r="B2328">
        <v>3.3000000000000002E-2</v>
      </c>
      <c r="C2328">
        <v>0</v>
      </c>
      <c r="D2328">
        <v>2.0830645161290323E-2</v>
      </c>
    </row>
    <row r="2329" spans="1:4" x14ac:dyDescent="0.25">
      <c r="A2329" t="s">
        <v>2309</v>
      </c>
      <c r="B2329">
        <v>3.3000000000000002E-2</v>
      </c>
      <c r="C2329">
        <v>0</v>
      </c>
      <c r="D2329">
        <v>2.5645161290322578E-2</v>
      </c>
    </row>
    <row r="2330" spans="1:4" x14ac:dyDescent="0.25">
      <c r="A2330" t="s">
        <v>1196</v>
      </c>
      <c r="B2330">
        <v>3.3000000000000002E-2</v>
      </c>
      <c r="C2330">
        <v>8.9999999999999993E-3</v>
      </c>
      <c r="D2330">
        <v>2.0419354838709679E-2</v>
      </c>
    </row>
    <row r="2331" spans="1:4" x14ac:dyDescent="0.25">
      <c r="A2331" t="s">
        <v>1261</v>
      </c>
      <c r="B2331">
        <v>3.3000000000000002E-2</v>
      </c>
      <c r="C2331">
        <v>0</v>
      </c>
      <c r="D2331">
        <v>3.2951612903225807E-3</v>
      </c>
    </row>
    <row r="2332" spans="1:4" x14ac:dyDescent="0.25">
      <c r="A2332" t="s">
        <v>2228</v>
      </c>
      <c r="B2332">
        <v>3.2968999999999998E-2</v>
      </c>
      <c r="C2332">
        <v>3.1979999999999999E-3</v>
      </c>
      <c r="D2332">
        <v>2.1096838709677421E-2</v>
      </c>
    </row>
    <row r="2333" spans="1:4" x14ac:dyDescent="0.25">
      <c r="A2333" t="s">
        <v>36</v>
      </c>
      <c r="B2333">
        <v>3.2899999999999999E-2</v>
      </c>
      <c r="C2333">
        <v>4.7000000000000002E-3</v>
      </c>
      <c r="D2333">
        <v>1.8763709677419353E-2</v>
      </c>
    </row>
    <row r="2334" spans="1:4" x14ac:dyDescent="0.25">
      <c r="A2334" t="s">
        <v>1374</v>
      </c>
      <c r="B2334">
        <v>3.27E-2</v>
      </c>
      <c r="C2334">
        <v>6.1999999999999998E-3</v>
      </c>
      <c r="D2334">
        <v>1.7775806451612915E-2</v>
      </c>
    </row>
    <row r="2335" spans="1:4" x14ac:dyDescent="0.25">
      <c r="A2335" t="s">
        <v>1577</v>
      </c>
      <c r="B2335">
        <v>3.2599999999999997E-2</v>
      </c>
      <c r="C2335">
        <v>0</v>
      </c>
      <c r="D2335">
        <v>8.3272580645161291E-3</v>
      </c>
    </row>
    <row r="2336" spans="1:4" x14ac:dyDescent="0.25">
      <c r="A2336" t="s">
        <v>2351</v>
      </c>
      <c r="B2336">
        <v>3.2500000000000001E-2</v>
      </c>
      <c r="C2336">
        <v>0</v>
      </c>
      <c r="D2336">
        <v>2.9028225806451629E-2</v>
      </c>
    </row>
    <row r="2337" spans="1:4" x14ac:dyDescent="0.25">
      <c r="A2337" t="s">
        <v>44</v>
      </c>
      <c r="B2337">
        <v>3.2099999999999997E-2</v>
      </c>
      <c r="C2337">
        <v>0</v>
      </c>
      <c r="D2337">
        <v>1.568002419354839E-2</v>
      </c>
    </row>
    <row r="2338" spans="1:4" x14ac:dyDescent="0.25">
      <c r="A2338" t="s">
        <v>1935</v>
      </c>
      <c r="B2338">
        <v>3.2000000000000001E-2</v>
      </c>
      <c r="C2338">
        <v>0</v>
      </c>
      <c r="D2338">
        <v>1.5741935483870977E-2</v>
      </c>
    </row>
    <row r="2339" spans="1:4" x14ac:dyDescent="0.25">
      <c r="A2339" t="s">
        <v>2453</v>
      </c>
      <c r="B2339">
        <v>3.2000000000000001E-2</v>
      </c>
      <c r="C2339">
        <v>0</v>
      </c>
      <c r="D2339">
        <v>2.2395161290322579E-2</v>
      </c>
    </row>
    <row r="2340" spans="1:4" x14ac:dyDescent="0.25">
      <c r="A2340" t="s">
        <v>2458</v>
      </c>
      <c r="B2340">
        <v>3.2000000000000001E-2</v>
      </c>
      <c r="C2340">
        <v>0</v>
      </c>
      <c r="D2340">
        <v>2.4459677419354835E-2</v>
      </c>
    </row>
    <row r="2341" spans="1:4" x14ac:dyDescent="0.25">
      <c r="A2341" t="s">
        <v>333</v>
      </c>
      <c r="B2341">
        <v>3.2000000000000001E-2</v>
      </c>
      <c r="C2341">
        <v>0</v>
      </c>
      <c r="D2341">
        <v>1.4787096774193558E-2</v>
      </c>
    </row>
    <row r="2342" spans="1:4" x14ac:dyDescent="0.25">
      <c r="A2342" t="s">
        <v>513</v>
      </c>
      <c r="B2342">
        <v>3.2000000000000001E-2</v>
      </c>
      <c r="C2342">
        <v>0</v>
      </c>
      <c r="D2342">
        <v>1.7508064516129036E-2</v>
      </c>
    </row>
    <row r="2343" spans="1:4" x14ac:dyDescent="0.25">
      <c r="A2343" t="s">
        <v>1453</v>
      </c>
      <c r="B2343">
        <v>3.2000000000000001E-2</v>
      </c>
      <c r="C2343">
        <v>0</v>
      </c>
      <c r="D2343">
        <v>1.2145161290322578E-2</v>
      </c>
    </row>
    <row r="2344" spans="1:4" x14ac:dyDescent="0.25">
      <c r="A2344" t="s">
        <v>893</v>
      </c>
      <c r="B2344">
        <v>3.1862000000000001E-2</v>
      </c>
      <c r="C2344">
        <v>0</v>
      </c>
      <c r="D2344">
        <v>1.2681854193548385E-2</v>
      </c>
    </row>
    <row r="2345" spans="1:4" x14ac:dyDescent="0.25">
      <c r="A2345" t="s">
        <v>189</v>
      </c>
      <c r="B2345">
        <v>3.1800000000000002E-2</v>
      </c>
      <c r="C2345">
        <v>0</v>
      </c>
      <c r="D2345">
        <v>8.6620967741935471E-3</v>
      </c>
    </row>
    <row r="2346" spans="1:4" x14ac:dyDescent="0.25">
      <c r="A2346" t="s">
        <v>2708</v>
      </c>
      <c r="B2346">
        <v>3.1E-2</v>
      </c>
      <c r="C2346">
        <v>0</v>
      </c>
      <c r="D2346">
        <v>1.8532258064516135E-2</v>
      </c>
    </row>
    <row r="2347" spans="1:4" x14ac:dyDescent="0.25">
      <c r="A2347" t="s">
        <v>491</v>
      </c>
      <c r="B2347">
        <v>3.1E-2</v>
      </c>
      <c r="C2347">
        <v>0</v>
      </c>
      <c r="D2347">
        <v>2.5975806451612897E-2</v>
      </c>
    </row>
    <row r="2348" spans="1:4" x14ac:dyDescent="0.25">
      <c r="A2348" t="s">
        <v>1270</v>
      </c>
      <c r="B2348">
        <v>3.1E-2</v>
      </c>
      <c r="C2348">
        <v>0</v>
      </c>
      <c r="D2348">
        <v>2.192250322580646E-2</v>
      </c>
    </row>
    <row r="2349" spans="1:4" x14ac:dyDescent="0.25">
      <c r="A2349" t="s">
        <v>2310</v>
      </c>
      <c r="B2349">
        <v>3.1E-2</v>
      </c>
      <c r="C2349">
        <v>0</v>
      </c>
      <c r="D2349">
        <v>1.9177419354838715E-2</v>
      </c>
    </row>
    <row r="2350" spans="1:4" x14ac:dyDescent="0.25">
      <c r="A2350" t="s">
        <v>146</v>
      </c>
      <c r="B2350">
        <v>3.04E-2</v>
      </c>
      <c r="C2350">
        <v>0</v>
      </c>
      <c r="D2350">
        <v>1.4331451612903227E-2</v>
      </c>
    </row>
    <row r="2351" spans="1:4" x14ac:dyDescent="0.25">
      <c r="A2351" t="s">
        <v>74</v>
      </c>
      <c r="B2351">
        <v>3.0200000000000001E-2</v>
      </c>
      <c r="C2351">
        <v>0</v>
      </c>
      <c r="D2351">
        <v>6.3435483870967748E-3</v>
      </c>
    </row>
    <row r="2352" spans="1:4" x14ac:dyDescent="0.25">
      <c r="A2352" t="s">
        <v>314</v>
      </c>
      <c r="B2352">
        <v>3.0200000000000001E-2</v>
      </c>
      <c r="C2352">
        <v>1.1599999999999999E-2</v>
      </c>
      <c r="D2352">
        <v>1.8878225806451612E-2</v>
      </c>
    </row>
    <row r="2353" spans="1:4" x14ac:dyDescent="0.25">
      <c r="A2353" t="s">
        <v>934</v>
      </c>
      <c r="B2353">
        <v>3.0099999999999998E-2</v>
      </c>
      <c r="C2353">
        <v>0</v>
      </c>
      <c r="D2353">
        <v>1.0568548387096772E-2</v>
      </c>
    </row>
    <row r="2354" spans="1:4" x14ac:dyDescent="0.25">
      <c r="A2354" t="s">
        <v>791</v>
      </c>
      <c r="B2354">
        <v>3.005E-2</v>
      </c>
      <c r="C2354">
        <v>0</v>
      </c>
      <c r="D2354">
        <v>2.1318156451612912E-2</v>
      </c>
    </row>
    <row r="2355" spans="1:4" x14ac:dyDescent="0.25">
      <c r="A2355" t="s">
        <v>2823</v>
      </c>
      <c r="B2355">
        <v>0.03</v>
      </c>
      <c r="C2355">
        <v>0</v>
      </c>
      <c r="D2355">
        <v>5.3161290322580644E-3</v>
      </c>
    </row>
    <row r="2356" spans="1:4" x14ac:dyDescent="0.25">
      <c r="A2356" t="s">
        <v>1983</v>
      </c>
      <c r="B2356">
        <v>0.03</v>
      </c>
      <c r="C2356">
        <v>1.0139999999999999E-3</v>
      </c>
      <c r="D2356">
        <v>1.5647870967741936E-2</v>
      </c>
    </row>
    <row r="2357" spans="1:4" x14ac:dyDescent="0.25">
      <c r="A2357" t="s">
        <v>2149</v>
      </c>
      <c r="B2357">
        <v>0.03</v>
      </c>
      <c r="C2357">
        <v>0</v>
      </c>
      <c r="D2357">
        <v>2.3180556451612915E-2</v>
      </c>
    </row>
    <row r="2358" spans="1:4" x14ac:dyDescent="0.25">
      <c r="A2358" t="s">
        <v>2150</v>
      </c>
      <c r="B2358">
        <v>0.03</v>
      </c>
      <c r="C2358">
        <v>0</v>
      </c>
      <c r="D2358">
        <v>1.1948669354838719E-2</v>
      </c>
    </row>
    <row r="2359" spans="1:4" x14ac:dyDescent="0.25">
      <c r="A2359" t="s">
        <v>2151</v>
      </c>
      <c r="B2359">
        <v>0.03</v>
      </c>
      <c r="C2359">
        <v>0</v>
      </c>
      <c r="D2359">
        <v>2.6129032258064535E-2</v>
      </c>
    </row>
    <row r="2360" spans="1:4" x14ac:dyDescent="0.25">
      <c r="A2360" t="s">
        <v>2152</v>
      </c>
      <c r="B2360">
        <v>0.03</v>
      </c>
      <c r="C2360">
        <v>0</v>
      </c>
      <c r="D2360">
        <v>2.822580645161292E-2</v>
      </c>
    </row>
    <row r="2361" spans="1:4" x14ac:dyDescent="0.25">
      <c r="A2361" t="s">
        <v>2756</v>
      </c>
      <c r="B2361">
        <v>0.03</v>
      </c>
      <c r="C2361">
        <v>0</v>
      </c>
      <c r="D2361">
        <v>1.1185483870967745E-2</v>
      </c>
    </row>
    <row r="2362" spans="1:4" x14ac:dyDescent="0.25">
      <c r="A2362" t="s">
        <v>1084</v>
      </c>
      <c r="B2362">
        <v>0.03</v>
      </c>
      <c r="C2362">
        <v>0</v>
      </c>
      <c r="D2362">
        <v>1.6693548387096784E-2</v>
      </c>
    </row>
    <row r="2363" spans="1:4" x14ac:dyDescent="0.25">
      <c r="A2363" t="s">
        <v>670</v>
      </c>
      <c r="B2363">
        <v>0.03</v>
      </c>
      <c r="C2363">
        <v>0</v>
      </c>
      <c r="D2363">
        <v>1.9351612903225814E-2</v>
      </c>
    </row>
    <row r="2364" spans="1:4" x14ac:dyDescent="0.25">
      <c r="A2364" t="s">
        <v>393</v>
      </c>
      <c r="B2364">
        <v>0.03</v>
      </c>
      <c r="C2364">
        <v>0</v>
      </c>
      <c r="D2364">
        <v>1.4695624193548387E-2</v>
      </c>
    </row>
    <row r="2365" spans="1:4" x14ac:dyDescent="0.25">
      <c r="A2365" t="s">
        <v>1257</v>
      </c>
      <c r="B2365">
        <v>0.03</v>
      </c>
      <c r="C2365">
        <v>0</v>
      </c>
      <c r="D2365">
        <v>2.0983870967741933E-2</v>
      </c>
    </row>
    <row r="2366" spans="1:4" x14ac:dyDescent="0.25">
      <c r="A2366" t="s">
        <v>2492</v>
      </c>
      <c r="B2366">
        <v>0.03</v>
      </c>
      <c r="C2366">
        <v>0</v>
      </c>
      <c r="D2366">
        <v>4.3064516129032258E-3</v>
      </c>
    </row>
    <row r="2367" spans="1:4" x14ac:dyDescent="0.25">
      <c r="A2367" t="s">
        <v>1119</v>
      </c>
      <c r="B2367">
        <v>0.03</v>
      </c>
      <c r="C2367">
        <v>0</v>
      </c>
      <c r="D2367">
        <v>1.3380645161290332E-2</v>
      </c>
    </row>
    <row r="2368" spans="1:4" x14ac:dyDescent="0.25">
      <c r="A2368" t="s">
        <v>2768</v>
      </c>
      <c r="B2368">
        <v>0.03</v>
      </c>
      <c r="C2368">
        <v>0</v>
      </c>
      <c r="D2368">
        <v>1.2806451612903225E-2</v>
      </c>
    </row>
    <row r="2369" spans="1:4" x14ac:dyDescent="0.25">
      <c r="A2369" t="s">
        <v>626</v>
      </c>
      <c r="B2369">
        <v>0.03</v>
      </c>
      <c r="C2369">
        <v>0</v>
      </c>
      <c r="D2369">
        <v>4.3064516129032249E-3</v>
      </c>
    </row>
    <row r="2370" spans="1:4" x14ac:dyDescent="0.25">
      <c r="A2370" t="s">
        <v>2452</v>
      </c>
      <c r="B2370">
        <v>2.9399999999999999E-2</v>
      </c>
      <c r="C2370">
        <v>6.4000000000000003E-3</v>
      </c>
      <c r="D2370">
        <v>1.3342741935483864E-2</v>
      </c>
    </row>
    <row r="2371" spans="1:4" x14ac:dyDescent="0.25">
      <c r="A2371" t="s">
        <v>2612</v>
      </c>
      <c r="B2371">
        <v>2.9339E-2</v>
      </c>
      <c r="C2371">
        <v>1.0207000000000001E-2</v>
      </c>
      <c r="D2371">
        <v>1.9327467741935486E-2</v>
      </c>
    </row>
    <row r="2372" spans="1:4" x14ac:dyDescent="0.25">
      <c r="A2372" t="s">
        <v>358</v>
      </c>
      <c r="B2372">
        <v>2.92E-2</v>
      </c>
      <c r="C2372">
        <v>2.5000000000000001E-3</v>
      </c>
      <c r="D2372">
        <v>1.5966935483870969E-2</v>
      </c>
    </row>
    <row r="2373" spans="1:4" x14ac:dyDescent="0.25">
      <c r="A2373" t="s">
        <v>1956</v>
      </c>
      <c r="B2373">
        <v>2.9000000000000001E-2</v>
      </c>
      <c r="C2373">
        <v>0</v>
      </c>
      <c r="D2373">
        <v>1.154322580645162E-2</v>
      </c>
    </row>
    <row r="2374" spans="1:4" x14ac:dyDescent="0.25">
      <c r="A2374" t="s">
        <v>646</v>
      </c>
      <c r="B2374">
        <v>2.9000000000000001E-2</v>
      </c>
      <c r="C2374">
        <v>0</v>
      </c>
      <c r="D2374">
        <v>1.6112903225806458E-2</v>
      </c>
    </row>
    <row r="2375" spans="1:4" x14ac:dyDescent="0.25">
      <c r="A2375" t="s">
        <v>2500</v>
      </c>
      <c r="B2375">
        <v>2.9000000000000001E-2</v>
      </c>
      <c r="C2375">
        <v>0</v>
      </c>
      <c r="D2375">
        <v>7.2741935483870996E-3</v>
      </c>
    </row>
    <row r="2376" spans="1:4" x14ac:dyDescent="0.25">
      <c r="A2376" t="s">
        <v>2503</v>
      </c>
      <c r="B2376">
        <v>2.8920000000000001E-2</v>
      </c>
      <c r="C2376">
        <v>0</v>
      </c>
      <c r="D2376">
        <v>5.1896451612903237E-3</v>
      </c>
    </row>
    <row r="2377" spans="1:4" x14ac:dyDescent="0.25">
      <c r="A2377" t="s">
        <v>463</v>
      </c>
      <c r="B2377">
        <v>2.877E-2</v>
      </c>
      <c r="C2377">
        <v>1.308E-2</v>
      </c>
      <c r="D2377">
        <v>2.0178870967741937E-2</v>
      </c>
    </row>
    <row r="2378" spans="1:4" x14ac:dyDescent="0.25">
      <c r="A2378" t="s">
        <v>77</v>
      </c>
      <c r="B2378">
        <v>2.87E-2</v>
      </c>
      <c r="C2378">
        <v>0</v>
      </c>
      <c r="D2378">
        <v>2.3870161290322583E-2</v>
      </c>
    </row>
    <row r="2379" spans="1:4" x14ac:dyDescent="0.25">
      <c r="A2379" t="s">
        <v>417</v>
      </c>
      <c r="B2379">
        <v>2.8000000000000001E-2</v>
      </c>
      <c r="C2379">
        <v>0</v>
      </c>
      <c r="D2379">
        <v>6.3537990322580628E-3</v>
      </c>
    </row>
    <row r="2380" spans="1:4" x14ac:dyDescent="0.25">
      <c r="A2380" t="s">
        <v>119</v>
      </c>
      <c r="B2380">
        <v>2.8000000000000001E-2</v>
      </c>
      <c r="C2380">
        <v>0</v>
      </c>
      <c r="D2380">
        <v>1.8362903225806457E-2</v>
      </c>
    </row>
    <row r="2381" spans="1:4" x14ac:dyDescent="0.25">
      <c r="A2381" t="s">
        <v>2527</v>
      </c>
      <c r="B2381">
        <v>2.8000000000000001E-2</v>
      </c>
      <c r="C2381">
        <v>0</v>
      </c>
      <c r="D2381">
        <v>2.4961290322580626E-2</v>
      </c>
    </row>
    <row r="2382" spans="1:4" x14ac:dyDescent="0.25">
      <c r="A2382" t="s">
        <v>1115</v>
      </c>
      <c r="B2382">
        <v>2.8000000000000001E-2</v>
      </c>
      <c r="C2382">
        <v>0</v>
      </c>
      <c r="D2382">
        <v>7.3860967741935513E-3</v>
      </c>
    </row>
    <row r="2383" spans="1:4" x14ac:dyDescent="0.25">
      <c r="A2383" t="s">
        <v>702</v>
      </c>
      <c r="B2383">
        <v>2.8000000000000001E-2</v>
      </c>
      <c r="C2383">
        <v>0</v>
      </c>
      <c r="D2383">
        <v>1.8252419354838706E-2</v>
      </c>
    </row>
    <row r="2384" spans="1:4" x14ac:dyDescent="0.25">
      <c r="A2384" t="s">
        <v>896</v>
      </c>
      <c r="B2384">
        <v>2.8000000000000001E-2</v>
      </c>
      <c r="C2384">
        <v>0</v>
      </c>
      <c r="D2384">
        <v>1.7393291129032269E-2</v>
      </c>
    </row>
    <row r="2385" spans="1:4" x14ac:dyDescent="0.25">
      <c r="A2385" t="s">
        <v>699</v>
      </c>
      <c r="B2385">
        <v>2.7799999999999998E-2</v>
      </c>
      <c r="C2385">
        <v>0</v>
      </c>
      <c r="D2385">
        <v>1.4708870967741934E-2</v>
      </c>
    </row>
    <row r="2386" spans="1:4" x14ac:dyDescent="0.25">
      <c r="A2386" t="s">
        <v>2780</v>
      </c>
      <c r="B2386">
        <v>2.768E-2</v>
      </c>
      <c r="C2386">
        <v>7.5000000000000002E-4</v>
      </c>
      <c r="D2386">
        <v>1.038266129032258E-2</v>
      </c>
    </row>
    <row r="2387" spans="1:4" x14ac:dyDescent="0.25">
      <c r="A2387" t="s">
        <v>654</v>
      </c>
      <c r="B2387">
        <v>2.7E-2</v>
      </c>
      <c r="C2387">
        <v>0</v>
      </c>
      <c r="D2387">
        <v>9.3064516129032302E-3</v>
      </c>
    </row>
    <row r="2388" spans="1:4" x14ac:dyDescent="0.25">
      <c r="A2388" t="s">
        <v>2764</v>
      </c>
      <c r="B2388">
        <v>2.7E-2</v>
      </c>
      <c r="C2388">
        <v>0</v>
      </c>
      <c r="D2388">
        <v>1.2972580645161292E-2</v>
      </c>
    </row>
    <row r="2389" spans="1:4" x14ac:dyDescent="0.25">
      <c r="A2389" t="s">
        <v>1510</v>
      </c>
      <c r="B2389">
        <v>2.7E-2</v>
      </c>
      <c r="C2389">
        <v>0</v>
      </c>
      <c r="D2389">
        <v>1.5200387096774199E-2</v>
      </c>
    </row>
    <row r="2390" spans="1:4" x14ac:dyDescent="0.25">
      <c r="A2390" t="s">
        <v>1174</v>
      </c>
      <c r="B2390">
        <v>2.7E-2</v>
      </c>
      <c r="C2390">
        <v>0</v>
      </c>
      <c r="D2390">
        <v>5.4467741935483871E-3</v>
      </c>
    </row>
    <row r="2391" spans="1:4" x14ac:dyDescent="0.25">
      <c r="A2391" t="s">
        <v>220</v>
      </c>
      <c r="B2391">
        <v>2.7E-2</v>
      </c>
      <c r="C2391">
        <v>1.6000000000000001E-3</v>
      </c>
      <c r="D2391">
        <v>1.2009677419354846E-2</v>
      </c>
    </row>
    <row r="2392" spans="1:4" x14ac:dyDescent="0.25">
      <c r="A2392" t="s">
        <v>2460</v>
      </c>
      <c r="B2392">
        <v>2.7E-2</v>
      </c>
      <c r="C2392">
        <v>0</v>
      </c>
      <c r="D2392">
        <v>1.5241935483870978E-2</v>
      </c>
    </row>
    <row r="2393" spans="1:4" x14ac:dyDescent="0.25">
      <c r="A2393" t="s">
        <v>532</v>
      </c>
      <c r="B2393">
        <v>2.7E-2</v>
      </c>
      <c r="C2393">
        <v>0</v>
      </c>
      <c r="D2393">
        <v>1.2070645161290328E-2</v>
      </c>
    </row>
    <row r="2394" spans="1:4" x14ac:dyDescent="0.25">
      <c r="A2394" t="s">
        <v>2491</v>
      </c>
      <c r="B2394">
        <v>2.7E-2</v>
      </c>
      <c r="C2394">
        <v>0</v>
      </c>
      <c r="D2394">
        <v>1.2962072580645169E-2</v>
      </c>
    </row>
    <row r="2395" spans="1:4" x14ac:dyDescent="0.25">
      <c r="A2395" t="s">
        <v>2369</v>
      </c>
      <c r="B2395">
        <v>2.7E-2</v>
      </c>
      <c r="C2395">
        <v>0</v>
      </c>
      <c r="D2395">
        <v>1.449112903225807E-2</v>
      </c>
    </row>
    <row r="2396" spans="1:4" x14ac:dyDescent="0.25">
      <c r="A2396" t="s">
        <v>2848</v>
      </c>
      <c r="B2396">
        <v>2.6856999999999999E-2</v>
      </c>
      <c r="C2396">
        <v>0</v>
      </c>
      <c r="D2396">
        <v>1.6720370967741937E-2</v>
      </c>
    </row>
    <row r="2397" spans="1:4" x14ac:dyDescent="0.25">
      <c r="A2397" t="s">
        <v>2247</v>
      </c>
      <c r="B2397">
        <v>2.6811999999999999E-2</v>
      </c>
      <c r="C2397">
        <v>0</v>
      </c>
      <c r="D2397">
        <v>9.8242661290322587E-3</v>
      </c>
    </row>
    <row r="2398" spans="1:4" x14ac:dyDescent="0.25">
      <c r="A2398" t="s">
        <v>2716</v>
      </c>
      <c r="B2398">
        <v>2.6800000000000001E-2</v>
      </c>
      <c r="C2398">
        <v>0</v>
      </c>
      <c r="D2398">
        <v>8.5935483870967794E-3</v>
      </c>
    </row>
    <row r="2399" spans="1:4" x14ac:dyDescent="0.25">
      <c r="A2399" t="s">
        <v>1335</v>
      </c>
      <c r="B2399">
        <v>2.6599999999999999E-2</v>
      </c>
      <c r="C2399">
        <v>0</v>
      </c>
      <c r="D2399">
        <v>1.9232516129032252E-2</v>
      </c>
    </row>
    <row r="2400" spans="1:4" x14ac:dyDescent="0.25">
      <c r="A2400" t="s">
        <v>37</v>
      </c>
      <c r="B2400">
        <v>2.6499999999999999E-2</v>
      </c>
      <c r="C2400">
        <v>0</v>
      </c>
      <c r="D2400">
        <v>2.1616935483870975E-2</v>
      </c>
    </row>
    <row r="2401" spans="1:4" x14ac:dyDescent="0.25">
      <c r="A2401" t="s">
        <v>2573</v>
      </c>
      <c r="B2401">
        <v>2.6200000000000001E-2</v>
      </c>
      <c r="C2401">
        <v>0</v>
      </c>
      <c r="D2401">
        <v>1.2023564516129032E-2</v>
      </c>
    </row>
    <row r="2402" spans="1:4" x14ac:dyDescent="0.25">
      <c r="A2402" t="s">
        <v>415</v>
      </c>
      <c r="B2402">
        <v>2.6061000000000001E-2</v>
      </c>
      <c r="C2402">
        <v>0</v>
      </c>
      <c r="D2402">
        <v>4.6699758064516136E-3</v>
      </c>
    </row>
    <row r="2403" spans="1:4" x14ac:dyDescent="0.25">
      <c r="A2403" t="s">
        <v>1570</v>
      </c>
      <c r="B2403">
        <v>2.5999999999999999E-2</v>
      </c>
      <c r="C2403">
        <v>0</v>
      </c>
      <c r="D2403">
        <v>1.5394435483870971E-2</v>
      </c>
    </row>
    <row r="2404" spans="1:4" x14ac:dyDescent="0.25">
      <c r="A2404" t="s">
        <v>2058</v>
      </c>
      <c r="B2404">
        <v>2.5999999999999999E-2</v>
      </c>
      <c r="C2404">
        <v>0</v>
      </c>
      <c r="D2404">
        <v>1.2532258064516135E-2</v>
      </c>
    </row>
    <row r="2405" spans="1:4" x14ac:dyDescent="0.25">
      <c r="A2405" t="s">
        <v>233</v>
      </c>
      <c r="B2405">
        <v>2.5999999999999999E-2</v>
      </c>
      <c r="C2405">
        <v>0</v>
      </c>
      <c r="D2405">
        <v>7.9022580645161308E-3</v>
      </c>
    </row>
    <row r="2406" spans="1:4" x14ac:dyDescent="0.25">
      <c r="A2406" t="s">
        <v>2220</v>
      </c>
      <c r="B2406">
        <v>2.5999999999999999E-2</v>
      </c>
      <c r="C2406">
        <v>0</v>
      </c>
      <c r="D2406">
        <v>1.5048387096774203E-2</v>
      </c>
    </row>
    <row r="2407" spans="1:4" x14ac:dyDescent="0.25">
      <c r="A2407" t="s">
        <v>2293</v>
      </c>
      <c r="B2407">
        <v>2.5999999999999999E-2</v>
      </c>
      <c r="C2407">
        <v>0</v>
      </c>
      <c r="D2407">
        <v>1.6789967741935485E-2</v>
      </c>
    </row>
    <row r="2408" spans="1:4" x14ac:dyDescent="0.25">
      <c r="A2408" t="s">
        <v>2677</v>
      </c>
      <c r="B2408">
        <v>2.5999999999999999E-2</v>
      </c>
      <c r="C2408">
        <v>1.4500000000000001E-2</v>
      </c>
      <c r="D2408">
        <v>2.0524112903225807E-2</v>
      </c>
    </row>
    <row r="2409" spans="1:4" x14ac:dyDescent="0.25">
      <c r="A2409" t="s">
        <v>140</v>
      </c>
      <c r="B2409">
        <v>2.5999999999999999E-2</v>
      </c>
      <c r="C2409">
        <v>1.4999999999999999E-2</v>
      </c>
      <c r="D2409">
        <v>1.9951612903225804E-2</v>
      </c>
    </row>
    <row r="2410" spans="1:4" x14ac:dyDescent="0.25">
      <c r="A2410" t="s">
        <v>2715</v>
      </c>
      <c r="B2410">
        <v>2.5700000000000001E-2</v>
      </c>
      <c r="C2410">
        <v>0</v>
      </c>
      <c r="D2410">
        <v>7.2317741935483872E-3</v>
      </c>
    </row>
    <row r="2411" spans="1:4" x14ac:dyDescent="0.25">
      <c r="A2411" t="s">
        <v>2517</v>
      </c>
      <c r="B2411">
        <v>2.5499999999999998E-2</v>
      </c>
      <c r="C2411">
        <v>0</v>
      </c>
      <c r="D2411">
        <v>1.9044354838709674E-2</v>
      </c>
    </row>
    <row r="2412" spans="1:4" x14ac:dyDescent="0.25">
      <c r="A2412" t="s">
        <v>2734</v>
      </c>
      <c r="B2412">
        <v>2.53E-2</v>
      </c>
      <c r="C2412">
        <v>2.0000000000000001E-4</v>
      </c>
      <c r="D2412">
        <v>1.0835483870967742E-2</v>
      </c>
    </row>
    <row r="2413" spans="1:4" x14ac:dyDescent="0.25">
      <c r="A2413" t="s">
        <v>2176</v>
      </c>
      <c r="B2413">
        <v>2.5219999999999999E-2</v>
      </c>
      <c r="C2413">
        <v>0</v>
      </c>
      <c r="D2413">
        <v>1.4697725806451619E-2</v>
      </c>
    </row>
    <row r="2414" spans="1:4" x14ac:dyDescent="0.25">
      <c r="A2414" t="s">
        <v>945</v>
      </c>
      <c r="B2414">
        <v>2.5000000000000001E-2</v>
      </c>
      <c r="C2414">
        <v>0</v>
      </c>
      <c r="D2414">
        <v>1.1766129032258068E-2</v>
      </c>
    </row>
    <row r="2415" spans="1:4" x14ac:dyDescent="0.25">
      <c r="A2415" t="s">
        <v>2892</v>
      </c>
      <c r="B2415">
        <v>2.5000000000000001E-2</v>
      </c>
      <c r="C2415">
        <v>0</v>
      </c>
      <c r="D2415">
        <v>1.1814516129032266E-2</v>
      </c>
    </row>
    <row r="2416" spans="1:4" x14ac:dyDescent="0.25">
      <c r="A2416" t="s">
        <v>677</v>
      </c>
      <c r="B2416">
        <v>2.5000000000000001E-2</v>
      </c>
      <c r="C2416">
        <v>0</v>
      </c>
      <c r="D2416">
        <v>1.673387096774194E-2</v>
      </c>
    </row>
    <row r="2417" spans="1:4" x14ac:dyDescent="0.25">
      <c r="A2417" t="s">
        <v>970</v>
      </c>
      <c r="B2417">
        <v>2.5000000000000001E-2</v>
      </c>
      <c r="C2417">
        <v>0</v>
      </c>
      <c r="D2417">
        <v>1.935483870967742E-2</v>
      </c>
    </row>
    <row r="2418" spans="1:4" x14ac:dyDescent="0.25">
      <c r="A2418" t="s">
        <v>2698</v>
      </c>
      <c r="B2418">
        <v>2.5000000000000001E-2</v>
      </c>
      <c r="C2418">
        <v>1.0999999999999999E-2</v>
      </c>
      <c r="D2418">
        <v>1.6766129032258072E-2</v>
      </c>
    </row>
    <row r="2419" spans="1:4" x14ac:dyDescent="0.25">
      <c r="A2419" t="s">
        <v>2486</v>
      </c>
      <c r="B2419">
        <v>2.5000000000000001E-2</v>
      </c>
      <c r="C2419">
        <v>0</v>
      </c>
      <c r="D2419">
        <v>9.3790322580645218E-3</v>
      </c>
    </row>
    <row r="2420" spans="1:4" x14ac:dyDescent="0.25">
      <c r="A2420" t="s">
        <v>440</v>
      </c>
      <c r="B2420">
        <v>2.5000000000000001E-2</v>
      </c>
      <c r="C2420">
        <v>0</v>
      </c>
      <c r="D2420">
        <v>2.7096774193548384E-3</v>
      </c>
    </row>
    <row r="2421" spans="1:4" x14ac:dyDescent="0.25">
      <c r="A2421" t="s">
        <v>1768</v>
      </c>
      <c r="B2421">
        <v>2.4910000000000002E-2</v>
      </c>
      <c r="C2421">
        <v>0</v>
      </c>
      <c r="D2421">
        <v>7.1053629032258071E-3</v>
      </c>
    </row>
    <row r="2422" spans="1:4" x14ac:dyDescent="0.25">
      <c r="A2422" t="s">
        <v>2370</v>
      </c>
      <c r="B2422">
        <v>2.4701000000000001E-2</v>
      </c>
      <c r="C2422">
        <v>0</v>
      </c>
      <c r="D2422">
        <v>1.3349532258064515E-2</v>
      </c>
    </row>
    <row r="2423" spans="1:4" x14ac:dyDescent="0.25">
      <c r="A2423" t="s">
        <v>117</v>
      </c>
      <c r="B2423">
        <v>2.4E-2</v>
      </c>
      <c r="C2423">
        <v>0</v>
      </c>
      <c r="D2423">
        <v>1.697580645161291E-2</v>
      </c>
    </row>
    <row r="2424" spans="1:4" x14ac:dyDescent="0.25">
      <c r="A2424" t="s">
        <v>2119</v>
      </c>
      <c r="B2424">
        <v>2.4E-2</v>
      </c>
      <c r="C2424">
        <v>8.9999999999999993E-3</v>
      </c>
      <c r="D2424">
        <v>1.794516129032259E-2</v>
      </c>
    </row>
    <row r="2425" spans="1:4" x14ac:dyDescent="0.25">
      <c r="A2425" t="s">
        <v>2886</v>
      </c>
      <c r="B2425">
        <v>2.4E-2</v>
      </c>
      <c r="C2425">
        <v>0</v>
      </c>
      <c r="D2425">
        <v>1.3145161290322586E-2</v>
      </c>
    </row>
    <row r="2426" spans="1:4" x14ac:dyDescent="0.25">
      <c r="A2426" t="s">
        <v>2297</v>
      </c>
      <c r="B2426">
        <v>2.4E-2</v>
      </c>
      <c r="C2426">
        <v>0</v>
      </c>
      <c r="D2426">
        <v>8.8225806451612959E-3</v>
      </c>
    </row>
    <row r="2427" spans="1:4" x14ac:dyDescent="0.25">
      <c r="A2427" t="s">
        <v>2504</v>
      </c>
      <c r="B2427">
        <v>2.4E-2</v>
      </c>
      <c r="C2427">
        <v>0</v>
      </c>
      <c r="D2427">
        <v>5.0967741935483892E-3</v>
      </c>
    </row>
    <row r="2428" spans="1:4" x14ac:dyDescent="0.25">
      <c r="A2428" t="s">
        <v>841</v>
      </c>
      <c r="B2428">
        <v>2.3E-2</v>
      </c>
      <c r="C2428">
        <v>0</v>
      </c>
      <c r="D2428">
        <v>5.5064516129032272E-3</v>
      </c>
    </row>
    <row r="2429" spans="1:4" x14ac:dyDescent="0.25">
      <c r="A2429" t="s">
        <v>1159</v>
      </c>
      <c r="B2429">
        <v>2.3E-2</v>
      </c>
      <c r="C2429">
        <v>1.1000000000000001E-3</v>
      </c>
      <c r="D2429">
        <v>9.6006451612903262E-3</v>
      </c>
    </row>
    <row r="2430" spans="1:4" x14ac:dyDescent="0.25">
      <c r="A2430" t="s">
        <v>1466</v>
      </c>
      <c r="B2430">
        <v>2.3E-2</v>
      </c>
      <c r="C2430">
        <v>0</v>
      </c>
      <c r="D2430">
        <v>1.261129032258065E-2</v>
      </c>
    </row>
    <row r="2431" spans="1:4" x14ac:dyDescent="0.25">
      <c r="A2431" t="s">
        <v>2821</v>
      </c>
      <c r="B2431">
        <v>2.3E-2</v>
      </c>
      <c r="C2431">
        <v>0</v>
      </c>
      <c r="D2431">
        <v>8.0157258064516151E-3</v>
      </c>
    </row>
    <row r="2432" spans="1:4" x14ac:dyDescent="0.25">
      <c r="A2432" t="s">
        <v>969</v>
      </c>
      <c r="B2432">
        <v>2.3E-2</v>
      </c>
      <c r="C2432">
        <v>0</v>
      </c>
      <c r="D2432">
        <v>6.9193548387096807E-3</v>
      </c>
    </row>
    <row r="2433" spans="1:4" x14ac:dyDescent="0.25">
      <c r="A2433" t="s">
        <v>688</v>
      </c>
      <c r="B2433">
        <v>2.3E-2</v>
      </c>
      <c r="C2433">
        <v>0</v>
      </c>
      <c r="D2433">
        <v>1.2950000000000008E-2</v>
      </c>
    </row>
    <row r="2434" spans="1:4" x14ac:dyDescent="0.25">
      <c r="A2434" t="s">
        <v>31</v>
      </c>
      <c r="B2434">
        <v>2.3E-2</v>
      </c>
      <c r="C2434">
        <v>0</v>
      </c>
      <c r="D2434">
        <v>1.6056451612903234E-2</v>
      </c>
    </row>
    <row r="2435" spans="1:4" x14ac:dyDescent="0.25">
      <c r="A2435" t="s">
        <v>694</v>
      </c>
      <c r="B2435">
        <v>2.3E-2</v>
      </c>
      <c r="C2435">
        <v>0</v>
      </c>
      <c r="D2435">
        <v>1.7153225806451618E-2</v>
      </c>
    </row>
    <row r="2436" spans="1:4" x14ac:dyDescent="0.25">
      <c r="A2436" t="s">
        <v>238</v>
      </c>
      <c r="B2436">
        <v>2.3E-2</v>
      </c>
      <c r="C2436">
        <v>0</v>
      </c>
      <c r="D2436">
        <v>1.0180645161290327E-2</v>
      </c>
    </row>
    <row r="2437" spans="1:4" x14ac:dyDescent="0.25">
      <c r="A2437" t="s">
        <v>2766</v>
      </c>
      <c r="B2437">
        <v>2.3E-2</v>
      </c>
      <c r="C2437">
        <v>0</v>
      </c>
      <c r="D2437">
        <v>1.0920967741935487E-2</v>
      </c>
    </row>
    <row r="2438" spans="1:4" x14ac:dyDescent="0.25">
      <c r="A2438" t="s">
        <v>1696</v>
      </c>
      <c r="B2438">
        <v>2.2800000000000001E-2</v>
      </c>
      <c r="C2438">
        <v>0</v>
      </c>
      <c r="D2438">
        <v>1.711774193548387E-2</v>
      </c>
    </row>
    <row r="2439" spans="1:4" x14ac:dyDescent="0.25">
      <c r="A2439" t="s">
        <v>2511</v>
      </c>
      <c r="B2439">
        <v>2.2509000000000001E-2</v>
      </c>
      <c r="C2439">
        <v>0</v>
      </c>
      <c r="D2439">
        <v>1.0447854838709678E-2</v>
      </c>
    </row>
    <row r="2440" spans="1:4" x14ac:dyDescent="0.25">
      <c r="A2440" t="s">
        <v>2758</v>
      </c>
      <c r="B2440">
        <v>2.24E-2</v>
      </c>
      <c r="C2440">
        <v>0</v>
      </c>
      <c r="D2440">
        <v>1.585E-2</v>
      </c>
    </row>
    <row r="2441" spans="1:4" x14ac:dyDescent="0.25">
      <c r="A2441" t="s">
        <v>705</v>
      </c>
      <c r="B2441">
        <v>2.24E-2</v>
      </c>
      <c r="C2441">
        <v>0</v>
      </c>
      <c r="D2441">
        <v>1.5033709677419358E-2</v>
      </c>
    </row>
    <row r="2442" spans="1:4" x14ac:dyDescent="0.25">
      <c r="A2442" t="s">
        <v>242</v>
      </c>
      <c r="B2442">
        <v>2.23E-2</v>
      </c>
      <c r="C2442">
        <v>0</v>
      </c>
      <c r="D2442">
        <v>6.8733725806451621E-3</v>
      </c>
    </row>
    <row r="2443" spans="1:4" x14ac:dyDescent="0.25">
      <c r="A2443" t="s">
        <v>722</v>
      </c>
      <c r="B2443">
        <v>2.2100000000000002E-2</v>
      </c>
      <c r="C2443">
        <v>0</v>
      </c>
      <c r="D2443">
        <v>1.1085483870967744E-2</v>
      </c>
    </row>
    <row r="2444" spans="1:4" x14ac:dyDescent="0.25">
      <c r="A2444" t="s">
        <v>1882</v>
      </c>
      <c r="B2444">
        <v>2.1999999999999999E-2</v>
      </c>
      <c r="C2444">
        <v>0</v>
      </c>
      <c r="D2444">
        <v>1.300806451612904E-2</v>
      </c>
    </row>
    <row r="2445" spans="1:4" x14ac:dyDescent="0.25">
      <c r="A2445" t="s">
        <v>1986</v>
      </c>
      <c r="B2445">
        <v>2.1999999999999999E-2</v>
      </c>
      <c r="C2445">
        <v>0.01</v>
      </c>
      <c r="D2445">
        <v>1.5016129032258074E-2</v>
      </c>
    </row>
    <row r="2446" spans="1:4" x14ac:dyDescent="0.25">
      <c r="A2446" t="s">
        <v>2202</v>
      </c>
      <c r="B2446">
        <v>2.1999999999999999E-2</v>
      </c>
      <c r="C2446">
        <v>0</v>
      </c>
      <c r="D2446">
        <v>1.6168790322580645E-2</v>
      </c>
    </row>
    <row r="2447" spans="1:4" x14ac:dyDescent="0.25">
      <c r="A2447" t="s">
        <v>1207</v>
      </c>
      <c r="B2447">
        <v>2.1999999999999999E-2</v>
      </c>
      <c r="C2447">
        <v>0</v>
      </c>
      <c r="D2447">
        <v>8.8331451612903185E-3</v>
      </c>
    </row>
    <row r="2448" spans="1:4" x14ac:dyDescent="0.25">
      <c r="A2448" t="s">
        <v>2663</v>
      </c>
      <c r="B2448">
        <v>2.1999999999999999E-2</v>
      </c>
      <c r="C2448">
        <v>0</v>
      </c>
      <c r="D2448">
        <v>1.3903048387096779E-2</v>
      </c>
    </row>
    <row r="2449" spans="1:4" x14ac:dyDescent="0.25">
      <c r="A2449" t="s">
        <v>2238</v>
      </c>
      <c r="B2449">
        <v>2.1999999999999999E-2</v>
      </c>
      <c r="C2449">
        <v>0</v>
      </c>
      <c r="D2449">
        <v>1.3016129032258074E-2</v>
      </c>
    </row>
    <row r="2450" spans="1:4" x14ac:dyDescent="0.25">
      <c r="A2450" t="s">
        <v>467</v>
      </c>
      <c r="B2450">
        <v>2.1999999999999999E-2</v>
      </c>
      <c r="C2450">
        <v>0</v>
      </c>
      <c r="D2450">
        <v>1.0748387096774201E-2</v>
      </c>
    </row>
    <row r="2451" spans="1:4" x14ac:dyDescent="0.25">
      <c r="A2451" t="s">
        <v>2888</v>
      </c>
      <c r="B2451">
        <v>2.1999999999999999E-2</v>
      </c>
      <c r="C2451">
        <v>0</v>
      </c>
      <c r="D2451">
        <v>5.7004032258064514E-3</v>
      </c>
    </row>
    <row r="2452" spans="1:4" x14ac:dyDescent="0.25">
      <c r="A2452" t="s">
        <v>2099</v>
      </c>
      <c r="B2452">
        <v>2.1793E-2</v>
      </c>
      <c r="C2452">
        <v>1.0500000000000001E-2</v>
      </c>
      <c r="D2452">
        <v>1.6671225806451615E-2</v>
      </c>
    </row>
    <row r="2453" spans="1:4" x14ac:dyDescent="0.25">
      <c r="A2453" t="s">
        <v>2853</v>
      </c>
      <c r="B2453">
        <v>2.171E-2</v>
      </c>
      <c r="C2453">
        <v>0</v>
      </c>
      <c r="D2453">
        <v>7.8986129032258059E-3</v>
      </c>
    </row>
    <row r="2454" spans="1:4" x14ac:dyDescent="0.25">
      <c r="A2454" t="s">
        <v>2586</v>
      </c>
      <c r="B2454">
        <v>2.1700000000000001E-2</v>
      </c>
      <c r="C2454">
        <v>0</v>
      </c>
      <c r="D2454">
        <v>7.7016129032258084E-3</v>
      </c>
    </row>
    <row r="2455" spans="1:4" x14ac:dyDescent="0.25">
      <c r="A2455" t="s">
        <v>2087</v>
      </c>
      <c r="B2455">
        <v>2.1399999999999999E-2</v>
      </c>
      <c r="C2455">
        <v>0</v>
      </c>
      <c r="D2455">
        <v>9.0030806451612874E-3</v>
      </c>
    </row>
    <row r="2456" spans="1:4" x14ac:dyDescent="0.25">
      <c r="A2456" t="s">
        <v>2052</v>
      </c>
      <c r="B2456">
        <v>2.12E-2</v>
      </c>
      <c r="C2456">
        <v>0</v>
      </c>
      <c r="D2456">
        <v>1.1464516129032257E-3</v>
      </c>
    </row>
    <row r="2457" spans="1:4" x14ac:dyDescent="0.25">
      <c r="A2457" t="s">
        <v>2432</v>
      </c>
      <c r="B2457">
        <v>2.1000000000000001E-2</v>
      </c>
      <c r="C2457">
        <v>0</v>
      </c>
      <c r="D2457">
        <v>6.3064516129032284E-3</v>
      </c>
    </row>
    <row r="2458" spans="1:4" x14ac:dyDescent="0.25">
      <c r="A2458" t="s">
        <v>1145</v>
      </c>
      <c r="B2458">
        <v>2.1000000000000001E-2</v>
      </c>
      <c r="C2458">
        <v>4.1089999999999998E-3</v>
      </c>
      <c r="D2458">
        <v>1.1021048387096777E-2</v>
      </c>
    </row>
    <row r="2459" spans="1:4" x14ac:dyDescent="0.25">
      <c r="A2459" t="s">
        <v>1579</v>
      </c>
      <c r="B2459">
        <v>2.1000000000000001E-2</v>
      </c>
      <c r="C2459">
        <v>0</v>
      </c>
      <c r="D2459">
        <v>1.5580645161290331E-2</v>
      </c>
    </row>
    <row r="2460" spans="1:4" x14ac:dyDescent="0.25">
      <c r="A2460" t="s">
        <v>305</v>
      </c>
      <c r="B2460">
        <v>2.1000000000000001E-2</v>
      </c>
      <c r="C2460">
        <v>0</v>
      </c>
      <c r="D2460">
        <v>8.3306451612903294E-3</v>
      </c>
    </row>
    <row r="2461" spans="1:4" x14ac:dyDescent="0.25">
      <c r="A2461" t="s">
        <v>2278</v>
      </c>
      <c r="B2461">
        <v>2.1000000000000001E-2</v>
      </c>
      <c r="C2461">
        <v>0</v>
      </c>
      <c r="D2461">
        <v>6.8741935483870977E-3</v>
      </c>
    </row>
    <row r="2462" spans="1:4" x14ac:dyDescent="0.25">
      <c r="A2462" t="s">
        <v>2301</v>
      </c>
      <c r="B2462">
        <v>2.0820000000000002E-2</v>
      </c>
      <c r="C2462">
        <v>0</v>
      </c>
      <c r="D2462">
        <v>5.2242419354838711E-3</v>
      </c>
    </row>
    <row r="2463" spans="1:4" x14ac:dyDescent="0.25">
      <c r="A2463" t="s">
        <v>1427</v>
      </c>
      <c r="B2463">
        <v>2.07E-2</v>
      </c>
      <c r="C2463">
        <v>0</v>
      </c>
      <c r="D2463">
        <v>1.0345437096774199E-2</v>
      </c>
    </row>
    <row r="2464" spans="1:4" x14ac:dyDescent="0.25">
      <c r="A2464" t="s">
        <v>1357</v>
      </c>
      <c r="B2464">
        <v>2.0677999999999998E-2</v>
      </c>
      <c r="C2464">
        <v>0</v>
      </c>
      <c r="D2464">
        <v>1.376178548387097E-2</v>
      </c>
    </row>
    <row r="2465" spans="1:4" x14ac:dyDescent="0.25">
      <c r="A2465" t="s">
        <v>2350</v>
      </c>
      <c r="B2465">
        <v>2.0659E-2</v>
      </c>
      <c r="C2465">
        <v>0</v>
      </c>
      <c r="D2465">
        <v>1.1429626612903225E-2</v>
      </c>
    </row>
    <row r="2466" spans="1:4" x14ac:dyDescent="0.25">
      <c r="A2466" t="s">
        <v>370</v>
      </c>
      <c r="B2466">
        <v>2.06E-2</v>
      </c>
      <c r="C2466">
        <v>0</v>
      </c>
      <c r="D2466">
        <v>1.0388709677419353E-2</v>
      </c>
    </row>
    <row r="2467" spans="1:4" x14ac:dyDescent="0.25">
      <c r="A2467" t="s">
        <v>495</v>
      </c>
      <c r="B2467">
        <v>2.052E-2</v>
      </c>
      <c r="C2467">
        <v>0</v>
      </c>
      <c r="D2467">
        <v>1.1786983870967747E-2</v>
      </c>
    </row>
    <row r="2468" spans="1:4" x14ac:dyDescent="0.25">
      <c r="A2468" t="s">
        <v>2111</v>
      </c>
      <c r="B2468">
        <v>2.0449999999999999E-2</v>
      </c>
      <c r="C2468">
        <v>0</v>
      </c>
      <c r="D2468">
        <v>6.7459677419354838E-3</v>
      </c>
    </row>
    <row r="2469" spans="1:4" x14ac:dyDescent="0.25">
      <c r="A2469" t="s">
        <v>2781</v>
      </c>
      <c r="B2469">
        <v>2.0405E-2</v>
      </c>
      <c r="C2469">
        <v>0</v>
      </c>
      <c r="D2469">
        <v>1.3706258064516129E-2</v>
      </c>
    </row>
    <row r="2470" spans="1:4" x14ac:dyDescent="0.25">
      <c r="A2470" t="s">
        <v>2174</v>
      </c>
      <c r="B2470">
        <v>2.01E-2</v>
      </c>
      <c r="C2470">
        <v>0</v>
      </c>
      <c r="D2470">
        <v>1.0899999999999998E-2</v>
      </c>
    </row>
    <row r="2471" spans="1:4" x14ac:dyDescent="0.25">
      <c r="A2471" t="s">
        <v>1806</v>
      </c>
      <c r="B2471">
        <v>0.02</v>
      </c>
      <c r="C2471">
        <v>0</v>
      </c>
      <c r="D2471">
        <v>5.4137096774193568E-3</v>
      </c>
    </row>
    <row r="2472" spans="1:4" x14ac:dyDescent="0.25">
      <c r="A2472" t="s">
        <v>1152</v>
      </c>
      <c r="B2472">
        <v>0.02</v>
      </c>
      <c r="C2472">
        <v>3.0000000000000001E-3</v>
      </c>
      <c r="D2472">
        <v>1.0669354838709684E-2</v>
      </c>
    </row>
    <row r="2473" spans="1:4" x14ac:dyDescent="0.25">
      <c r="A2473" t="s">
        <v>1172</v>
      </c>
      <c r="B2473">
        <v>0.02</v>
      </c>
      <c r="C2473">
        <v>1E-3</v>
      </c>
      <c r="D2473">
        <v>9.346774193548393E-3</v>
      </c>
    </row>
    <row r="2474" spans="1:4" x14ac:dyDescent="0.25">
      <c r="A2474" t="s">
        <v>464</v>
      </c>
      <c r="B2474">
        <v>0.02</v>
      </c>
      <c r="C2474">
        <v>0</v>
      </c>
      <c r="D2474">
        <v>8.7548387096774236E-3</v>
      </c>
    </row>
    <row r="2475" spans="1:4" x14ac:dyDescent="0.25">
      <c r="A2475" t="s">
        <v>2629</v>
      </c>
      <c r="B2475">
        <v>0.02</v>
      </c>
      <c r="C2475">
        <v>0</v>
      </c>
      <c r="D2475">
        <v>1.1120919354838714E-2</v>
      </c>
    </row>
    <row r="2476" spans="1:4" x14ac:dyDescent="0.25">
      <c r="A2476" t="s">
        <v>494</v>
      </c>
      <c r="B2476">
        <v>0.02</v>
      </c>
      <c r="C2476">
        <v>0</v>
      </c>
      <c r="D2476">
        <v>1.9677419354838719E-2</v>
      </c>
    </row>
    <row r="2477" spans="1:4" x14ac:dyDescent="0.25">
      <c r="A2477" t="s">
        <v>2335</v>
      </c>
      <c r="B2477">
        <v>0.02</v>
      </c>
      <c r="C2477">
        <v>0</v>
      </c>
      <c r="D2477">
        <v>1.027983870967742E-2</v>
      </c>
    </row>
    <row r="2478" spans="1:4" x14ac:dyDescent="0.25">
      <c r="A2478" t="s">
        <v>1532</v>
      </c>
      <c r="B2478">
        <v>0.02</v>
      </c>
      <c r="C2478">
        <v>0</v>
      </c>
      <c r="D2478">
        <v>9.2459677419354843E-3</v>
      </c>
    </row>
    <row r="2479" spans="1:4" x14ac:dyDescent="0.25">
      <c r="A2479" t="s">
        <v>2357</v>
      </c>
      <c r="B2479">
        <v>0.02</v>
      </c>
      <c r="C2479">
        <v>0</v>
      </c>
      <c r="D2479">
        <v>1.2903225806451623E-2</v>
      </c>
    </row>
    <row r="2480" spans="1:4" x14ac:dyDescent="0.25">
      <c r="A2480" t="s">
        <v>637</v>
      </c>
      <c r="B2480">
        <v>0.02</v>
      </c>
      <c r="C2480">
        <v>0</v>
      </c>
      <c r="D2480">
        <v>3.2887096774193545E-3</v>
      </c>
    </row>
    <row r="2481" spans="1:4" x14ac:dyDescent="0.25">
      <c r="A2481" t="s">
        <v>2802</v>
      </c>
      <c r="B2481">
        <v>1.9800000000000002E-2</v>
      </c>
      <c r="C2481">
        <v>0</v>
      </c>
      <c r="D2481">
        <v>2.6553225806451621E-3</v>
      </c>
    </row>
    <row r="2482" spans="1:4" x14ac:dyDescent="0.25">
      <c r="A2482" t="s">
        <v>410</v>
      </c>
      <c r="B2482">
        <v>1.95E-2</v>
      </c>
      <c r="C2482">
        <v>0</v>
      </c>
      <c r="D2482">
        <v>7.5542096774193542E-3</v>
      </c>
    </row>
    <row r="2483" spans="1:4" x14ac:dyDescent="0.25">
      <c r="A2483" t="s">
        <v>1407</v>
      </c>
      <c r="B2483">
        <v>1.934E-2</v>
      </c>
      <c r="C2483">
        <v>0</v>
      </c>
      <c r="D2483">
        <v>7.6140443548387083E-3</v>
      </c>
    </row>
    <row r="2484" spans="1:4" x14ac:dyDescent="0.25">
      <c r="A2484" t="s">
        <v>657</v>
      </c>
      <c r="B2484">
        <v>1.9E-2</v>
      </c>
      <c r="C2484">
        <v>0</v>
      </c>
      <c r="D2484">
        <v>6.7016129032258101E-3</v>
      </c>
    </row>
    <row r="2485" spans="1:4" x14ac:dyDescent="0.25">
      <c r="A2485" t="s">
        <v>2001</v>
      </c>
      <c r="B2485">
        <v>1.9E-2</v>
      </c>
      <c r="C2485">
        <v>0</v>
      </c>
      <c r="D2485">
        <v>4.8709677419354856E-3</v>
      </c>
    </row>
    <row r="2486" spans="1:4" x14ac:dyDescent="0.25">
      <c r="A2486" t="s">
        <v>770</v>
      </c>
      <c r="B2486">
        <v>1.9E-2</v>
      </c>
      <c r="C2486">
        <v>0</v>
      </c>
      <c r="D2486">
        <v>8.5927419354838701E-3</v>
      </c>
    </row>
    <row r="2487" spans="1:4" x14ac:dyDescent="0.25">
      <c r="A2487" t="s">
        <v>2124</v>
      </c>
      <c r="B2487">
        <v>1.9E-2</v>
      </c>
      <c r="C2487">
        <v>0</v>
      </c>
      <c r="D2487">
        <v>6.0199838709677402E-3</v>
      </c>
    </row>
    <row r="2488" spans="1:4" x14ac:dyDescent="0.25">
      <c r="A2488" t="s">
        <v>446</v>
      </c>
      <c r="B2488">
        <v>1.9E-2</v>
      </c>
      <c r="C2488">
        <v>0</v>
      </c>
      <c r="D2488">
        <v>1.0790322580645167E-2</v>
      </c>
    </row>
    <row r="2489" spans="1:4" x14ac:dyDescent="0.25">
      <c r="A2489" t="s">
        <v>571</v>
      </c>
      <c r="B2489">
        <v>1.9E-2</v>
      </c>
      <c r="C2489">
        <v>0</v>
      </c>
      <c r="D2489">
        <v>3.7531774193548363E-3</v>
      </c>
    </row>
    <row r="2490" spans="1:4" x14ac:dyDescent="0.25">
      <c r="A2490" t="s">
        <v>2757</v>
      </c>
      <c r="B2490">
        <v>1.9E-2</v>
      </c>
      <c r="C2490">
        <v>0</v>
      </c>
      <c r="D2490">
        <v>7.9629032258064555E-3</v>
      </c>
    </row>
    <row r="2491" spans="1:4" x14ac:dyDescent="0.25">
      <c r="A2491" t="s">
        <v>373</v>
      </c>
      <c r="B2491">
        <v>1.9E-2</v>
      </c>
      <c r="C2491">
        <v>0</v>
      </c>
      <c r="D2491">
        <v>7.2258064516129081E-3</v>
      </c>
    </row>
    <row r="2492" spans="1:4" x14ac:dyDescent="0.25">
      <c r="A2492" t="s">
        <v>2656</v>
      </c>
      <c r="B2492">
        <v>1.9E-2</v>
      </c>
      <c r="C2492">
        <v>0</v>
      </c>
      <c r="D2492">
        <v>1.1103225806451615E-2</v>
      </c>
    </row>
    <row r="2493" spans="1:4" x14ac:dyDescent="0.25">
      <c r="A2493" t="s">
        <v>686</v>
      </c>
      <c r="B2493">
        <v>1.8700000000000001E-2</v>
      </c>
      <c r="C2493">
        <v>0</v>
      </c>
      <c r="D2493">
        <v>1.2035483870967744E-2</v>
      </c>
    </row>
    <row r="2494" spans="1:4" x14ac:dyDescent="0.25">
      <c r="A2494" t="s">
        <v>245</v>
      </c>
      <c r="B2494">
        <v>1.8633E-2</v>
      </c>
      <c r="C2494">
        <v>0</v>
      </c>
      <c r="D2494">
        <v>9.1520725806451611E-3</v>
      </c>
    </row>
    <row r="2495" spans="1:4" x14ac:dyDescent="0.25">
      <c r="A2495" t="s">
        <v>2621</v>
      </c>
      <c r="B2495">
        <v>1.83E-2</v>
      </c>
      <c r="C2495">
        <v>7.352E-3</v>
      </c>
      <c r="D2495">
        <v>1.2414225806451617E-2</v>
      </c>
    </row>
    <row r="2496" spans="1:4" x14ac:dyDescent="0.25">
      <c r="A2496" t="s">
        <v>650</v>
      </c>
      <c r="B2496">
        <v>1.7999999999999999E-2</v>
      </c>
      <c r="C2496">
        <v>0</v>
      </c>
      <c r="D2496">
        <v>6.1854838709677453E-3</v>
      </c>
    </row>
    <row r="2497" spans="1:4" x14ac:dyDescent="0.25">
      <c r="A2497" t="s">
        <v>1569</v>
      </c>
      <c r="B2497">
        <v>1.7999999999999999E-2</v>
      </c>
      <c r="C2497">
        <v>0</v>
      </c>
      <c r="D2497">
        <v>1.1322580645161296E-2</v>
      </c>
    </row>
    <row r="2498" spans="1:4" x14ac:dyDescent="0.25">
      <c r="A2498" t="s">
        <v>2177</v>
      </c>
      <c r="B2498">
        <v>1.7999999999999999E-2</v>
      </c>
      <c r="C2498">
        <v>0</v>
      </c>
      <c r="D2498">
        <v>7.8591935483870983E-3</v>
      </c>
    </row>
    <row r="2499" spans="1:4" x14ac:dyDescent="0.25">
      <c r="A2499" t="s">
        <v>516</v>
      </c>
      <c r="B2499">
        <v>1.7999999999999999E-2</v>
      </c>
      <c r="C2499">
        <v>0</v>
      </c>
      <c r="D2499">
        <v>7.1541774193548428E-3</v>
      </c>
    </row>
    <row r="2500" spans="1:4" x14ac:dyDescent="0.25">
      <c r="A2500" t="s">
        <v>1693</v>
      </c>
      <c r="B2500">
        <v>1.7999999999999999E-2</v>
      </c>
      <c r="C2500">
        <v>1.4999999999999999E-4</v>
      </c>
      <c r="D2500">
        <v>8.2911290322580673E-3</v>
      </c>
    </row>
    <row r="2501" spans="1:4" x14ac:dyDescent="0.25">
      <c r="A2501" t="s">
        <v>627</v>
      </c>
      <c r="B2501">
        <v>1.7999999999999999E-2</v>
      </c>
      <c r="C2501">
        <v>0</v>
      </c>
      <c r="D2501">
        <v>2.6290322580645163E-3</v>
      </c>
    </row>
    <row r="2502" spans="1:4" x14ac:dyDescent="0.25">
      <c r="A2502" t="s">
        <v>2469</v>
      </c>
      <c r="B2502">
        <v>1.77E-2</v>
      </c>
      <c r="C2502">
        <v>0</v>
      </c>
      <c r="D2502">
        <v>4.9695623387096786E-3</v>
      </c>
    </row>
    <row r="2503" spans="1:4" x14ac:dyDescent="0.25">
      <c r="A2503" t="s">
        <v>2815</v>
      </c>
      <c r="B2503">
        <v>1.7628000000000001E-2</v>
      </c>
      <c r="C2503">
        <v>0</v>
      </c>
      <c r="D2503">
        <v>1.0204975806451615E-2</v>
      </c>
    </row>
    <row r="2504" spans="1:4" x14ac:dyDescent="0.25">
      <c r="A2504" t="s">
        <v>1445</v>
      </c>
      <c r="B2504">
        <v>1.7600000000000001E-2</v>
      </c>
      <c r="C2504">
        <v>0</v>
      </c>
      <c r="D2504">
        <v>7.003274193548386E-3</v>
      </c>
    </row>
    <row r="2505" spans="1:4" x14ac:dyDescent="0.25">
      <c r="A2505" t="s">
        <v>1573</v>
      </c>
      <c r="B2505">
        <v>1.7500000000000002E-2</v>
      </c>
      <c r="C2505">
        <v>0</v>
      </c>
      <c r="D2505">
        <v>9.2664516129032266E-3</v>
      </c>
    </row>
    <row r="2506" spans="1:4" x14ac:dyDescent="0.25">
      <c r="A2506" t="s">
        <v>600</v>
      </c>
      <c r="B2506">
        <v>1.7302999999999999E-2</v>
      </c>
      <c r="C2506">
        <v>0</v>
      </c>
      <c r="D2506">
        <v>1.0421169354838711E-2</v>
      </c>
    </row>
    <row r="2507" spans="1:4" x14ac:dyDescent="0.25">
      <c r="A2507" t="s">
        <v>2617</v>
      </c>
      <c r="B2507">
        <v>1.72E-2</v>
      </c>
      <c r="C2507">
        <v>7.1999999999999998E-3</v>
      </c>
      <c r="D2507">
        <v>1.1889161290322581E-2</v>
      </c>
    </row>
    <row r="2508" spans="1:4" x14ac:dyDescent="0.25">
      <c r="A2508" t="s">
        <v>43</v>
      </c>
      <c r="B2508">
        <v>1.7000000000000001E-2</v>
      </c>
      <c r="C2508">
        <v>0</v>
      </c>
      <c r="D2508">
        <v>9.2599274193548367E-3</v>
      </c>
    </row>
    <row r="2509" spans="1:4" x14ac:dyDescent="0.25">
      <c r="A2509" t="s">
        <v>110</v>
      </c>
      <c r="B2509">
        <v>1.7000000000000001E-2</v>
      </c>
      <c r="C2509">
        <v>0</v>
      </c>
      <c r="D2509">
        <v>5.0137096774193557E-3</v>
      </c>
    </row>
    <row r="2510" spans="1:4" x14ac:dyDescent="0.25">
      <c r="A2510" t="s">
        <v>2107</v>
      </c>
      <c r="B2510">
        <v>1.7000000000000001E-2</v>
      </c>
      <c r="C2510">
        <v>0</v>
      </c>
      <c r="D2510">
        <v>1.2596774193548394E-2</v>
      </c>
    </row>
    <row r="2511" spans="1:4" x14ac:dyDescent="0.25">
      <c r="A2511" t="s">
        <v>2196</v>
      </c>
      <c r="B2511">
        <v>1.7000000000000001E-2</v>
      </c>
      <c r="C2511">
        <v>0</v>
      </c>
      <c r="D2511">
        <v>1.2935483870967752E-2</v>
      </c>
    </row>
    <row r="2512" spans="1:4" x14ac:dyDescent="0.25">
      <c r="A2512" t="s">
        <v>706</v>
      </c>
      <c r="B2512">
        <v>1.7000000000000001E-2</v>
      </c>
      <c r="C2512">
        <v>0</v>
      </c>
      <c r="D2512">
        <v>1.1283870967741942E-2</v>
      </c>
    </row>
    <row r="2513" spans="1:4" x14ac:dyDescent="0.25">
      <c r="A2513" t="s">
        <v>710</v>
      </c>
      <c r="B2513">
        <v>1.7000000000000001E-2</v>
      </c>
      <c r="C2513">
        <v>5.0000000000000001E-3</v>
      </c>
      <c r="D2513">
        <v>1.1000000000000008E-2</v>
      </c>
    </row>
    <row r="2514" spans="1:4" x14ac:dyDescent="0.25">
      <c r="A2514" t="s">
        <v>2332</v>
      </c>
      <c r="B2514">
        <v>1.7000000000000001E-2</v>
      </c>
      <c r="C2514">
        <v>0</v>
      </c>
      <c r="D2514">
        <v>1.1865483870967747E-2</v>
      </c>
    </row>
    <row r="2515" spans="1:4" x14ac:dyDescent="0.25">
      <c r="A2515" t="s">
        <v>2814</v>
      </c>
      <c r="B2515">
        <v>1.7000000000000001E-2</v>
      </c>
      <c r="C2515">
        <v>0</v>
      </c>
      <c r="D2515">
        <v>9.885483870967748E-3</v>
      </c>
    </row>
    <row r="2516" spans="1:4" x14ac:dyDescent="0.25">
      <c r="A2516" t="s">
        <v>2767</v>
      </c>
      <c r="B2516">
        <v>1.6899999999999998E-2</v>
      </c>
      <c r="C2516">
        <v>0</v>
      </c>
      <c r="D2516">
        <v>9.5951612903225781E-3</v>
      </c>
    </row>
    <row r="2517" spans="1:4" x14ac:dyDescent="0.25">
      <c r="A2517" t="s">
        <v>418</v>
      </c>
      <c r="B2517">
        <v>1.6788000000000001E-2</v>
      </c>
      <c r="C2517">
        <v>0</v>
      </c>
      <c r="D2517">
        <v>4.6306693548387109E-3</v>
      </c>
    </row>
    <row r="2518" spans="1:4" x14ac:dyDescent="0.25">
      <c r="A2518" t="s">
        <v>2103</v>
      </c>
      <c r="B2518">
        <v>1.6716999999999999E-2</v>
      </c>
      <c r="C2518">
        <v>0</v>
      </c>
      <c r="D2518">
        <v>1.1762722580645162E-2</v>
      </c>
    </row>
    <row r="2519" spans="1:4" x14ac:dyDescent="0.25">
      <c r="A2519" t="s">
        <v>2260</v>
      </c>
      <c r="B2519">
        <v>1.67E-2</v>
      </c>
      <c r="C2519">
        <v>0</v>
      </c>
      <c r="D2519">
        <v>1.0133870967741935E-2</v>
      </c>
    </row>
    <row r="2520" spans="1:4" x14ac:dyDescent="0.25">
      <c r="A2520" t="s">
        <v>2813</v>
      </c>
      <c r="B2520">
        <v>1.6645E-2</v>
      </c>
      <c r="C2520">
        <v>8.9030000000000001E-4</v>
      </c>
      <c r="D2520">
        <v>7.5334645161290311E-3</v>
      </c>
    </row>
    <row r="2521" spans="1:4" x14ac:dyDescent="0.25">
      <c r="A2521" t="s">
        <v>368</v>
      </c>
      <c r="B2521">
        <v>1.66E-2</v>
      </c>
      <c r="C2521">
        <v>0</v>
      </c>
      <c r="D2521">
        <v>6.5395161290322584E-3</v>
      </c>
    </row>
    <row r="2522" spans="1:4" x14ac:dyDescent="0.25">
      <c r="A2522" t="s">
        <v>1567</v>
      </c>
      <c r="B2522">
        <v>1.6049999999999998E-2</v>
      </c>
      <c r="C2522">
        <v>0</v>
      </c>
      <c r="D2522">
        <v>1.2576290322580641E-2</v>
      </c>
    </row>
    <row r="2523" spans="1:4" x14ac:dyDescent="0.25">
      <c r="A2523" t="s">
        <v>659</v>
      </c>
      <c r="B2523">
        <v>1.6E-2</v>
      </c>
      <c r="C2523">
        <v>0</v>
      </c>
      <c r="D2523">
        <v>5.5161290322580676E-3</v>
      </c>
    </row>
    <row r="2524" spans="1:4" x14ac:dyDescent="0.25">
      <c r="A2524" t="s">
        <v>2271</v>
      </c>
      <c r="B2524">
        <v>1.6E-2</v>
      </c>
      <c r="C2524">
        <v>0</v>
      </c>
      <c r="D2524">
        <v>9.438709677419355E-3</v>
      </c>
    </row>
    <row r="2525" spans="1:4" x14ac:dyDescent="0.25">
      <c r="A2525" t="s">
        <v>1584</v>
      </c>
      <c r="B2525">
        <v>1.6E-2</v>
      </c>
      <c r="C2525">
        <v>0</v>
      </c>
      <c r="D2525">
        <v>8.1633870967741991E-3</v>
      </c>
    </row>
    <row r="2526" spans="1:4" x14ac:dyDescent="0.25">
      <c r="A2526" t="s">
        <v>71</v>
      </c>
      <c r="B2526">
        <v>1.6E-2</v>
      </c>
      <c r="C2526">
        <v>2.3999999999999998E-3</v>
      </c>
      <c r="D2526">
        <v>1.0155645161290321E-2</v>
      </c>
    </row>
    <row r="2527" spans="1:4" x14ac:dyDescent="0.25">
      <c r="A2527" t="s">
        <v>1454</v>
      </c>
      <c r="B2527">
        <v>1.6E-2</v>
      </c>
      <c r="C2527">
        <v>0</v>
      </c>
      <c r="D2527">
        <v>8.5373387096774247E-3</v>
      </c>
    </row>
    <row r="2528" spans="1:4" x14ac:dyDescent="0.25">
      <c r="A2528" t="s">
        <v>2359</v>
      </c>
      <c r="B2528">
        <v>1.5800000000000002E-2</v>
      </c>
      <c r="C2528">
        <v>0</v>
      </c>
      <c r="D2528">
        <v>4.2451774193548392E-3</v>
      </c>
    </row>
    <row r="2529" spans="1:4" x14ac:dyDescent="0.25">
      <c r="A2529" t="s">
        <v>2291</v>
      </c>
      <c r="B2529">
        <v>1.5636000000000001E-2</v>
      </c>
      <c r="C2529">
        <v>7.7099999999999998E-4</v>
      </c>
      <c r="D2529">
        <v>7.8879677419354845E-3</v>
      </c>
    </row>
    <row r="2530" spans="1:4" x14ac:dyDescent="0.25">
      <c r="A2530" t="s">
        <v>221</v>
      </c>
      <c r="B2530">
        <v>1.54E-2</v>
      </c>
      <c r="C2530">
        <v>0</v>
      </c>
      <c r="D2530">
        <v>1.1399999999999999E-2</v>
      </c>
    </row>
    <row r="2531" spans="1:4" x14ac:dyDescent="0.25">
      <c r="A2531" t="s">
        <v>465</v>
      </c>
      <c r="B2531">
        <v>1.538E-2</v>
      </c>
      <c r="C2531">
        <v>6.7000000000000002E-4</v>
      </c>
      <c r="D2531">
        <v>7.4483870967741918E-3</v>
      </c>
    </row>
    <row r="2532" spans="1:4" x14ac:dyDescent="0.25">
      <c r="A2532" t="s">
        <v>512</v>
      </c>
      <c r="B2532">
        <v>1.5299999999999999E-2</v>
      </c>
      <c r="C2532">
        <v>0</v>
      </c>
      <c r="D2532">
        <v>8.1105806451612916E-3</v>
      </c>
    </row>
    <row r="2533" spans="1:4" x14ac:dyDescent="0.25">
      <c r="A2533" t="s">
        <v>555</v>
      </c>
      <c r="B2533">
        <v>1.5259999999999999E-2</v>
      </c>
      <c r="C2533">
        <v>0</v>
      </c>
      <c r="D2533">
        <v>2.3905483870967745E-3</v>
      </c>
    </row>
    <row r="2534" spans="1:4" x14ac:dyDescent="0.25">
      <c r="A2534" t="s">
        <v>2264</v>
      </c>
      <c r="B2534">
        <v>1.5228E-2</v>
      </c>
      <c r="C2534">
        <v>0</v>
      </c>
      <c r="D2534">
        <v>5.8835000000000016E-3</v>
      </c>
    </row>
    <row r="2535" spans="1:4" x14ac:dyDescent="0.25">
      <c r="A2535" t="s">
        <v>2080</v>
      </c>
      <c r="B2535">
        <v>1.4999999999999999E-2</v>
      </c>
      <c r="C2535">
        <v>0</v>
      </c>
      <c r="D2535">
        <v>8.7435483870967733E-3</v>
      </c>
    </row>
    <row r="2536" spans="1:4" x14ac:dyDescent="0.25">
      <c r="A2536" t="s">
        <v>2911</v>
      </c>
      <c r="B2536">
        <v>1.4999999999999999E-2</v>
      </c>
      <c r="C2536">
        <v>0</v>
      </c>
      <c r="D2536">
        <v>8.4193548387096837E-3</v>
      </c>
    </row>
    <row r="2537" spans="1:4" x14ac:dyDescent="0.25">
      <c r="A2537" t="s">
        <v>2217</v>
      </c>
      <c r="B2537">
        <v>1.4999999999999999E-2</v>
      </c>
      <c r="C2537">
        <v>0</v>
      </c>
      <c r="D2537">
        <v>2.9273870967741942E-3</v>
      </c>
    </row>
    <row r="2538" spans="1:4" x14ac:dyDescent="0.25">
      <c r="A2538" t="s">
        <v>485</v>
      </c>
      <c r="B2538">
        <v>1.4999999999999999E-2</v>
      </c>
      <c r="C2538">
        <v>4.0000000000000001E-3</v>
      </c>
      <c r="D2538">
        <v>7.686290322580649E-3</v>
      </c>
    </row>
    <row r="2539" spans="1:4" x14ac:dyDescent="0.25">
      <c r="A2539" t="s">
        <v>2530</v>
      </c>
      <c r="B2539">
        <v>1.4999999999999999E-2</v>
      </c>
      <c r="C2539">
        <v>0</v>
      </c>
      <c r="D2539">
        <v>2.2427317741935487E-3</v>
      </c>
    </row>
    <row r="2540" spans="1:4" x14ac:dyDescent="0.25">
      <c r="A2540" t="s">
        <v>351</v>
      </c>
      <c r="B2540">
        <v>1.4999999999999999E-2</v>
      </c>
      <c r="C2540">
        <v>0</v>
      </c>
      <c r="D2540">
        <v>6.3000000000000009E-3</v>
      </c>
    </row>
    <row r="2541" spans="1:4" x14ac:dyDescent="0.25">
      <c r="A2541" t="s">
        <v>1112</v>
      </c>
      <c r="B2541">
        <v>1.4999999999999999E-2</v>
      </c>
      <c r="C2541">
        <v>0</v>
      </c>
      <c r="D2541">
        <v>1.1358870967741944E-2</v>
      </c>
    </row>
    <row r="2542" spans="1:4" x14ac:dyDescent="0.25">
      <c r="A2542" t="s">
        <v>1578</v>
      </c>
      <c r="B2542">
        <v>1.49E-2</v>
      </c>
      <c r="C2542">
        <v>0</v>
      </c>
      <c r="D2542">
        <v>4.7123064516129045E-3</v>
      </c>
    </row>
    <row r="2543" spans="1:4" x14ac:dyDescent="0.25">
      <c r="A2543" t="s">
        <v>2665</v>
      </c>
      <c r="B2543">
        <v>1.49E-2</v>
      </c>
      <c r="C2543">
        <v>0</v>
      </c>
      <c r="D2543">
        <v>6.5166129032258055E-3</v>
      </c>
    </row>
    <row r="2544" spans="1:4" x14ac:dyDescent="0.25">
      <c r="A2544" t="s">
        <v>825</v>
      </c>
      <c r="B2544">
        <v>1.4760000000000001E-2</v>
      </c>
      <c r="C2544">
        <v>0</v>
      </c>
      <c r="D2544">
        <v>1.0926612903225805E-2</v>
      </c>
    </row>
    <row r="2545" spans="1:4" x14ac:dyDescent="0.25">
      <c r="A2545" t="s">
        <v>2356</v>
      </c>
      <c r="B2545">
        <v>1.4500000000000001E-2</v>
      </c>
      <c r="C2545">
        <v>0</v>
      </c>
      <c r="D2545">
        <v>3.30188387096774E-3</v>
      </c>
    </row>
    <row r="2546" spans="1:4" x14ac:dyDescent="0.25">
      <c r="A2546" t="s">
        <v>1182</v>
      </c>
      <c r="B2546">
        <v>1.44E-2</v>
      </c>
      <c r="C2546">
        <v>0</v>
      </c>
      <c r="D2546">
        <v>4.8145161290322567E-3</v>
      </c>
    </row>
    <row r="2547" spans="1:4" x14ac:dyDescent="0.25">
      <c r="A2547" t="s">
        <v>2857</v>
      </c>
      <c r="B2547">
        <v>1.43E-2</v>
      </c>
      <c r="C2547">
        <v>0</v>
      </c>
      <c r="D2547">
        <v>1.3720645161290326E-3</v>
      </c>
    </row>
    <row r="2548" spans="1:4" x14ac:dyDescent="0.25">
      <c r="A2548" t="s">
        <v>2289</v>
      </c>
      <c r="B2548">
        <v>1.41E-2</v>
      </c>
      <c r="C2548">
        <v>0</v>
      </c>
      <c r="D2548">
        <v>7.6450000000000016E-3</v>
      </c>
    </row>
    <row r="2549" spans="1:4" x14ac:dyDescent="0.25">
      <c r="A2549" t="s">
        <v>658</v>
      </c>
      <c r="B2549">
        <v>1.4E-2</v>
      </c>
      <c r="C2549">
        <v>0</v>
      </c>
      <c r="D2549">
        <v>4.8999999999999998E-3</v>
      </c>
    </row>
    <row r="2550" spans="1:4" x14ac:dyDescent="0.25">
      <c r="A2550" t="s">
        <v>2032</v>
      </c>
      <c r="B2550">
        <v>1.4E-2</v>
      </c>
      <c r="C2550">
        <v>2E-3</v>
      </c>
      <c r="D2550">
        <v>8.9435483870967773E-3</v>
      </c>
    </row>
    <row r="2551" spans="1:4" x14ac:dyDescent="0.25">
      <c r="A2551" t="s">
        <v>2582</v>
      </c>
      <c r="B2551">
        <v>1.4E-2</v>
      </c>
      <c r="C2551">
        <v>0</v>
      </c>
      <c r="D2551">
        <v>6.690467741935483E-3</v>
      </c>
    </row>
    <row r="2552" spans="1:4" x14ac:dyDescent="0.25">
      <c r="A2552" t="s">
        <v>2468</v>
      </c>
      <c r="B2552">
        <v>1.4E-2</v>
      </c>
      <c r="C2552">
        <v>0</v>
      </c>
      <c r="D2552">
        <v>3.9741935483870979E-3</v>
      </c>
    </row>
    <row r="2553" spans="1:4" x14ac:dyDescent="0.25">
      <c r="A2553" t="s">
        <v>69</v>
      </c>
      <c r="B2553">
        <v>1.4E-2</v>
      </c>
      <c r="C2553">
        <v>0</v>
      </c>
      <c r="D2553">
        <v>1.7806451612903229E-3</v>
      </c>
    </row>
    <row r="2554" spans="1:4" x14ac:dyDescent="0.25">
      <c r="A2554" t="s">
        <v>533</v>
      </c>
      <c r="B2554">
        <v>1.4E-2</v>
      </c>
      <c r="C2554">
        <v>0</v>
      </c>
      <c r="D2554">
        <v>6.9596774193548426E-3</v>
      </c>
    </row>
    <row r="2555" spans="1:4" x14ac:dyDescent="0.25">
      <c r="A2555" t="s">
        <v>1244</v>
      </c>
      <c r="B2555">
        <v>1.4E-2</v>
      </c>
      <c r="C2555">
        <v>0.01</v>
      </c>
      <c r="D2555">
        <v>1.0064516129032263E-2</v>
      </c>
    </row>
    <row r="2556" spans="1:4" x14ac:dyDescent="0.25">
      <c r="A2556" t="s">
        <v>1120</v>
      </c>
      <c r="B2556">
        <v>1.4E-2</v>
      </c>
      <c r="C2556">
        <v>0</v>
      </c>
      <c r="D2556">
        <v>3.3548387096774207E-3</v>
      </c>
    </row>
    <row r="2557" spans="1:4" x14ac:dyDescent="0.25">
      <c r="A2557" t="s">
        <v>2834</v>
      </c>
      <c r="B2557">
        <v>1.38E-2</v>
      </c>
      <c r="C2557">
        <v>2E-3</v>
      </c>
      <c r="D2557">
        <v>6.6377419354838709E-3</v>
      </c>
    </row>
    <row r="2558" spans="1:4" x14ac:dyDescent="0.25">
      <c r="A2558" t="s">
        <v>842</v>
      </c>
      <c r="B2558">
        <v>1.37E-2</v>
      </c>
      <c r="C2558">
        <v>0</v>
      </c>
      <c r="D2558">
        <v>3.9362903225806448E-3</v>
      </c>
    </row>
    <row r="2559" spans="1:4" x14ac:dyDescent="0.25">
      <c r="A2559" t="s">
        <v>748</v>
      </c>
      <c r="B2559">
        <v>1.37E-2</v>
      </c>
      <c r="C2559">
        <v>0</v>
      </c>
      <c r="D2559">
        <v>2.510322580645161E-3</v>
      </c>
    </row>
    <row r="2560" spans="1:4" x14ac:dyDescent="0.25">
      <c r="A2560" t="s">
        <v>606</v>
      </c>
      <c r="B2560">
        <v>1.37E-2</v>
      </c>
      <c r="C2560">
        <v>0</v>
      </c>
      <c r="D2560">
        <v>6.1161290322580648E-3</v>
      </c>
    </row>
    <row r="2561" spans="1:4" x14ac:dyDescent="0.25">
      <c r="A2561" t="s">
        <v>478</v>
      </c>
      <c r="B2561">
        <v>1.37E-2</v>
      </c>
      <c r="C2561">
        <v>0</v>
      </c>
      <c r="D2561">
        <v>3.9129032258064505E-3</v>
      </c>
    </row>
    <row r="2562" spans="1:4" x14ac:dyDescent="0.25">
      <c r="A2562" t="s">
        <v>2219</v>
      </c>
      <c r="B2562">
        <v>1.35E-2</v>
      </c>
      <c r="C2562">
        <v>0</v>
      </c>
      <c r="D2562">
        <v>5.1585725806451614E-3</v>
      </c>
    </row>
    <row r="2563" spans="1:4" x14ac:dyDescent="0.25">
      <c r="A2563" t="s">
        <v>1092</v>
      </c>
      <c r="B2563">
        <v>1.341E-2</v>
      </c>
      <c r="C2563">
        <v>0</v>
      </c>
      <c r="D2563">
        <v>5.2188709677419374E-3</v>
      </c>
    </row>
    <row r="2564" spans="1:4" x14ac:dyDescent="0.25">
      <c r="A2564" t="s">
        <v>923</v>
      </c>
      <c r="B2564">
        <v>1.3339999999999999E-2</v>
      </c>
      <c r="C2564">
        <v>0</v>
      </c>
      <c r="D2564">
        <v>5.7207580645161332E-3</v>
      </c>
    </row>
    <row r="2565" spans="1:4" x14ac:dyDescent="0.25">
      <c r="A2565" t="s">
        <v>2518</v>
      </c>
      <c r="B2565">
        <v>1.32E-2</v>
      </c>
      <c r="C2565">
        <v>0</v>
      </c>
      <c r="D2565">
        <v>6.889516129032258E-3</v>
      </c>
    </row>
    <row r="2566" spans="1:4" x14ac:dyDescent="0.25">
      <c r="A2566" t="s">
        <v>50</v>
      </c>
      <c r="B2566">
        <v>1.3100000000000001E-2</v>
      </c>
      <c r="C2566">
        <v>1.1000000000000001E-3</v>
      </c>
      <c r="D2566">
        <v>6.2014193548387093E-3</v>
      </c>
    </row>
    <row r="2567" spans="1:4" x14ac:dyDescent="0.25">
      <c r="A2567" t="s">
        <v>1246</v>
      </c>
      <c r="B2567">
        <v>1.3091999999999999E-2</v>
      </c>
      <c r="C2567">
        <v>0</v>
      </c>
      <c r="D2567">
        <v>6.6716935483870964E-3</v>
      </c>
    </row>
    <row r="2568" spans="1:4" x14ac:dyDescent="0.25">
      <c r="A2568" t="s">
        <v>1824</v>
      </c>
      <c r="B2568">
        <v>1.2999999999999999E-2</v>
      </c>
      <c r="C2568">
        <v>0</v>
      </c>
      <c r="D2568">
        <v>3.2132096774193553E-3</v>
      </c>
    </row>
    <row r="2569" spans="1:4" x14ac:dyDescent="0.25">
      <c r="A2569" t="s">
        <v>2068</v>
      </c>
      <c r="B2569">
        <v>1.2999999999999999E-2</v>
      </c>
      <c r="C2569">
        <v>0</v>
      </c>
      <c r="D2569">
        <v>7.5161290322580693E-3</v>
      </c>
    </row>
    <row r="2570" spans="1:4" x14ac:dyDescent="0.25">
      <c r="A2570" t="s">
        <v>2147</v>
      </c>
      <c r="B2570">
        <v>1.2999999999999999E-2</v>
      </c>
      <c r="C2570">
        <v>0</v>
      </c>
      <c r="D2570">
        <v>4.7419354838709703E-3</v>
      </c>
    </row>
    <row r="2571" spans="1:4" x14ac:dyDescent="0.25">
      <c r="A2571" t="s">
        <v>442</v>
      </c>
      <c r="B2571">
        <v>1.2999999999999999E-2</v>
      </c>
      <c r="C2571">
        <v>0</v>
      </c>
      <c r="D2571">
        <v>7.7983870967741949E-3</v>
      </c>
    </row>
    <row r="2572" spans="1:4" x14ac:dyDescent="0.25">
      <c r="A2572" t="s">
        <v>497</v>
      </c>
      <c r="B2572">
        <v>1.2999999999999999E-2</v>
      </c>
      <c r="C2572">
        <v>0</v>
      </c>
      <c r="D2572">
        <v>5.6129032258064549E-3</v>
      </c>
    </row>
    <row r="2573" spans="1:4" x14ac:dyDescent="0.25">
      <c r="A2573" t="s">
        <v>198</v>
      </c>
      <c r="B2573">
        <v>1.2999999999999999E-2</v>
      </c>
      <c r="C2573">
        <v>0</v>
      </c>
      <c r="D2573">
        <v>4.5322580645161311E-3</v>
      </c>
    </row>
    <row r="2574" spans="1:4" x14ac:dyDescent="0.25">
      <c r="A2574" t="s">
        <v>2396</v>
      </c>
      <c r="B2574">
        <v>1.2999999999999999E-2</v>
      </c>
      <c r="C2574">
        <v>0</v>
      </c>
      <c r="D2574">
        <v>1.8870967741935491E-3</v>
      </c>
    </row>
    <row r="2575" spans="1:4" x14ac:dyDescent="0.25">
      <c r="A2575" t="s">
        <v>690</v>
      </c>
      <c r="B2575">
        <v>1.2800000000000001E-2</v>
      </c>
      <c r="C2575">
        <v>0</v>
      </c>
      <c r="D2575">
        <v>7.4443548387096783E-3</v>
      </c>
    </row>
    <row r="2576" spans="1:4" x14ac:dyDescent="0.25">
      <c r="A2576" t="s">
        <v>439</v>
      </c>
      <c r="B2576">
        <v>1.2800000000000001E-2</v>
      </c>
      <c r="C2576">
        <v>0</v>
      </c>
      <c r="D2576">
        <v>2.7370967741935487E-3</v>
      </c>
    </row>
    <row r="2577" spans="1:4" x14ac:dyDescent="0.25">
      <c r="A2577" t="s">
        <v>798</v>
      </c>
      <c r="B2577">
        <v>1.2619E-2</v>
      </c>
      <c r="C2577">
        <v>0</v>
      </c>
      <c r="D2577">
        <v>4.7147016129032281E-3</v>
      </c>
    </row>
    <row r="2578" spans="1:4" x14ac:dyDescent="0.25">
      <c r="A2578" t="s">
        <v>1447</v>
      </c>
      <c r="B2578">
        <v>1.2500000000000001E-2</v>
      </c>
      <c r="C2578">
        <v>0</v>
      </c>
      <c r="D2578">
        <v>7.3145161290322554E-3</v>
      </c>
    </row>
    <row r="2579" spans="1:4" x14ac:dyDescent="0.25">
      <c r="A2579" t="s">
        <v>1396</v>
      </c>
      <c r="B2579">
        <v>1.24E-2</v>
      </c>
      <c r="C2579">
        <v>2.8999999999999998E-3</v>
      </c>
      <c r="D2579">
        <v>6.3835483870967732E-3</v>
      </c>
    </row>
    <row r="2580" spans="1:4" x14ac:dyDescent="0.25">
      <c r="A2580" t="s">
        <v>184</v>
      </c>
      <c r="B2580">
        <v>1.23E-2</v>
      </c>
      <c r="C2580">
        <v>0</v>
      </c>
      <c r="D2580">
        <v>4.7659677419354847E-3</v>
      </c>
    </row>
    <row r="2581" spans="1:4" x14ac:dyDescent="0.25">
      <c r="A2581" t="s">
        <v>1449</v>
      </c>
      <c r="B2581">
        <v>1.23E-2</v>
      </c>
      <c r="C2581">
        <v>0</v>
      </c>
      <c r="D2581">
        <v>4.1943548387096781E-3</v>
      </c>
    </row>
    <row r="2582" spans="1:4" x14ac:dyDescent="0.25">
      <c r="A2582" t="s">
        <v>2654</v>
      </c>
      <c r="B2582">
        <v>1.2137E-2</v>
      </c>
      <c r="C2582">
        <v>0</v>
      </c>
      <c r="D2582">
        <v>6.1093225806451634E-3</v>
      </c>
    </row>
    <row r="2583" spans="1:4" x14ac:dyDescent="0.25">
      <c r="A2583" t="s">
        <v>2616</v>
      </c>
      <c r="B2583">
        <v>1.2E-2</v>
      </c>
      <c r="C2583">
        <v>0</v>
      </c>
      <c r="D2583">
        <v>3.803225806451615E-3</v>
      </c>
    </row>
    <row r="2584" spans="1:4" x14ac:dyDescent="0.25">
      <c r="A2584" t="s">
        <v>1203</v>
      </c>
      <c r="B2584">
        <v>1.2E-2</v>
      </c>
      <c r="C2584">
        <v>5.0000000000000001E-3</v>
      </c>
      <c r="D2584">
        <v>8.7000000000000029E-3</v>
      </c>
    </row>
    <row r="2585" spans="1:4" x14ac:dyDescent="0.25">
      <c r="A2585" t="s">
        <v>1176</v>
      </c>
      <c r="B2585">
        <v>1.2E-2</v>
      </c>
      <c r="C2585">
        <v>0</v>
      </c>
      <c r="D2585">
        <v>7.0322580645161333E-3</v>
      </c>
    </row>
    <row r="2586" spans="1:4" x14ac:dyDescent="0.25">
      <c r="A2586" t="s">
        <v>632</v>
      </c>
      <c r="B2586">
        <v>1.2E-2</v>
      </c>
      <c r="C2586">
        <v>0</v>
      </c>
      <c r="D2586">
        <v>6.544701612903229E-3</v>
      </c>
    </row>
    <row r="2587" spans="1:4" x14ac:dyDescent="0.25">
      <c r="A2587" t="s">
        <v>2916</v>
      </c>
      <c r="B2587">
        <v>1.2E-2</v>
      </c>
      <c r="C2587">
        <v>0</v>
      </c>
      <c r="D2587">
        <v>3.3274193548387112E-3</v>
      </c>
    </row>
    <row r="2588" spans="1:4" x14ac:dyDescent="0.25">
      <c r="A2588" t="s">
        <v>2707</v>
      </c>
      <c r="B2588">
        <v>1.1900000000000001E-2</v>
      </c>
      <c r="C2588">
        <v>0</v>
      </c>
      <c r="D2588">
        <v>1.0459677419354836E-2</v>
      </c>
    </row>
    <row r="2589" spans="1:4" x14ac:dyDescent="0.25">
      <c r="A2589" t="s">
        <v>1880</v>
      </c>
      <c r="B2589">
        <v>1.1900000000000001E-2</v>
      </c>
      <c r="C2589">
        <v>8.8800000000000007E-3</v>
      </c>
      <c r="D2589">
        <v>1.0273169354838709E-2</v>
      </c>
    </row>
    <row r="2590" spans="1:4" x14ac:dyDescent="0.25">
      <c r="A2590" t="s">
        <v>2832</v>
      </c>
      <c r="B2590">
        <v>1.18E-2</v>
      </c>
      <c r="C2590">
        <v>3.8999999999999998E-3</v>
      </c>
      <c r="D2590">
        <v>7.3674193548387097E-3</v>
      </c>
    </row>
    <row r="2591" spans="1:4" x14ac:dyDescent="0.25">
      <c r="A2591" t="s">
        <v>2534</v>
      </c>
      <c r="B2591">
        <v>1.17E-2</v>
      </c>
      <c r="C2591">
        <v>0</v>
      </c>
      <c r="D2591">
        <v>4.837903225806451E-3</v>
      </c>
    </row>
    <row r="2592" spans="1:4" x14ac:dyDescent="0.25">
      <c r="A2592" t="s">
        <v>1446</v>
      </c>
      <c r="B2592">
        <v>1.1599999999999999E-2</v>
      </c>
      <c r="C2592">
        <v>0</v>
      </c>
      <c r="D2592">
        <v>5.1701612903225815E-3</v>
      </c>
    </row>
    <row r="2593" spans="1:4" x14ac:dyDescent="0.25">
      <c r="A2593" t="s">
        <v>2881</v>
      </c>
      <c r="B2593">
        <v>1.1292E-2</v>
      </c>
      <c r="C2593">
        <v>0</v>
      </c>
      <c r="D2593">
        <v>7.1913064516129005E-3</v>
      </c>
    </row>
    <row r="2594" spans="1:4" x14ac:dyDescent="0.25">
      <c r="A2594" t="s">
        <v>462</v>
      </c>
      <c r="B2594">
        <v>1.123E-2</v>
      </c>
      <c r="C2594">
        <v>4.5300000000000002E-3</v>
      </c>
      <c r="D2594">
        <v>7.8638709677419389E-3</v>
      </c>
    </row>
    <row r="2595" spans="1:4" x14ac:dyDescent="0.25">
      <c r="A2595" t="s">
        <v>366</v>
      </c>
      <c r="B2595">
        <v>1.116E-2</v>
      </c>
      <c r="C2595">
        <v>0</v>
      </c>
      <c r="D2595">
        <v>2.0476774193548385E-3</v>
      </c>
    </row>
    <row r="2596" spans="1:4" x14ac:dyDescent="0.25">
      <c r="A2596" t="s">
        <v>492</v>
      </c>
      <c r="B2596">
        <v>1.0999999999999999E-2</v>
      </c>
      <c r="C2596">
        <v>0</v>
      </c>
      <c r="D2596">
        <v>2.716225806451613E-3</v>
      </c>
    </row>
    <row r="2597" spans="1:4" x14ac:dyDescent="0.25">
      <c r="A2597" t="s">
        <v>2641</v>
      </c>
      <c r="B2597">
        <v>1.0999999999999999E-2</v>
      </c>
      <c r="C2597">
        <v>0</v>
      </c>
      <c r="D2597">
        <v>6.1058064516129043E-3</v>
      </c>
    </row>
    <row r="2598" spans="1:4" x14ac:dyDescent="0.25">
      <c r="A2598" t="s">
        <v>2201</v>
      </c>
      <c r="B2598">
        <v>1.0999999999999999E-2</v>
      </c>
      <c r="C2598">
        <v>0</v>
      </c>
      <c r="D2598">
        <v>2.5596774193548388E-3</v>
      </c>
    </row>
    <row r="2599" spans="1:4" x14ac:dyDescent="0.25">
      <c r="A2599" t="s">
        <v>2761</v>
      </c>
      <c r="B2599">
        <v>1.0999999999999999E-2</v>
      </c>
      <c r="C2599">
        <v>0</v>
      </c>
      <c r="D2599">
        <v>5.6693548387096813E-3</v>
      </c>
    </row>
    <row r="2600" spans="1:4" x14ac:dyDescent="0.25">
      <c r="A2600" t="s">
        <v>306</v>
      </c>
      <c r="B2600">
        <v>1.0999999999999999E-2</v>
      </c>
      <c r="C2600">
        <v>0</v>
      </c>
      <c r="D2600">
        <v>4.2500000000000012E-3</v>
      </c>
    </row>
    <row r="2601" spans="1:4" x14ac:dyDescent="0.25">
      <c r="A2601" t="s">
        <v>1518</v>
      </c>
      <c r="B2601">
        <v>1.0999999999999999E-2</v>
      </c>
      <c r="C2601">
        <v>0</v>
      </c>
      <c r="D2601">
        <v>5.7814838709677454E-3</v>
      </c>
    </row>
    <row r="2602" spans="1:4" x14ac:dyDescent="0.25">
      <c r="A2602" t="s">
        <v>209</v>
      </c>
      <c r="B2602">
        <v>1.0999999999999999E-2</v>
      </c>
      <c r="C2602">
        <v>0</v>
      </c>
      <c r="D2602">
        <v>5.3010967741935503E-3</v>
      </c>
    </row>
    <row r="2603" spans="1:4" x14ac:dyDescent="0.25">
      <c r="A2603" t="s">
        <v>2505</v>
      </c>
      <c r="B2603">
        <v>1.0999999999999999E-2</v>
      </c>
      <c r="C2603">
        <v>0</v>
      </c>
      <c r="D2603">
        <v>5.6951612903225824E-4</v>
      </c>
    </row>
    <row r="2604" spans="1:4" x14ac:dyDescent="0.25">
      <c r="A2604" t="s">
        <v>2697</v>
      </c>
      <c r="B2604">
        <v>1.09E-2</v>
      </c>
      <c r="C2604">
        <v>0</v>
      </c>
      <c r="D2604">
        <v>9.1266129032258059E-3</v>
      </c>
    </row>
    <row r="2605" spans="1:4" x14ac:dyDescent="0.25">
      <c r="A2605" t="s">
        <v>320</v>
      </c>
      <c r="B2605">
        <v>1.09E-2</v>
      </c>
      <c r="C2605">
        <v>1E-3</v>
      </c>
      <c r="D2605">
        <v>3.9959677419354848E-3</v>
      </c>
    </row>
    <row r="2606" spans="1:4" x14ac:dyDescent="0.25">
      <c r="A2606" t="s">
        <v>2199</v>
      </c>
      <c r="B2606">
        <v>1.0851E-2</v>
      </c>
      <c r="C2606">
        <v>0</v>
      </c>
      <c r="D2606">
        <v>6.021193548387099E-3</v>
      </c>
    </row>
    <row r="2607" spans="1:4" x14ac:dyDescent="0.25">
      <c r="A2607" t="s">
        <v>2295</v>
      </c>
      <c r="B2607">
        <v>1.0800000000000001E-2</v>
      </c>
      <c r="C2607">
        <v>0</v>
      </c>
      <c r="D2607">
        <v>4.8783870967741933E-3</v>
      </c>
    </row>
    <row r="2608" spans="1:4" x14ac:dyDescent="0.25">
      <c r="A2608" t="s">
        <v>319</v>
      </c>
      <c r="B2608">
        <v>1.0800000000000001E-2</v>
      </c>
      <c r="C2608">
        <v>0</v>
      </c>
      <c r="D2608">
        <v>6.423387096774192E-3</v>
      </c>
    </row>
    <row r="2609" spans="1:4" x14ac:dyDescent="0.25">
      <c r="A2609" t="s">
        <v>369</v>
      </c>
      <c r="B2609">
        <v>1.0793000000000001E-2</v>
      </c>
      <c r="C2609">
        <v>0</v>
      </c>
      <c r="D2609">
        <v>6.9443629032258083E-3</v>
      </c>
    </row>
    <row r="2610" spans="1:4" x14ac:dyDescent="0.25">
      <c r="A2610" t="s">
        <v>1720</v>
      </c>
      <c r="B2610">
        <v>1.06E-2</v>
      </c>
      <c r="C2610">
        <v>0</v>
      </c>
      <c r="D2610">
        <v>2.7096774193548392E-3</v>
      </c>
    </row>
    <row r="2611" spans="1:4" x14ac:dyDescent="0.25">
      <c r="A2611" t="s">
        <v>1719</v>
      </c>
      <c r="B2611">
        <v>1.0500000000000001E-2</v>
      </c>
      <c r="C2611">
        <v>1E-4</v>
      </c>
      <c r="D2611">
        <v>1.5782258064516131E-3</v>
      </c>
    </row>
    <row r="2612" spans="1:4" x14ac:dyDescent="0.25">
      <c r="A2612" t="s">
        <v>1438</v>
      </c>
      <c r="B2612">
        <v>1.0500000000000001E-2</v>
      </c>
      <c r="C2612">
        <v>0</v>
      </c>
      <c r="D2612">
        <v>4.0258064516129014E-3</v>
      </c>
    </row>
    <row r="2613" spans="1:4" x14ac:dyDescent="0.25">
      <c r="A2613" t="s">
        <v>1395</v>
      </c>
      <c r="B2613">
        <v>1.04E-2</v>
      </c>
      <c r="C2613">
        <v>2.7000000000000001E-3</v>
      </c>
      <c r="D2613">
        <v>6.9354838709677433E-3</v>
      </c>
    </row>
    <row r="2614" spans="1:4" x14ac:dyDescent="0.25">
      <c r="A2614" t="s">
        <v>128</v>
      </c>
      <c r="B2614">
        <v>1.0291E-2</v>
      </c>
      <c r="C2614">
        <v>0</v>
      </c>
      <c r="D2614">
        <v>5.9050806451612899E-3</v>
      </c>
    </row>
    <row r="2615" spans="1:4" x14ac:dyDescent="0.25">
      <c r="A2615" t="s">
        <v>2186</v>
      </c>
      <c r="B2615">
        <v>1.0137999999999999E-2</v>
      </c>
      <c r="C2615">
        <v>8.1949999999999992E-3</v>
      </c>
      <c r="D2615">
        <v>9.1833870967741957E-3</v>
      </c>
    </row>
    <row r="2616" spans="1:4" x14ac:dyDescent="0.25">
      <c r="A2616" t="s">
        <v>2783</v>
      </c>
      <c r="B2616">
        <v>1.01E-2</v>
      </c>
      <c r="C2616">
        <v>0</v>
      </c>
      <c r="D2616">
        <v>7.1393548387096778E-3</v>
      </c>
    </row>
    <row r="2617" spans="1:4" x14ac:dyDescent="0.25">
      <c r="A2617" t="s">
        <v>653</v>
      </c>
      <c r="B2617">
        <v>0.01</v>
      </c>
      <c r="C2617">
        <v>0</v>
      </c>
      <c r="D2617">
        <v>3.5246774193548403E-3</v>
      </c>
    </row>
    <row r="2618" spans="1:4" x14ac:dyDescent="0.25">
      <c r="A2618" t="s">
        <v>843</v>
      </c>
      <c r="B2618">
        <v>0.01</v>
      </c>
      <c r="C2618">
        <v>0</v>
      </c>
      <c r="D2618">
        <v>2.6782258064516136E-3</v>
      </c>
    </row>
    <row r="2619" spans="1:4" x14ac:dyDescent="0.25">
      <c r="A2619" t="s">
        <v>1606</v>
      </c>
      <c r="B2619">
        <v>0.01</v>
      </c>
      <c r="C2619">
        <v>0</v>
      </c>
      <c r="D2619">
        <v>8.8709677419354874E-3</v>
      </c>
    </row>
    <row r="2620" spans="1:4" x14ac:dyDescent="0.25">
      <c r="A2620" t="s">
        <v>568</v>
      </c>
      <c r="B2620">
        <v>0.01</v>
      </c>
      <c r="C2620">
        <v>0</v>
      </c>
      <c r="D2620">
        <v>3.7277419354838702E-3</v>
      </c>
    </row>
    <row r="2621" spans="1:4" x14ac:dyDescent="0.25">
      <c r="A2621" t="s">
        <v>2123</v>
      </c>
      <c r="B2621">
        <v>0.01</v>
      </c>
      <c r="C2621">
        <v>2.13E-4</v>
      </c>
      <c r="D2621">
        <v>2.6129483870967747E-3</v>
      </c>
    </row>
    <row r="2622" spans="1:4" x14ac:dyDescent="0.25">
      <c r="A2622" t="s">
        <v>2130</v>
      </c>
      <c r="B2622">
        <v>0.01</v>
      </c>
      <c r="C2622">
        <v>0</v>
      </c>
      <c r="D2622">
        <v>4.619354838709679E-3</v>
      </c>
    </row>
    <row r="2623" spans="1:4" x14ac:dyDescent="0.25">
      <c r="A2623" t="s">
        <v>2620</v>
      </c>
      <c r="B2623">
        <v>0.01</v>
      </c>
      <c r="C2623">
        <v>0</v>
      </c>
      <c r="D2623">
        <v>3.9032258064516149E-3</v>
      </c>
    </row>
    <row r="2624" spans="1:4" x14ac:dyDescent="0.25">
      <c r="A2624" t="s">
        <v>2209</v>
      </c>
      <c r="B2624">
        <v>0.01</v>
      </c>
      <c r="C2624">
        <v>0</v>
      </c>
      <c r="D2624">
        <v>9.6774193548387153E-3</v>
      </c>
    </row>
    <row r="2625" spans="1:4" x14ac:dyDescent="0.25">
      <c r="A2625" t="s">
        <v>2639</v>
      </c>
      <c r="B2625">
        <v>0.01</v>
      </c>
      <c r="C2625">
        <v>0</v>
      </c>
      <c r="D2625">
        <v>9.6774193548387153E-3</v>
      </c>
    </row>
    <row r="2626" spans="1:4" x14ac:dyDescent="0.25">
      <c r="A2626" t="s">
        <v>193</v>
      </c>
      <c r="B2626">
        <v>0.01</v>
      </c>
      <c r="C2626">
        <v>0</v>
      </c>
      <c r="D2626">
        <v>3.9282258064516134E-3</v>
      </c>
    </row>
    <row r="2627" spans="1:4" x14ac:dyDescent="0.25">
      <c r="A2627" t="s">
        <v>2856</v>
      </c>
      <c r="B2627">
        <v>0.01</v>
      </c>
      <c r="C2627">
        <v>0</v>
      </c>
      <c r="D2627">
        <v>4.6075967741935489E-3</v>
      </c>
    </row>
    <row r="2628" spans="1:4" x14ac:dyDescent="0.25">
      <c r="A2628" t="s">
        <v>1128</v>
      </c>
      <c r="B2628">
        <v>0.01</v>
      </c>
      <c r="C2628">
        <v>0</v>
      </c>
      <c r="D2628">
        <v>3.0937854838709697E-3</v>
      </c>
    </row>
    <row r="2629" spans="1:4" x14ac:dyDescent="0.25">
      <c r="A2629" t="s">
        <v>648</v>
      </c>
      <c r="B2629">
        <v>0.01</v>
      </c>
      <c r="C2629">
        <v>1E-3</v>
      </c>
      <c r="D2629">
        <v>4.7951612903225829E-3</v>
      </c>
    </row>
    <row r="2630" spans="1:4" x14ac:dyDescent="0.25">
      <c r="A2630" t="s">
        <v>2386</v>
      </c>
      <c r="B2630">
        <v>0.01</v>
      </c>
      <c r="C2630">
        <v>0</v>
      </c>
      <c r="D2630">
        <v>4.0806451612903256E-3</v>
      </c>
    </row>
    <row r="2631" spans="1:4" x14ac:dyDescent="0.25">
      <c r="A2631" t="s">
        <v>1972</v>
      </c>
      <c r="B2631">
        <v>9.9170000000000005E-3</v>
      </c>
      <c r="C2631">
        <v>5.2950000000000002E-3</v>
      </c>
      <c r="D2631">
        <v>8.0691048387096769E-3</v>
      </c>
    </row>
    <row r="2632" spans="1:4" x14ac:dyDescent="0.25">
      <c r="A2632" t="s">
        <v>797</v>
      </c>
      <c r="B2632">
        <v>9.8799999999999999E-3</v>
      </c>
      <c r="C2632">
        <v>5.3829999999999998E-3</v>
      </c>
      <c r="D2632">
        <v>7.6576370967741956E-3</v>
      </c>
    </row>
    <row r="2633" spans="1:4" x14ac:dyDescent="0.25">
      <c r="A2633" t="s">
        <v>2256</v>
      </c>
      <c r="B2633">
        <v>9.7999999999999997E-3</v>
      </c>
      <c r="C2633">
        <v>0</v>
      </c>
      <c r="D2633">
        <v>5.4951612903225804E-3</v>
      </c>
    </row>
    <row r="2634" spans="1:4" x14ac:dyDescent="0.25">
      <c r="A2634" t="s">
        <v>737</v>
      </c>
      <c r="B2634">
        <v>9.7999999999999997E-3</v>
      </c>
      <c r="C2634">
        <v>0</v>
      </c>
      <c r="D2634">
        <v>7.5862903225806452E-3</v>
      </c>
    </row>
    <row r="2635" spans="1:4" x14ac:dyDescent="0.25">
      <c r="A2635" t="s">
        <v>331</v>
      </c>
      <c r="B2635">
        <v>9.7000000000000003E-3</v>
      </c>
      <c r="C2635">
        <v>1.6999999999999999E-3</v>
      </c>
      <c r="D2635">
        <v>6.127419354838709E-3</v>
      </c>
    </row>
    <row r="2636" spans="1:4" x14ac:dyDescent="0.25">
      <c r="A2636" t="s">
        <v>2051</v>
      </c>
      <c r="B2636">
        <v>9.5999999999999992E-3</v>
      </c>
      <c r="C2636">
        <v>0</v>
      </c>
      <c r="D2636">
        <v>1.4064516129032258E-3</v>
      </c>
    </row>
    <row r="2637" spans="1:4" x14ac:dyDescent="0.25">
      <c r="A2637" t="s">
        <v>729</v>
      </c>
      <c r="B2637">
        <v>9.5600000000000008E-3</v>
      </c>
      <c r="C2637">
        <v>3.225E-3</v>
      </c>
      <c r="D2637">
        <v>6.2665161290322586E-3</v>
      </c>
    </row>
    <row r="2638" spans="1:4" x14ac:dyDescent="0.25">
      <c r="A2638" t="s">
        <v>1379</v>
      </c>
      <c r="B2638">
        <v>9.4999999999999998E-3</v>
      </c>
      <c r="C2638">
        <v>0</v>
      </c>
      <c r="D2638">
        <v>4.8502419354838735E-3</v>
      </c>
    </row>
    <row r="2639" spans="1:4" x14ac:dyDescent="0.25">
      <c r="A2639" t="s">
        <v>2009</v>
      </c>
      <c r="B2639">
        <v>9.4999999999999998E-3</v>
      </c>
      <c r="C2639">
        <v>4.3E-3</v>
      </c>
      <c r="D2639">
        <v>6.9717741935483891E-3</v>
      </c>
    </row>
    <row r="2640" spans="1:4" x14ac:dyDescent="0.25">
      <c r="A2640" t="s">
        <v>2380</v>
      </c>
      <c r="B2640">
        <v>9.4990000000000005E-3</v>
      </c>
      <c r="C2640">
        <v>0</v>
      </c>
      <c r="D2640">
        <v>3.4740548387096767E-3</v>
      </c>
    </row>
    <row r="2641" spans="1:4" x14ac:dyDescent="0.25">
      <c r="A2641" t="s">
        <v>1575</v>
      </c>
      <c r="B2641">
        <v>9.4000000000000004E-3</v>
      </c>
      <c r="C2641">
        <v>0</v>
      </c>
      <c r="D2641">
        <v>7.5767741935483862E-3</v>
      </c>
    </row>
    <row r="2642" spans="1:4" x14ac:dyDescent="0.25">
      <c r="A2642" t="s">
        <v>2889</v>
      </c>
      <c r="B2642">
        <v>9.4000000000000004E-3</v>
      </c>
      <c r="C2642">
        <v>0</v>
      </c>
      <c r="D2642">
        <v>1.5372338709677418E-3</v>
      </c>
    </row>
    <row r="2643" spans="1:4" x14ac:dyDescent="0.25">
      <c r="A2643" t="s">
        <v>2349</v>
      </c>
      <c r="B2643">
        <v>9.3620000000000005E-3</v>
      </c>
      <c r="C2643">
        <v>0</v>
      </c>
      <c r="D2643">
        <v>1.3546411290322581E-3</v>
      </c>
    </row>
    <row r="2644" spans="1:4" x14ac:dyDescent="0.25">
      <c r="A2644" t="s">
        <v>2592</v>
      </c>
      <c r="B2644">
        <v>9.2999999999999992E-3</v>
      </c>
      <c r="C2644">
        <v>0</v>
      </c>
      <c r="D2644">
        <v>4.6546774193548393E-3</v>
      </c>
    </row>
    <row r="2645" spans="1:4" x14ac:dyDescent="0.25">
      <c r="A2645" t="s">
        <v>2446</v>
      </c>
      <c r="B2645">
        <v>9.1999999999999998E-3</v>
      </c>
      <c r="C2645">
        <v>0</v>
      </c>
      <c r="D2645">
        <v>2.4685483870967744E-3</v>
      </c>
    </row>
    <row r="2646" spans="1:4" x14ac:dyDescent="0.25">
      <c r="A2646" t="s">
        <v>2624</v>
      </c>
      <c r="B2646">
        <v>9.1999999999999998E-3</v>
      </c>
      <c r="C2646">
        <v>2.3999999999999998E-3</v>
      </c>
      <c r="D2646">
        <v>5.2274677419354857E-3</v>
      </c>
    </row>
    <row r="2647" spans="1:4" x14ac:dyDescent="0.25">
      <c r="A2647" t="s">
        <v>1990</v>
      </c>
      <c r="B2647">
        <v>9.1800000000000007E-3</v>
      </c>
      <c r="C2647">
        <v>0</v>
      </c>
      <c r="D2647">
        <v>2.9885967741935483E-3</v>
      </c>
    </row>
    <row r="2648" spans="1:4" x14ac:dyDescent="0.25">
      <c r="A2648" t="s">
        <v>660</v>
      </c>
      <c r="B2648">
        <v>8.9999999999999993E-3</v>
      </c>
      <c r="C2648">
        <v>0</v>
      </c>
      <c r="D2648">
        <v>3.1006451612903231E-3</v>
      </c>
    </row>
    <row r="2649" spans="1:4" x14ac:dyDescent="0.25">
      <c r="A2649" t="s">
        <v>42</v>
      </c>
      <c r="B2649">
        <v>8.9999999999999993E-3</v>
      </c>
      <c r="C2649">
        <v>0</v>
      </c>
      <c r="D2649">
        <v>3.6145161290322596E-3</v>
      </c>
    </row>
    <row r="2650" spans="1:4" x14ac:dyDescent="0.25">
      <c r="A2650" t="s">
        <v>2540</v>
      </c>
      <c r="B2650">
        <v>8.9999999999999993E-3</v>
      </c>
      <c r="C2650">
        <v>0</v>
      </c>
      <c r="D2650">
        <v>3.3709677419354847E-3</v>
      </c>
    </row>
    <row r="2651" spans="1:4" x14ac:dyDescent="0.25">
      <c r="A2651" t="s">
        <v>2455</v>
      </c>
      <c r="B2651">
        <v>8.9999999999999993E-3</v>
      </c>
      <c r="C2651">
        <v>2E-3</v>
      </c>
      <c r="D2651">
        <v>4.6854838709677439E-3</v>
      </c>
    </row>
    <row r="2652" spans="1:4" x14ac:dyDescent="0.25">
      <c r="A2652" t="s">
        <v>719</v>
      </c>
      <c r="B2652">
        <v>8.9999999999999993E-3</v>
      </c>
      <c r="C2652">
        <v>0</v>
      </c>
      <c r="D2652">
        <v>5.6838709677419375E-3</v>
      </c>
    </row>
    <row r="2653" spans="1:4" x14ac:dyDescent="0.25">
      <c r="A2653" t="s">
        <v>2342</v>
      </c>
      <c r="B2653">
        <v>8.9999999999999993E-3</v>
      </c>
      <c r="C2653">
        <v>0</v>
      </c>
      <c r="D2653">
        <v>4.5645161290322608E-3</v>
      </c>
    </row>
    <row r="2654" spans="1:4" x14ac:dyDescent="0.25">
      <c r="A2654" t="s">
        <v>2379</v>
      </c>
      <c r="B2654">
        <v>8.9926999999999993E-3</v>
      </c>
      <c r="C2654">
        <v>0</v>
      </c>
      <c r="D2654">
        <v>1.6179120967741937E-3</v>
      </c>
    </row>
    <row r="2655" spans="1:4" x14ac:dyDescent="0.25">
      <c r="A2655" t="s">
        <v>1037</v>
      </c>
      <c r="B2655">
        <v>8.9619999999999995E-3</v>
      </c>
      <c r="C2655">
        <v>0</v>
      </c>
      <c r="D2655">
        <v>3.4538387096774191E-3</v>
      </c>
    </row>
    <row r="2656" spans="1:4" x14ac:dyDescent="0.25">
      <c r="A2656" t="s">
        <v>2508</v>
      </c>
      <c r="B2656">
        <v>8.9379999999999998E-3</v>
      </c>
      <c r="C2656">
        <v>1.9799999999999999E-4</v>
      </c>
      <c r="D2656">
        <v>2.8954112903225807E-3</v>
      </c>
    </row>
    <row r="2657" spans="1:4" x14ac:dyDescent="0.25">
      <c r="A2657" t="s">
        <v>2146</v>
      </c>
      <c r="B2657">
        <v>8.8999999999999999E-3</v>
      </c>
      <c r="C2657">
        <v>0</v>
      </c>
      <c r="D2657">
        <v>4.3427419354838724E-3</v>
      </c>
    </row>
    <row r="2658" spans="1:4" x14ac:dyDescent="0.25">
      <c r="A2658" t="s">
        <v>1433</v>
      </c>
      <c r="B2658">
        <v>8.8999999999999999E-3</v>
      </c>
      <c r="C2658">
        <v>0</v>
      </c>
      <c r="D2658">
        <v>6.5677419354838755E-3</v>
      </c>
    </row>
    <row r="2659" spans="1:4" x14ac:dyDescent="0.25">
      <c r="A2659" t="s">
        <v>2290</v>
      </c>
      <c r="B2659">
        <v>8.8999999999999999E-3</v>
      </c>
      <c r="C2659">
        <v>0</v>
      </c>
      <c r="D2659">
        <v>5.6532258064516117E-3</v>
      </c>
    </row>
    <row r="2660" spans="1:4" x14ac:dyDescent="0.25">
      <c r="A2660" t="s">
        <v>2167</v>
      </c>
      <c r="B2660">
        <v>8.6999999999999994E-3</v>
      </c>
      <c r="C2660">
        <v>0</v>
      </c>
      <c r="D2660">
        <v>4.2758064516129025E-3</v>
      </c>
    </row>
    <row r="2661" spans="1:4" x14ac:dyDescent="0.25">
      <c r="A2661" t="s">
        <v>2843</v>
      </c>
      <c r="B2661">
        <v>8.6999999999999994E-3</v>
      </c>
      <c r="C2661">
        <v>2E-3</v>
      </c>
      <c r="D2661">
        <v>5.0661290322580642E-3</v>
      </c>
    </row>
    <row r="2662" spans="1:4" x14ac:dyDescent="0.25">
      <c r="A2662" t="s">
        <v>228</v>
      </c>
      <c r="B2662">
        <v>8.6999999999999994E-3</v>
      </c>
      <c r="C2662">
        <v>0</v>
      </c>
      <c r="D2662">
        <v>5.5003225806451624E-3</v>
      </c>
    </row>
    <row r="2663" spans="1:4" x14ac:dyDescent="0.25">
      <c r="A2663" t="s">
        <v>461</v>
      </c>
      <c r="B2663">
        <v>8.6599999999999993E-3</v>
      </c>
      <c r="C2663">
        <v>1.2999999999999999E-3</v>
      </c>
      <c r="D2663">
        <v>5.1861290322580654E-3</v>
      </c>
    </row>
    <row r="2664" spans="1:4" x14ac:dyDescent="0.25">
      <c r="A2664" t="s">
        <v>2245</v>
      </c>
      <c r="B2664">
        <v>8.6E-3</v>
      </c>
      <c r="C2664">
        <v>4.4000000000000003E-3</v>
      </c>
      <c r="D2664">
        <v>6.3901129032258074E-3</v>
      </c>
    </row>
    <row r="2665" spans="1:4" x14ac:dyDescent="0.25">
      <c r="A2665" t="s">
        <v>1448</v>
      </c>
      <c r="B2665">
        <v>8.5000000000000006E-3</v>
      </c>
      <c r="C2665">
        <v>0</v>
      </c>
      <c r="D2665">
        <v>3.4048387096774191E-3</v>
      </c>
    </row>
    <row r="2666" spans="1:4" x14ac:dyDescent="0.25">
      <c r="A2666" t="s">
        <v>222</v>
      </c>
      <c r="B2666">
        <v>8.5000000000000006E-3</v>
      </c>
      <c r="C2666">
        <v>0</v>
      </c>
      <c r="D2666">
        <v>2.8114354838709682E-3</v>
      </c>
    </row>
    <row r="2667" spans="1:4" x14ac:dyDescent="0.25">
      <c r="A2667" t="s">
        <v>2314</v>
      </c>
      <c r="B2667">
        <v>8.4700000000000001E-3</v>
      </c>
      <c r="C2667">
        <v>0</v>
      </c>
      <c r="D2667">
        <v>2.4168548387096772E-3</v>
      </c>
    </row>
    <row r="2668" spans="1:4" x14ac:dyDescent="0.25">
      <c r="A2668" t="s">
        <v>2212</v>
      </c>
      <c r="B2668">
        <v>8.3999999999999995E-3</v>
      </c>
      <c r="C2668">
        <v>0</v>
      </c>
      <c r="D2668">
        <v>2.7632258064516132E-3</v>
      </c>
    </row>
    <row r="2669" spans="1:4" x14ac:dyDescent="0.25">
      <c r="A2669" t="s">
        <v>468</v>
      </c>
      <c r="B2669">
        <v>8.3499999999999998E-3</v>
      </c>
      <c r="C2669">
        <v>0</v>
      </c>
      <c r="D2669">
        <v>5.1237903225806441E-3</v>
      </c>
    </row>
    <row r="2670" spans="1:4" x14ac:dyDescent="0.25">
      <c r="A2670" t="s">
        <v>2184</v>
      </c>
      <c r="B2670">
        <v>8.3000000000000001E-3</v>
      </c>
      <c r="C2670">
        <v>0</v>
      </c>
      <c r="D2670">
        <v>5.911290322580645E-3</v>
      </c>
    </row>
    <row r="2671" spans="1:4" x14ac:dyDescent="0.25">
      <c r="A2671" t="s">
        <v>1398</v>
      </c>
      <c r="B2671">
        <v>8.3000000000000001E-3</v>
      </c>
      <c r="C2671">
        <v>0</v>
      </c>
      <c r="D2671">
        <v>5.2016129032258105E-3</v>
      </c>
    </row>
    <row r="2672" spans="1:4" x14ac:dyDescent="0.25">
      <c r="A2672" t="s">
        <v>616</v>
      </c>
      <c r="B2672">
        <v>8.3000000000000001E-3</v>
      </c>
      <c r="C2672">
        <v>0</v>
      </c>
      <c r="D2672">
        <v>2.9145161290322578E-3</v>
      </c>
    </row>
    <row r="2673" spans="1:4" x14ac:dyDescent="0.25">
      <c r="A2673" t="s">
        <v>332</v>
      </c>
      <c r="B2673">
        <v>8.2939999999999993E-3</v>
      </c>
      <c r="C2673">
        <v>0</v>
      </c>
      <c r="D2673">
        <v>3.2671612903225808E-3</v>
      </c>
    </row>
    <row r="2674" spans="1:4" x14ac:dyDescent="0.25">
      <c r="A2674" t="s">
        <v>2428</v>
      </c>
      <c r="B2674">
        <v>8.2000000000000007E-3</v>
      </c>
      <c r="C2674">
        <v>0</v>
      </c>
      <c r="D2674">
        <v>3.4962903225806445E-3</v>
      </c>
    </row>
    <row r="2675" spans="1:4" x14ac:dyDescent="0.25">
      <c r="A2675" t="s">
        <v>1004</v>
      </c>
      <c r="B2675">
        <v>8.1939999999999999E-3</v>
      </c>
      <c r="C2675">
        <v>0</v>
      </c>
      <c r="D2675">
        <v>5.009758064516129E-3</v>
      </c>
    </row>
    <row r="2676" spans="1:4" x14ac:dyDescent="0.25">
      <c r="A2676" t="s">
        <v>247</v>
      </c>
      <c r="B2676">
        <v>8.0999999999999996E-3</v>
      </c>
      <c r="C2676">
        <v>0</v>
      </c>
      <c r="D2676">
        <v>2.9112903225806445E-3</v>
      </c>
    </row>
    <row r="2677" spans="1:4" x14ac:dyDescent="0.25">
      <c r="A2677" t="s">
        <v>2670</v>
      </c>
      <c r="B2677">
        <v>8.0879999999999997E-3</v>
      </c>
      <c r="C2677">
        <v>0</v>
      </c>
      <c r="D2677">
        <v>3.0637580645161296E-3</v>
      </c>
    </row>
    <row r="2678" spans="1:4" x14ac:dyDescent="0.25">
      <c r="A2678" t="s">
        <v>2867</v>
      </c>
      <c r="B2678">
        <v>8.064E-3</v>
      </c>
      <c r="C2678">
        <v>0</v>
      </c>
      <c r="D2678">
        <v>3.6961451612903228E-3</v>
      </c>
    </row>
    <row r="2679" spans="1:4" x14ac:dyDescent="0.25">
      <c r="A2679" t="s">
        <v>812</v>
      </c>
      <c r="B2679">
        <v>8.0190000000000001E-3</v>
      </c>
      <c r="C2679">
        <v>0</v>
      </c>
      <c r="D2679">
        <v>5.5184919354838722E-3</v>
      </c>
    </row>
    <row r="2680" spans="1:4" x14ac:dyDescent="0.25">
      <c r="A2680" t="s">
        <v>2509</v>
      </c>
      <c r="B2680">
        <v>8.0000000000000002E-3</v>
      </c>
      <c r="C2680">
        <v>0</v>
      </c>
      <c r="D2680">
        <v>4.4983870967741932E-3</v>
      </c>
    </row>
    <row r="2681" spans="1:4" x14ac:dyDescent="0.25">
      <c r="A2681" t="s">
        <v>681</v>
      </c>
      <c r="B2681">
        <v>8.0000000000000002E-3</v>
      </c>
      <c r="C2681">
        <v>0</v>
      </c>
      <c r="D2681">
        <v>5.7258064516129067E-3</v>
      </c>
    </row>
    <row r="2682" spans="1:4" x14ac:dyDescent="0.25">
      <c r="A2682" t="s">
        <v>2439</v>
      </c>
      <c r="B2682">
        <v>8.0000000000000002E-3</v>
      </c>
      <c r="C2682">
        <v>0</v>
      </c>
      <c r="D2682">
        <v>2.048387096774195E-3</v>
      </c>
    </row>
    <row r="2683" spans="1:4" x14ac:dyDescent="0.25">
      <c r="A2683" t="s">
        <v>2638</v>
      </c>
      <c r="B2683">
        <v>8.0000000000000002E-3</v>
      </c>
      <c r="C2683">
        <v>6.9999999999999999E-4</v>
      </c>
      <c r="D2683">
        <v>4.0016129032258057E-3</v>
      </c>
    </row>
    <row r="2684" spans="1:4" x14ac:dyDescent="0.25">
      <c r="A2684" t="s">
        <v>2246</v>
      </c>
      <c r="B2684">
        <v>8.0000000000000002E-3</v>
      </c>
      <c r="C2684">
        <v>6.9999999999999994E-5</v>
      </c>
      <c r="D2684">
        <v>4.2382258064516147E-3</v>
      </c>
    </row>
    <row r="2685" spans="1:4" x14ac:dyDescent="0.25">
      <c r="A2685" t="s">
        <v>1274</v>
      </c>
      <c r="B2685">
        <v>8.0000000000000002E-3</v>
      </c>
      <c r="C2685">
        <v>0</v>
      </c>
      <c r="D2685">
        <v>5.0522903225806454E-3</v>
      </c>
    </row>
    <row r="2686" spans="1:4" x14ac:dyDescent="0.25">
      <c r="A2686" t="s">
        <v>2465</v>
      </c>
      <c r="B2686">
        <v>8.0000000000000002E-3</v>
      </c>
      <c r="C2686">
        <v>2E-3</v>
      </c>
      <c r="D2686">
        <v>4.9548387096774223E-3</v>
      </c>
    </row>
    <row r="2687" spans="1:4" x14ac:dyDescent="0.25">
      <c r="A2687" t="s">
        <v>158</v>
      </c>
      <c r="B2687">
        <v>8.0000000000000002E-3</v>
      </c>
      <c r="C2687">
        <v>0</v>
      </c>
      <c r="D2687">
        <v>3.6330645161290341E-3</v>
      </c>
    </row>
    <row r="2688" spans="1:4" x14ac:dyDescent="0.25">
      <c r="A2688" t="s">
        <v>46</v>
      </c>
      <c r="B2688">
        <v>7.9000000000000008E-3</v>
      </c>
      <c r="C2688">
        <v>0</v>
      </c>
      <c r="D2688">
        <v>1.3895161290322583E-3</v>
      </c>
    </row>
    <row r="2689" spans="1:4" x14ac:dyDescent="0.25">
      <c r="A2689" t="s">
        <v>1481</v>
      </c>
      <c r="B2689">
        <v>7.9000000000000008E-3</v>
      </c>
      <c r="C2689">
        <v>0</v>
      </c>
      <c r="D2689">
        <v>3.4548387096774201E-3</v>
      </c>
    </row>
    <row r="2690" spans="1:4" x14ac:dyDescent="0.25">
      <c r="A2690" t="s">
        <v>608</v>
      </c>
      <c r="B2690">
        <v>7.8600000000000007E-3</v>
      </c>
      <c r="C2690">
        <v>6.6E-4</v>
      </c>
      <c r="D2690">
        <v>3.8269354838709672E-3</v>
      </c>
    </row>
    <row r="2691" spans="1:4" x14ac:dyDescent="0.25">
      <c r="A2691" t="s">
        <v>601</v>
      </c>
      <c r="B2691">
        <v>7.8390000000000005E-3</v>
      </c>
      <c r="C2691">
        <v>2.5000000000000001E-3</v>
      </c>
      <c r="D2691">
        <v>5.1825564516129029E-3</v>
      </c>
    </row>
    <row r="2692" spans="1:4" x14ac:dyDescent="0.25">
      <c r="A2692" t="s">
        <v>2913</v>
      </c>
      <c r="B2692">
        <v>7.7999999999999996E-3</v>
      </c>
      <c r="C2692">
        <v>0</v>
      </c>
      <c r="D2692">
        <v>2.5296774193548388E-3</v>
      </c>
    </row>
    <row r="2693" spans="1:4" x14ac:dyDescent="0.25">
      <c r="A2693" t="s">
        <v>2462</v>
      </c>
      <c r="B2693">
        <v>7.7000000000000002E-3</v>
      </c>
      <c r="C2693">
        <v>1.8E-3</v>
      </c>
      <c r="D2693">
        <v>4.325338709677419E-3</v>
      </c>
    </row>
    <row r="2694" spans="1:4" x14ac:dyDescent="0.25">
      <c r="A2694" t="s">
        <v>416</v>
      </c>
      <c r="B2694">
        <v>7.4999999999999997E-3</v>
      </c>
      <c r="C2694">
        <v>0</v>
      </c>
      <c r="D2694">
        <v>1.8746612903225808E-3</v>
      </c>
    </row>
    <row r="2695" spans="1:4" x14ac:dyDescent="0.25">
      <c r="A2695" t="s">
        <v>2445</v>
      </c>
      <c r="B2695">
        <v>7.4999999999999997E-3</v>
      </c>
      <c r="C2695">
        <v>0</v>
      </c>
      <c r="D2695">
        <v>1.8137096774193551E-3</v>
      </c>
    </row>
    <row r="2696" spans="1:4" x14ac:dyDescent="0.25">
      <c r="A2696" t="s">
        <v>49</v>
      </c>
      <c r="B2696">
        <v>7.476E-3</v>
      </c>
      <c r="C2696">
        <v>0</v>
      </c>
      <c r="D2696">
        <v>2.1684596774193539E-3</v>
      </c>
    </row>
    <row r="2697" spans="1:4" x14ac:dyDescent="0.25">
      <c r="A2697" t="s">
        <v>2902</v>
      </c>
      <c r="B2697">
        <v>7.3229999999999996E-3</v>
      </c>
      <c r="C2697">
        <v>0</v>
      </c>
      <c r="D2697">
        <v>3.7438629032258064E-3</v>
      </c>
    </row>
    <row r="2698" spans="1:4" x14ac:dyDescent="0.25">
      <c r="A2698" t="s">
        <v>2079</v>
      </c>
      <c r="B2698">
        <v>7.3000000000000001E-3</v>
      </c>
      <c r="C2698">
        <v>2.8E-3</v>
      </c>
      <c r="D2698">
        <v>5.0580645161290329E-3</v>
      </c>
    </row>
    <row r="2699" spans="1:4" x14ac:dyDescent="0.25">
      <c r="A2699" t="s">
        <v>2110</v>
      </c>
      <c r="B2699">
        <v>7.3000000000000001E-3</v>
      </c>
      <c r="C2699">
        <v>0</v>
      </c>
      <c r="D2699">
        <v>4.611290322580645E-3</v>
      </c>
    </row>
    <row r="2700" spans="1:4" x14ac:dyDescent="0.25">
      <c r="A2700" t="s">
        <v>943</v>
      </c>
      <c r="B2700">
        <v>7.2830000000000004E-3</v>
      </c>
      <c r="C2700">
        <v>0</v>
      </c>
      <c r="D2700">
        <v>2.4728983870967751E-3</v>
      </c>
    </row>
    <row r="2701" spans="1:4" x14ac:dyDescent="0.25">
      <c r="A2701" t="s">
        <v>2429</v>
      </c>
      <c r="B2701">
        <v>7.1999999999999998E-3</v>
      </c>
      <c r="C2701">
        <v>1.9E-3</v>
      </c>
      <c r="D2701">
        <v>4.6185483870967723E-3</v>
      </c>
    </row>
    <row r="2702" spans="1:4" x14ac:dyDescent="0.25">
      <c r="A2702" t="s">
        <v>2157</v>
      </c>
      <c r="B2702">
        <v>7.1199999999999996E-3</v>
      </c>
      <c r="C2702">
        <v>0</v>
      </c>
      <c r="D2702">
        <v>1.8088548387096776E-3</v>
      </c>
    </row>
    <row r="2703" spans="1:4" x14ac:dyDescent="0.25">
      <c r="A2703" t="s">
        <v>173</v>
      </c>
      <c r="B2703">
        <v>7.1000000000000004E-3</v>
      </c>
      <c r="C2703">
        <v>3.5000000000000001E-3</v>
      </c>
      <c r="D2703">
        <v>5.0677419354838698E-3</v>
      </c>
    </row>
    <row r="2704" spans="1:4" x14ac:dyDescent="0.25">
      <c r="A2704" t="s">
        <v>2855</v>
      </c>
      <c r="B2704">
        <v>7.0819999999999998E-3</v>
      </c>
      <c r="C2704">
        <v>0</v>
      </c>
      <c r="D2704">
        <v>3.0239919354838698E-3</v>
      </c>
    </row>
    <row r="2705" spans="1:4" x14ac:dyDescent="0.25">
      <c r="A2705" t="s">
        <v>832</v>
      </c>
      <c r="B2705">
        <v>7.0000000000000001E-3</v>
      </c>
      <c r="C2705">
        <v>0</v>
      </c>
      <c r="D2705">
        <v>3.3187903225806456E-3</v>
      </c>
    </row>
    <row r="2706" spans="1:4" x14ac:dyDescent="0.25">
      <c r="A2706" t="s">
        <v>1797</v>
      </c>
      <c r="B2706">
        <v>7.0000000000000001E-3</v>
      </c>
      <c r="C2706">
        <v>0</v>
      </c>
      <c r="D2706">
        <v>6.8870967741935536E-3</v>
      </c>
    </row>
    <row r="2707" spans="1:4" x14ac:dyDescent="0.25">
      <c r="A2707" t="s">
        <v>822</v>
      </c>
      <c r="B2707">
        <v>7.0000000000000001E-3</v>
      </c>
      <c r="C2707">
        <v>0</v>
      </c>
      <c r="D2707">
        <v>5.7354838709677454E-3</v>
      </c>
    </row>
    <row r="2708" spans="1:4" x14ac:dyDescent="0.25">
      <c r="A2708" t="s">
        <v>312</v>
      </c>
      <c r="B2708">
        <v>7.0000000000000001E-3</v>
      </c>
      <c r="C2708">
        <v>0</v>
      </c>
      <c r="D2708">
        <v>9.9472983870967742E-4</v>
      </c>
    </row>
    <row r="2709" spans="1:4" x14ac:dyDescent="0.25">
      <c r="A2709" t="s">
        <v>594</v>
      </c>
      <c r="B2709">
        <v>7.0000000000000001E-3</v>
      </c>
      <c r="C2709">
        <v>0</v>
      </c>
      <c r="D2709">
        <v>6.6774193548387144E-3</v>
      </c>
    </row>
    <row r="2710" spans="1:4" x14ac:dyDescent="0.25">
      <c r="A2710" t="s">
        <v>2618</v>
      </c>
      <c r="B2710">
        <v>7.0000000000000001E-3</v>
      </c>
      <c r="C2710">
        <v>0</v>
      </c>
      <c r="D2710">
        <v>4.3305645161290322E-3</v>
      </c>
    </row>
    <row r="2711" spans="1:4" x14ac:dyDescent="0.25">
      <c r="A2711" t="s">
        <v>2743</v>
      </c>
      <c r="B2711">
        <v>7.0000000000000001E-3</v>
      </c>
      <c r="C2711">
        <v>0</v>
      </c>
      <c r="D2711">
        <v>4.3193548387096799E-3</v>
      </c>
    </row>
    <row r="2712" spans="1:4" x14ac:dyDescent="0.25">
      <c r="A2712" t="s">
        <v>2692</v>
      </c>
      <c r="B2712">
        <v>7.0000000000000001E-3</v>
      </c>
      <c r="C2712">
        <v>0</v>
      </c>
      <c r="D2712">
        <v>4.5499999999999994E-3</v>
      </c>
    </row>
    <row r="2713" spans="1:4" x14ac:dyDescent="0.25">
      <c r="A2713" t="s">
        <v>1333</v>
      </c>
      <c r="B2713">
        <v>7.0000000000000001E-3</v>
      </c>
      <c r="C2713">
        <v>0</v>
      </c>
      <c r="D2713">
        <v>5.5716612903225823E-3</v>
      </c>
    </row>
    <row r="2714" spans="1:4" x14ac:dyDescent="0.25">
      <c r="A2714" t="s">
        <v>2482</v>
      </c>
      <c r="B2714">
        <v>7.0000000000000001E-3</v>
      </c>
      <c r="C2714">
        <v>0</v>
      </c>
      <c r="D2714">
        <v>3.0717741935483889E-3</v>
      </c>
    </row>
    <row r="2715" spans="1:4" x14ac:dyDescent="0.25">
      <c r="A2715" t="s">
        <v>1337</v>
      </c>
      <c r="B2715">
        <v>7.0000000000000001E-3</v>
      </c>
      <c r="C2715">
        <v>0</v>
      </c>
      <c r="D2715">
        <v>3.612903225806454E-3</v>
      </c>
    </row>
    <row r="2716" spans="1:4" x14ac:dyDescent="0.25">
      <c r="A2716" t="s">
        <v>1358</v>
      </c>
      <c r="B2716">
        <v>7.0000000000000001E-3</v>
      </c>
      <c r="C2716">
        <v>0</v>
      </c>
      <c r="D2716">
        <v>2.5225806451612907E-3</v>
      </c>
    </row>
    <row r="2717" spans="1:4" x14ac:dyDescent="0.25">
      <c r="A2717" t="s">
        <v>1000</v>
      </c>
      <c r="B2717">
        <v>7.0000000000000001E-3</v>
      </c>
      <c r="C2717">
        <v>0</v>
      </c>
      <c r="D2717">
        <v>2.3967741935483873E-3</v>
      </c>
    </row>
    <row r="2718" spans="1:4" x14ac:dyDescent="0.25">
      <c r="A2718" t="s">
        <v>1235</v>
      </c>
      <c r="B2718">
        <v>6.9410000000000001E-3</v>
      </c>
      <c r="C2718">
        <v>2.8410000000000002E-3</v>
      </c>
      <c r="D2718">
        <v>4.6480483870967749E-3</v>
      </c>
    </row>
    <row r="2719" spans="1:4" x14ac:dyDescent="0.25">
      <c r="A2719" t="s">
        <v>1198</v>
      </c>
      <c r="B2719">
        <v>6.8999999999999999E-3</v>
      </c>
      <c r="C2719">
        <v>0</v>
      </c>
      <c r="D2719">
        <v>2.4508064516129036E-3</v>
      </c>
    </row>
    <row r="2720" spans="1:4" x14ac:dyDescent="0.25">
      <c r="A2720" t="s">
        <v>2426</v>
      </c>
      <c r="B2720">
        <v>6.8999999999999999E-3</v>
      </c>
      <c r="C2720">
        <v>5.9999999999999995E-4</v>
      </c>
      <c r="D2720">
        <v>2.9252580645161286E-3</v>
      </c>
    </row>
    <row r="2721" spans="1:4" x14ac:dyDescent="0.25">
      <c r="A2721" t="s">
        <v>2223</v>
      </c>
      <c r="B2721">
        <v>6.7999999999999996E-3</v>
      </c>
      <c r="C2721">
        <v>0</v>
      </c>
      <c r="D2721">
        <v>2.6904516129032264E-3</v>
      </c>
    </row>
    <row r="2722" spans="1:4" x14ac:dyDescent="0.25">
      <c r="A2722" t="s">
        <v>116</v>
      </c>
      <c r="B2722">
        <v>6.6020000000000002E-3</v>
      </c>
      <c r="C2722">
        <v>0</v>
      </c>
      <c r="D2722">
        <v>2.8972177419354841E-3</v>
      </c>
    </row>
    <row r="2723" spans="1:4" x14ac:dyDescent="0.25">
      <c r="A2723" t="s">
        <v>2118</v>
      </c>
      <c r="B2723">
        <v>6.4999999999999997E-3</v>
      </c>
      <c r="C2723">
        <v>0</v>
      </c>
      <c r="D2723">
        <v>1.6637096774193552E-3</v>
      </c>
    </row>
    <row r="2724" spans="1:4" x14ac:dyDescent="0.25">
      <c r="A2724" t="s">
        <v>2262</v>
      </c>
      <c r="B2724">
        <v>6.4999999999999997E-3</v>
      </c>
      <c r="C2724">
        <v>0</v>
      </c>
      <c r="D2724">
        <v>4.2370967741935462E-3</v>
      </c>
    </row>
    <row r="2725" spans="1:4" x14ac:dyDescent="0.25">
      <c r="A2725" t="s">
        <v>1334</v>
      </c>
      <c r="B2725">
        <v>6.45E-3</v>
      </c>
      <c r="C2725">
        <v>0</v>
      </c>
      <c r="D2725">
        <v>4.1283225806451607E-3</v>
      </c>
    </row>
    <row r="2726" spans="1:4" x14ac:dyDescent="0.25">
      <c r="A2726" t="s">
        <v>2382</v>
      </c>
      <c r="B2726">
        <v>6.4000000000000003E-3</v>
      </c>
      <c r="C2726">
        <v>0</v>
      </c>
      <c r="D2726">
        <v>5.9677419354838717E-4</v>
      </c>
    </row>
    <row r="2727" spans="1:4" x14ac:dyDescent="0.25">
      <c r="A2727" t="s">
        <v>728</v>
      </c>
      <c r="B2727">
        <v>6.3829999999999998E-3</v>
      </c>
      <c r="C2727">
        <v>0</v>
      </c>
      <c r="D2727">
        <v>3.4442661290322585E-3</v>
      </c>
    </row>
    <row r="2728" spans="1:4" x14ac:dyDescent="0.25">
      <c r="A2728" t="s">
        <v>2193</v>
      </c>
      <c r="B2728">
        <v>6.3E-3</v>
      </c>
      <c r="C2728">
        <v>0</v>
      </c>
      <c r="D2728">
        <v>3.6230645161290319E-3</v>
      </c>
    </row>
    <row r="2729" spans="1:4" x14ac:dyDescent="0.25">
      <c r="A2729" t="s">
        <v>2122</v>
      </c>
      <c r="B2729">
        <v>6.1999999999999998E-3</v>
      </c>
      <c r="C2729">
        <v>0</v>
      </c>
      <c r="D2729">
        <v>1.9617419354838704E-3</v>
      </c>
    </row>
    <row r="2730" spans="1:4" x14ac:dyDescent="0.25">
      <c r="A2730" t="s">
        <v>2640</v>
      </c>
      <c r="B2730">
        <v>6.1999999999999998E-3</v>
      </c>
      <c r="C2730">
        <v>0</v>
      </c>
      <c r="D2730">
        <v>5.8954838709677415E-3</v>
      </c>
    </row>
    <row r="2731" spans="1:4" x14ac:dyDescent="0.25">
      <c r="A2731" t="s">
        <v>159</v>
      </c>
      <c r="B2731">
        <v>6.1999999999999998E-3</v>
      </c>
      <c r="C2731">
        <v>0</v>
      </c>
      <c r="D2731">
        <v>4.1733870967741934E-3</v>
      </c>
    </row>
    <row r="2732" spans="1:4" x14ac:dyDescent="0.25">
      <c r="A2732" t="s">
        <v>2803</v>
      </c>
      <c r="B2732">
        <v>6.1999999999999998E-3</v>
      </c>
      <c r="C2732">
        <v>0</v>
      </c>
      <c r="D2732">
        <v>3.0331806451612884E-3</v>
      </c>
    </row>
    <row r="2733" spans="1:4" x14ac:dyDescent="0.25">
      <c r="A2733" t="s">
        <v>1380</v>
      </c>
      <c r="B2733">
        <v>6.1289999999999999E-3</v>
      </c>
      <c r="C2733">
        <v>2.4480000000000001E-3</v>
      </c>
      <c r="D2733">
        <v>4.1664596774193541E-3</v>
      </c>
    </row>
    <row r="2734" spans="1:4" x14ac:dyDescent="0.25">
      <c r="A2734" t="s">
        <v>1951</v>
      </c>
      <c r="B2734">
        <v>6.0000000000000001E-3</v>
      </c>
      <c r="C2734">
        <v>0</v>
      </c>
      <c r="D2734">
        <v>3.814193548387097E-3</v>
      </c>
    </row>
    <row r="2735" spans="1:4" x14ac:dyDescent="0.25">
      <c r="A2735" t="s">
        <v>2850</v>
      </c>
      <c r="B2735">
        <v>6.0000000000000001E-3</v>
      </c>
      <c r="C2735">
        <v>0</v>
      </c>
      <c r="D2735">
        <v>2.0449919354838713E-3</v>
      </c>
    </row>
    <row r="2736" spans="1:4" x14ac:dyDescent="0.25">
      <c r="A2736" t="s">
        <v>2138</v>
      </c>
      <c r="B2736">
        <v>6.0000000000000001E-3</v>
      </c>
      <c r="C2736">
        <v>0</v>
      </c>
      <c r="D2736">
        <v>3.9387096774193544E-3</v>
      </c>
    </row>
    <row r="2737" spans="1:4" x14ac:dyDescent="0.25">
      <c r="A2737" t="s">
        <v>2210</v>
      </c>
      <c r="B2737">
        <v>6.0000000000000001E-3</v>
      </c>
      <c r="C2737">
        <v>0</v>
      </c>
      <c r="D2737">
        <v>1.4524274193548387E-3</v>
      </c>
    </row>
    <row r="2738" spans="1:4" x14ac:dyDescent="0.25">
      <c r="A2738" t="s">
        <v>2218</v>
      </c>
      <c r="B2738">
        <v>6.0000000000000001E-3</v>
      </c>
      <c r="C2738">
        <v>0</v>
      </c>
      <c r="D2738">
        <v>2.3424596774193557E-3</v>
      </c>
    </row>
    <row r="2739" spans="1:4" x14ac:dyDescent="0.25">
      <c r="A2739" t="s">
        <v>974</v>
      </c>
      <c r="B2739">
        <v>6.0000000000000001E-3</v>
      </c>
      <c r="C2739">
        <v>8.9999999999999998E-4</v>
      </c>
      <c r="D2739">
        <v>2.5870967741935501E-3</v>
      </c>
    </row>
    <row r="2740" spans="1:4" x14ac:dyDescent="0.25">
      <c r="A2740" t="s">
        <v>2338</v>
      </c>
      <c r="B2740">
        <v>6.0000000000000001E-3</v>
      </c>
      <c r="C2740">
        <v>0</v>
      </c>
      <c r="D2740">
        <v>3.0612903225806462E-3</v>
      </c>
    </row>
    <row r="2741" spans="1:4" x14ac:dyDescent="0.25">
      <c r="A2741" t="s">
        <v>443</v>
      </c>
      <c r="B2741">
        <v>6.0000000000000001E-3</v>
      </c>
      <c r="C2741">
        <v>0</v>
      </c>
      <c r="D2741">
        <v>1.8500000000000012E-3</v>
      </c>
    </row>
    <row r="2742" spans="1:4" x14ac:dyDescent="0.25">
      <c r="A2742" t="s">
        <v>2387</v>
      </c>
      <c r="B2742">
        <v>6.0000000000000001E-3</v>
      </c>
      <c r="C2742">
        <v>0</v>
      </c>
      <c r="D2742">
        <v>2.1693548387096786E-3</v>
      </c>
    </row>
    <row r="2743" spans="1:4" x14ac:dyDescent="0.25">
      <c r="A2743" t="s">
        <v>638</v>
      </c>
      <c r="B2743">
        <v>6.0000000000000001E-3</v>
      </c>
      <c r="C2743">
        <v>0</v>
      </c>
      <c r="D2743">
        <v>5.0322580645161289E-4</v>
      </c>
    </row>
    <row r="2744" spans="1:4" x14ac:dyDescent="0.25">
      <c r="A2744" t="s">
        <v>829</v>
      </c>
      <c r="B2744">
        <v>6.0000000000000001E-3</v>
      </c>
      <c r="C2744">
        <v>0</v>
      </c>
      <c r="D2744">
        <v>5.1935483870967742E-4</v>
      </c>
    </row>
    <row r="2745" spans="1:4" x14ac:dyDescent="0.25">
      <c r="A2745" t="s">
        <v>2347</v>
      </c>
      <c r="B2745">
        <v>5.9280000000000001E-3</v>
      </c>
      <c r="C2745">
        <v>0</v>
      </c>
      <c r="D2745">
        <v>1.8314274193548382E-3</v>
      </c>
    </row>
    <row r="2746" spans="1:4" x14ac:dyDescent="0.25">
      <c r="A2746" t="s">
        <v>1429</v>
      </c>
      <c r="B2746">
        <v>5.8999999999999999E-3</v>
      </c>
      <c r="C2746">
        <v>0</v>
      </c>
      <c r="D2746">
        <v>2.8802903225806447E-3</v>
      </c>
    </row>
    <row r="2747" spans="1:4" x14ac:dyDescent="0.25">
      <c r="A2747" t="s">
        <v>1031</v>
      </c>
      <c r="B2747">
        <v>5.8999999999999999E-3</v>
      </c>
      <c r="C2747">
        <v>0</v>
      </c>
      <c r="D2747">
        <v>1.5755564516129034E-3</v>
      </c>
    </row>
    <row r="2748" spans="1:4" x14ac:dyDescent="0.25">
      <c r="A2748" t="s">
        <v>2071</v>
      </c>
      <c r="B2748">
        <v>5.7999999999999996E-3</v>
      </c>
      <c r="C2748">
        <v>1.1000000000000001E-3</v>
      </c>
      <c r="D2748">
        <v>2.9508064516129032E-3</v>
      </c>
    </row>
    <row r="2749" spans="1:4" x14ac:dyDescent="0.25">
      <c r="A2749" t="s">
        <v>966</v>
      </c>
      <c r="B2749">
        <v>5.7999999999999996E-3</v>
      </c>
      <c r="C2749">
        <v>0</v>
      </c>
      <c r="D2749">
        <v>3.0331612903225801E-3</v>
      </c>
    </row>
    <row r="2750" spans="1:4" x14ac:dyDescent="0.25">
      <c r="A2750" t="s">
        <v>1520</v>
      </c>
      <c r="B2750">
        <v>5.757E-3</v>
      </c>
      <c r="C2750">
        <v>0</v>
      </c>
      <c r="D2750">
        <v>3.2699032258064519E-3</v>
      </c>
    </row>
    <row r="2751" spans="1:4" x14ac:dyDescent="0.25">
      <c r="A2751" t="s">
        <v>2109</v>
      </c>
      <c r="B2751">
        <v>5.7000000000000002E-3</v>
      </c>
      <c r="C2751">
        <v>0</v>
      </c>
      <c r="D2751">
        <v>5.6080645161290304E-3</v>
      </c>
    </row>
    <row r="2752" spans="1:4" x14ac:dyDescent="0.25">
      <c r="A2752" t="s">
        <v>70</v>
      </c>
      <c r="B2752">
        <v>5.7000000000000002E-3</v>
      </c>
      <c r="C2752">
        <v>0</v>
      </c>
      <c r="D2752">
        <v>4.212645161290325E-3</v>
      </c>
    </row>
    <row r="2753" spans="1:4" x14ac:dyDescent="0.25">
      <c r="A2753" t="s">
        <v>2126</v>
      </c>
      <c r="B2753">
        <v>5.5999999999999999E-3</v>
      </c>
      <c r="C2753">
        <v>1.5200000000000001E-3</v>
      </c>
      <c r="D2753">
        <v>2.4839838709677419E-3</v>
      </c>
    </row>
    <row r="2754" spans="1:4" x14ac:dyDescent="0.25">
      <c r="A2754" t="s">
        <v>2261</v>
      </c>
      <c r="B2754">
        <v>5.5999999999999999E-3</v>
      </c>
      <c r="C2754">
        <v>0</v>
      </c>
      <c r="D2754">
        <v>2.5002580645161285E-3</v>
      </c>
    </row>
    <row r="2755" spans="1:4" x14ac:dyDescent="0.25">
      <c r="A2755" t="s">
        <v>80</v>
      </c>
      <c r="B2755">
        <v>5.5799999999999999E-3</v>
      </c>
      <c r="C2755">
        <v>0</v>
      </c>
      <c r="D2755">
        <v>2.3341935483870966E-3</v>
      </c>
    </row>
    <row r="2756" spans="1:4" x14ac:dyDescent="0.25">
      <c r="A2756" t="s">
        <v>2589</v>
      </c>
      <c r="B2756">
        <v>5.4520000000000002E-3</v>
      </c>
      <c r="C2756">
        <v>0</v>
      </c>
      <c r="D2756">
        <v>2.2067419354838717E-3</v>
      </c>
    </row>
    <row r="2757" spans="1:4" x14ac:dyDescent="0.25">
      <c r="A2757" t="s">
        <v>967</v>
      </c>
      <c r="B2757">
        <v>5.4299999999999999E-3</v>
      </c>
      <c r="C2757">
        <v>0</v>
      </c>
      <c r="D2757">
        <v>1.6448387096774195E-3</v>
      </c>
    </row>
    <row r="2758" spans="1:4" x14ac:dyDescent="0.25">
      <c r="A2758" t="s">
        <v>2464</v>
      </c>
      <c r="B2758">
        <v>5.4000000000000003E-3</v>
      </c>
      <c r="C2758">
        <v>0</v>
      </c>
      <c r="D2758">
        <v>2.8157096774193541E-3</v>
      </c>
    </row>
    <row r="2759" spans="1:4" x14ac:dyDescent="0.25">
      <c r="A2759" t="s">
        <v>1089</v>
      </c>
      <c r="B2759">
        <v>5.3870000000000003E-3</v>
      </c>
      <c r="C2759">
        <v>0</v>
      </c>
      <c r="D2759">
        <v>8.5076612903225806E-4</v>
      </c>
    </row>
    <row r="2760" spans="1:4" x14ac:dyDescent="0.25">
      <c r="A2760" t="s">
        <v>45</v>
      </c>
      <c r="B2760">
        <v>5.3299999999999997E-3</v>
      </c>
      <c r="C2760">
        <v>0</v>
      </c>
      <c r="D2760">
        <v>4.0382580645161288E-3</v>
      </c>
    </row>
    <row r="2761" spans="1:4" x14ac:dyDescent="0.25">
      <c r="A2761" t="s">
        <v>1652</v>
      </c>
      <c r="B2761">
        <v>5.3299999999999997E-3</v>
      </c>
      <c r="C2761">
        <v>0</v>
      </c>
      <c r="D2761">
        <v>4.1400725806451603E-3</v>
      </c>
    </row>
    <row r="2762" spans="1:4" x14ac:dyDescent="0.25">
      <c r="A2762" t="s">
        <v>983</v>
      </c>
      <c r="B2762">
        <v>5.2599999999999999E-3</v>
      </c>
      <c r="C2762">
        <v>0</v>
      </c>
      <c r="D2762">
        <v>2.3681129032258057E-3</v>
      </c>
    </row>
    <row r="2763" spans="1:4" x14ac:dyDescent="0.25">
      <c r="A2763" t="s">
        <v>1417</v>
      </c>
      <c r="B2763">
        <v>5.1190000000000003E-3</v>
      </c>
      <c r="C2763">
        <v>0</v>
      </c>
      <c r="D2763">
        <v>3.0268064516129041E-3</v>
      </c>
    </row>
    <row r="2764" spans="1:4" x14ac:dyDescent="0.25">
      <c r="A2764" t="s">
        <v>1148</v>
      </c>
      <c r="B2764">
        <v>5.1000000000000004E-3</v>
      </c>
      <c r="C2764">
        <v>2.0999999999999999E-3</v>
      </c>
      <c r="D2764">
        <v>3.7129032258064504E-3</v>
      </c>
    </row>
    <row r="2765" spans="1:4" x14ac:dyDescent="0.25">
      <c r="A2765" t="s">
        <v>2556</v>
      </c>
      <c r="B2765">
        <v>5.0000000000000001E-3</v>
      </c>
      <c r="C2765">
        <v>0</v>
      </c>
      <c r="D2765">
        <v>2.3733870967741922E-3</v>
      </c>
    </row>
    <row r="2766" spans="1:4" x14ac:dyDescent="0.25">
      <c r="A2766" t="s">
        <v>1998</v>
      </c>
      <c r="B2766">
        <v>5.0000000000000001E-3</v>
      </c>
      <c r="C2766">
        <v>0</v>
      </c>
      <c r="D2766">
        <v>1.437096774193549E-3</v>
      </c>
    </row>
    <row r="2767" spans="1:4" x14ac:dyDescent="0.25">
      <c r="A2767" t="s">
        <v>1286</v>
      </c>
      <c r="B2767">
        <v>5.0000000000000001E-3</v>
      </c>
      <c r="C2767">
        <v>0</v>
      </c>
      <c r="D2767">
        <v>2.1588709677419354E-3</v>
      </c>
    </row>
    <row r="2768" spans="1:4" x14ac:dyDescent="0.25">
      <c r="A2768" t="s">
        <v>2133</v>
      </c>
      <c r="B2768">
        <v>5.0000000000000001E-3</v>
      </c>
      <c r="C2768">
        <v>0</v>
      </c>
      <c r="D2768">
        <v>2.7170967741935496E-3</v>
      </c>
    </row>
    <row r="2769" spans="1:4" x14ac:dyDescent="0.25">
      <c r="A2769" t="s">
        <v>18</v>
      </c>
      <c r="B2769">
        <v>5.0000000000000001E-3</v>
      </c>
      <c r="C2769">
        <v>0</v>
      </c>
      <c r="D2769">
        <v>2.5717741935483884E-3</v>
      </c>
    </row>
    <row r="2770" spans="1:4" x14ac:dyDescent="0.25">
      <c r="A2770" t="s">
        <v>2163</v>
      </c>
      <c r="B2770">
        <v>5.0000000000000001E-3</v>
      </c>
      <c r="C2770">
        <v>0</v>
      </c>
      <c r="D2770">
        <v>1.7693548387096782E-3</v>
      </c>
    </row>
    <row r="2771" spans="1:4" x14ac:dyDescent="0.25">
      <c r="A2771" t="s">
        <v>1468</v>
      </c>
      <c r="B2771">
        <v>5.0000000000000001E-3</v>
      </c>
      <c r="C2771">
        <v>0</v>
      </c>
      <c r="D2771">
        <v>2.8717741935483897E-3</v>
      </c>
    </row>
    <row r="2772" spans="1:4" x14ac:dyDescent="0.25">
      <c r="A2772" t="s">
        <v>2303</v>
      </c>
      <c r="B2772">
        <v>5.0000000000000001E-3</v>
      </c>
      <c r="C2772">
        <v>0</v>
      </c>
      <c r="D2772">
        <v>4.8387096774193577E-3</v>
      </c>
    </row>
    <row r="2773" spans="1:4" x14ac:dyDescent="0.25">
      <c r="A2773" t="s">
        <v>493</v>
      </c>
      <c r="B2773">
        <v>5.0000000000000001E-3</v>
      </c>
      <c r="C2773">
        <v>0</v>
      </c>
      <c r="D2773">
        <v>3.9354838709677441E-3</v>
      </c>
    </row>
    <row r="2774" spans="1:4" x14ac:dyDescent="0.25">
      <c r="A2774" t="s">
        <v>2340</v>
      </c>
      <c r="B2774">
        <v>5.0000000000000001E-3</v>
      </c>
      <c r="C2774">
        <v>0</v>
      </c>
      <c r="D2774">
        <v>1.6909677419354842E-3</v>
      </c>
    </row>
    <row r="2775" spans="1:4" x14ac:dyDescent="0.25">
      <c r="A2775" t="s">
        <v>2763</v>
      </c>
      <c r="B2775">
        <v>5.0000000000000001E-3</v>
      </c>
      <c r="C2775">
        <v>0</v>
      </c>
      <c r="D2775">
        <v>3.2588709677419374E-3</v>
      </c>
    </row>
    <row r="2776" spans="1:4" x14ac:dyDescent="0.25">
      <c r="A2776" t="s">
        <v>216</v>
      </c>
      <c r="B2776">
        <v>5.0000000000000001E-3</v>
      </c>
      <c r="C2776">
        <v>0</v>
      </c>
      <c r="D2776">
        <v>8.5483870967741971E-4</v>
      </c>
    </row>
    <row r="2777" spans="1:4" x14ac:dyDescent="0.25">
      <c r="A2777" t="s">
        <v>2125</v>
      </c>
      <c r="B2777">
        <v>4.9030000000000002E-3</v>
      </c>
      <c r="C2777">
        <v>0</v>
      </c>
      <c r="D2777">
        <v>1.9123387096774194E-3</v>
      </c>
    </row>
    <row r="2778" spans="1:4" x14ac:dyDescent="0.25">
      <c r="A2778" t="s">
        <v>436</v>
      </c>
      <c r="B2778">
        <v>4.8999999999999998E-3</v>
      </c>
      <c r="C2778">
        <v>0</v>
      </c>
      <c r="D2778">
        <v>1.6183870967741926E-3</v>
      </c>
    </row>
    <row r="2779" spans="1:4" x14ac:dyDescent="0.25">
      <c r="A2779" t="s">
        <v>2253</v>
      </c>
      <c r="B2779">
        <v>4.8069999999999996E-3</v>
      </c>
      <c r="C2779">
        <v>0</v>
      </c>
      <c r="D2779">
        <v>2.6764516129032254E-3</v>
      </c>
    </row>
    <row r="2780" spans="1:4" x14ac:dyDescent="0.25">
      <c r="A2780" t="s">
        <v>2197</v>
      </c>
      <c r="B2780">
        <v>4.7999999999999996E-3</v>
      </c>
      <c r="C2780">
        <v>0</v>
      </c>
      <c r="D2780">
        <v>3.6790322580645156E-3</v>
      </c>
    </row>
    <row r="2781" spans="1:4" x14ac:dyDescent="0.25">
      <c r="A2781" t="s">
        <v>2760</v>
      </c>
      <c r="B2781">
        <v>4.7999999999999996E-3</v>
      </c>
      <c r="C2781">
        <v>0</v>
      </c>
      <c r="D2781">
        <v>2.4419354838709673E-3</v>
      </c>
    </row>
    <row r="2782" spans="1:4" x14ac:dyDescent="0.25">
      <c r="A2782" t="s">
        <v>1026</v>
      </c>
      <c r="B2782">
        <v>4.7800000000000004E-3</v>
      </c>
      <c r="C2782">
        <v>0</v>
      </c>
      <c r="D2782">
        <v>1.5885290322580645E-3</v>
      </c>
    </row>
    <row r="2783" spans="1:4" x14ac:dyDescent="0.25">
      <c r="A2783" t="s">
        <v>1963</v>
      </c>
      <c r="B2783">
        <v>4.7000000000000002E-3</v>
      </c>
      <c r="C2783">
        <v>0</v>
      </c>
      <c r="D2783">
        <v>2.4267741935483866E-3</v>
      </c>
    </row>
    <row r="2784" spans="1:4" x14ac:dyDescent="0.25">
      <c r="A2784" t="s">
        <v>121</v>
      </c>
      <c r="B2784">
        <v>4.7000000000000002E-3</v>
      </c>
      <c r="C2784">
        <v>1E-4</v>
      </c>
      <c r="D2784">
        <v>1.6588709677419354E-3</v>
      </c>
    </row>
    <row r="2785" spans="1:4" x14ac:dyDescent="0.25">
      <c r="A2785" t="s">
        <v>2584</v>
      </c>
      <c r="B2785">
        <v>4.7000000000000002E-3</v>
      </c>
      <c r="C2785">
        <v>0</v>
      </c>
      <c r="D2785">
        <v>1.741935483870968E-3</v>
      </c>
    </row>
    <row r="2786" spans="1:4" x14ac:dyDescent="0.25">
      <c r="A2786" t="s">
        <v>1082</v>
      </c>
      <c r="B2786">
        <v>4.5999999999999999E-3</v>
      </c>
      <c r="C2786">
        <v>0</v>
      </c>
      <c r="D2786">
        <v>7.9779838709677418E-4</v>
      </c>
    </row>
    <row r="2787" spans="1:4" x14ac:dyDescent="0.25">
      <c r="A2787" t="s">
        <v>2548</v>
      </c>
      <c r="B2787">
        <v>4.5999999999999999E-3</v>
      </c>
      <c r="C2787">
        <v>0</v>
      </c>
      <c r="D2787">
        <v>1.747585967741935E-3</v>
      </c>
    </row>
    <row r="2788" spans="1:4" x14ac:dyDescent="0.25">
      <c r="A2788" t="s">
        <v>2270</v>
      </c>
      <c r="B2788">
        <v>4.5999999999999999E-3</v>
      </c>
      <c r="C2788">
        <v>0</v>
      </c>
      <c r="D2788">
        <v>1.196548387096775E-3</v>
      </c>
    </row>
    <row r="2789" spans="1:4" x14ac:dyDescent="0.25">
      <c r="A2789" t="s">
        <v>1409</v>
      </c>
      <c r="B2789">
        <v>4.5729999999999998E-3</v>
      </c>
      <c r="C2789">
        <v>0</v>
      </c>
      <c r="D2789">
        <v>2.8224604838709678E-3</v>
      </c>
    </row>
    <row r="2790" spans="1:4" x14ac:dyDescent="0.25">
      <c r="A2790" t="s">
        <v>1384</v>
      </c>
      <c r="B2790">
        <v>4.4999999999999997E-3</v>
      </c>
      <c r="C2790">
        <v>0</v>
      </c>
      <c r="D2790">
        <v>1.8715322580645159E-3</v>
      </c>
    </row>
    <row r="2791" spans="1:4" x14ac:dyDescent="0.25">
      <c r="A2791" t="s">
        <v>975</v>
      </c>
      <c r="B2791">
        <v>4.4939999999999997E-3</v>
      </c>
      <c r="C2791">
        <v>0</v>
      </c>
      <c r="D2791">
        <v>1.4099112903225809E-3</v>
      </c>
    </row>
    <row r="2792" spans="1:4" x14ac:dyDescent="0.25">
      <c r="A2792" t="s">
        <v>2498</v>
      </c>
      <c r="B2792">
        <v>4.4000000000000003E-3</v>
      </c>
      <c r="C2792">
        <v>0</v>
      </c>
      <c r="D2792">
        <v>8.3469354838709687E-4</v>
      </c>
    </row>
    <row r="2793" spans="1:4" x14ac:dyDescent="0.25">
      <c r="A2793" t="s">
        <v>2849</v>
      </c>
      <c r="B2793">
        <v>4.3070000000000001E-3</v>
      </c>
      <c r="C2793">
        <v>0</v>
      </c>
      <c r="D2793">
        <v>1.6876451612903231E-3</v>
      </c>
    </row>
    <row r="2794" spans="1:4" x14ac:dyDescent="0.25">
      <c r="A2794" t="s">
        <v>1168</v>
      </c>
      <c r="B2794">
        <v>4.3E-3</v>
      </c>
      <c r="C2794">
        <v>0</v>
      </c>
      <c r="D2794">
        <v>1.4444596774193549E-3</v>
      </c>
    </row>
    <row r="2795" spans="1:4" x14ac:dyDescent="0.25">
      <c r="A2795" t="s">
        <v>2854</v>
      </c>
      <c r="B2795">
        <v>4.2979999999999997E-3</v>
      </c>
      <c r="C2795">
        <v>0</v>
      </c>
      <c r="D2795">
        <v>2.1675000000000002E-3</v>
      </c>
    </row>
    <row r="2796" spans="1:4" x14ac:dyDescent="0.25">
      <c r="A2796" t="s">
        <v>1615</v>
      </c>
      <c r="B2796">
        <v>4.2430000000000002E-3</v>
      </c>
      <c r="C2796">
        <v>0</v>
      </c>
      <c r="D2796">
        <v>3.1145483870967747E-3</v>
      </c>
    </row>
    <row r="2797" spans="1:4" x14ac:dyDescent="0.25">
      <c r="A2797" t="s">
        <v>2069</v>
      </c>
      <c r="B2797">
        <v>4.1999999999999997E-3</v>
      </c>
      <c r="C2797">
        <v>2.5999999999999999E-3</v>
      </c>
      <c r="D2797">
        <v>3.3483870967741919E-3</v>
      </c>
    </row>
    <row r="2798" spans="1:4" x14ac:dyDescent="0.25">
      <c r="A2798" t="s">
        <v>2175</v>
      </c>
      <c r="B2798">
        <v>4.1999999999999997E-3</v>
      </c>
      <c r="C2798">
        <v>0</v>
      </c>
      <c r="D2798">
        <v>1.2319838709677418E-3</v>
      </c>
    </row>
    <row r="2799" spans="1:4" x14ac:dyDescent="0.25">
      <c r="A2799" t="s">
        <v>1332</v>
      </c>
      <c r="B2799">
        <v>4.1999999999999997E-3</v>
      </c>
      <c r="C2799">
        <v>0</v>
      </c>
      <c r="D2799">
        <v>3.0104516129032264E-3</v>
      </c>
    </row>
    <row r="2800" spans="1:4" x14ac:dyDescent="0.25">
      <c r="A2800" t="s">
        <v>1418</v>
      </c>
      <c r="B2800">
        <v>4.0499999999999998E-3</v>
      </c>
      <c r="C2800">
        <v>0</v>
      </c>
      <c r="D2800">
        <v>2.6066935483870964E-3</v>
      </c>
    </row>
    <row r="2801" spans="1:4" x14ac:dyDescent="0.25">
      <c r="A2801" t="s">
        <v>1769</v>
      </c>
      <c r="B2801">
        <v>4.0000000000000001E-3</v>
      </c>
      <c r="C2801">
        <v>2.3999999999999998E-3</v>
      </c>
      <c r="D2801">
        <v>3.1782258064516154E-3</v>
      </c>
    </row>
    <row r="2802" spans="1:4" x14ac:dyDescent="0.25">
      <c r="A2802" t="s">
        <v>1477</v>
      </c>
      <c r="B2802">
        <v>4.0000000000000001E-3</v>
      </c>
      <c r="C2802">
        <v>0</v>
      </c>
      <c r="D2802">
        <v>1.2716774193548394E-3</v>
      </c>
    </row>
    <row r="2803" spans="1:4" x14ac:dyDescent="0.25">
      <c r="A2803" t="s">
        <v>2105</v>
      </c>
      <c r="B2803">
        <v>4.0000000000000001E-3</v>
      </c>
      <c r="C2803">
        <v>0</v>
      </c>
      <c r="D2803">
        <v>1.5209677419354842E-3</v>
      </c>
    </row>
    <row r="2804" spans="1:4" x14ac:dyDescent="0.25">
      <c r="A2804" t="s">
        <v>939</v>
      </c>
      <c r="B2804">
        <v>4.0000000000000001E-3</v>
      </c>
      <c r="C2804">
        <v>0</v>
      </c>
      <c r="D2804">
        <v>2.1935483870967757E-3</v>
      </c>
    </row>
    <row r="2805" spans="1:4" x14ac:dyDescent="0.25">
      <c r="A2805" t="s">
        <v>244</v>
      </c>
      <c r="B2805">
        <v>4.0000000000000001E-3</v>
      </c>
      <c r="C2805">
        <v>0</v>
      </c>
      <c r="D2805">
        <v>2.7258064516129054E-3</v>
      </c>
    </row>
    <row r="2806" spans="1:4" x14ac:dyDescent="0.25">
      <c r="A2806" t="s">
        <v>452</v>
      </c>
      <c r="B2806">
        <v>4.0000000000000001E-3</v>
      </c>
      <c r="C2806">
        <v>0</v>
      </c>
      <c r="D2806">
        <v>1.8717741935483881E-3</v>
      </c>
    </row>
    <row r="2807" spans="1:4" x14ac:dyDescent="0.25">
      <c r="A2807" t="s">
        <v>2651</v>
      </c>
      <c r="B2807">
        <v>3.9950000000000003E-3</v>
      </c>
      <c r="C2807">
        <v>0</v>
      </c>
      <c r="D2807">
        <v>1.2460483870967742E-3</v>
      </c>
    </row>
    <row r="2808" spans="1:4" x14ac:dyDescent="0.25">
      <c r="A2808" t="s">
        <v>1581</v>
      </c>
      <c r="B2808">
        <v>3.9699999999999996E-3</v>
      </c>
      <c r="C2808">
        <v>0</v>
      </c>
      <c r="D2808">
        <v>2.1099999999999995E-3</v>
      </c>
    </row>
    <row r="2809" spans="1:4" x14ac:dyDescent="0.25">
      <c r="A2809" t="s">
        <v>2883</v>
      </c>
      <c r="B2809">
        <v>3.9280000000000001E-3</v>
      </c>
      <c r="C2809">
        <v>0</v>
      </c>
      <c r="D2809">
        <v>3.1146870967741934E-3</v>
      </c>
    </row>
    <row r="2810" spans="1:4" x14ac:dyDescent="0.25">
      <c r="A2810" t="s">
        <v>1452</v>
      </c>
      <c r="B2810">
        <v>3.9119999999999997E-3</v>
      </c>
      <c r="C2810">
        <v>0</v>
      </c>
      <c r="D2810">
        <v>2.1366048387096771E-3</v>
      </c>
    </row>
    <row r="2811" spans="1:4" x14ac:dyDescent="0.25">
      <c r="A2811" t="s">
        <v>2378</v>
      </c>
      <c r="B2811">
        <v>3.8999999999999998E-3</v>
      </c>
      <c r="C2811">
        <v>0</v>
      </c>
      <c r="D2811">
        <v>8.822580645161289E-4</v>
      </c>
    </row>
    <row r="2812" spans="1:4" x14ac:dyDescent="0.25">
      <c r="A2812" t="s">
        <v>2895</v>
      </c>
      <c r="B2812">
        <v>3.872E-3</v>
      </c>
      <c r="C2812">
        <v>0</v>
      </c>
      <c r="D2812">
        <v>1.0153580645161297E-3</v>
      </c>
    </row>
    <row r="2813" spans="1:4" x14ac:dyDescent="0.25">
      <c r="A2813" t="s">
        <v>2799</v>
      </c>
      <c r="B2813">
        <v>3.8700000000000002E-3</v>
      </c>
      <c r="C2813">
        <v>0</v>
      </c>
      <c r="D2813">
        <v>1.273790322580645E-3</v>
      </c>
    </row>
    <row r="2814" spans="1:4" x14ac:dyDescent="0.25">
      <c r="A2814" t="s">
        <v>1401</v>
      </c>
      <c r="B2814">
        <v>3.8E-3</v>
      </c>
      <c r="C2814">
        <v>0</v>
      </c>
      <c r="D2814">
        <v>1.7824193548387102E-3</v>
      </c>
    </row>
    <row r="2815" spans="1:4" x14ac:dyDescent="0.25">
      <c r="A2815" t="s">
        <v>2082</v>
      </c>
      <c r="B2815">
        <v>3.7959999999999999E-3</v>
      </c>
      <c r="C2815">
        <v>0</v>
      </c>
      <c r="D2815">
        <v>2.1461048387096775E-3</v>
      </c>
    </row>
    <row r="2816" spans="1:4" x14ac:dyDescent="0.25">
      <c r="A2816" t="s">
        <v>2847</v>
      </c>
      <c r="B2816">
        <v>3.7669999999999999E-3</v>
      </c>
      <c r="C2816">
        <v>0</v>
      </c>
      <c r="D2816">
        <v>1.4964193548387098E-3</v>
      </c>
    </row>
    <row r="2817" spans="1:4" x14ac:dyDescent="0.25">
      <c r="A2817" t="s">
        <v>1078</v>
      </c>
      <c r="B2817">
        <v>3.7160000000000001E-3</v>
      </c>
      <c r="C2817">
        <v>0</v>
      </c>
      <c r="D2817">
        <v>1.4691612903225805E-3</v>
      </c>
    </row>
    <row r="2818" spans="1:4" x14ac:dyDescent="0.25">
      <c r="A2818" t="s">
        <v>910</v>
      </c>
      <c r="B2818">
        <v>3.6470999999999999E-3</v>
      </c>
      <c r="C2818">
        <v>0</v>
      </c>
      <c r="D2818">
        <v>1.8934080645161291E-3</v>
      </c>
    </row>
    <row r="2819" spans="1:4" x14ac:dyDescent="0.25">
      <c r="A2819" t="s">
        <v>2115</v>
      </c>
      <c r="B2819">
        <v>3.5999999999999999E-3</v>
      </c>
      <c r="C2819">
        <v>0</v>
      </c>
      <c r="D2819">
        <v>1.8248387096774189E-3</v>
      </c>
    </row>
    <row r="2820" spans="1:4" x14ac:dyDescent="0.25">
      <c r="A2820" t="s">
        <v>811</v>
      </c>
      <c r="B2820">
        <v>3.5999999999999999E-3</v>
      </c>
      <c r="C2820">
        <v>0</v>
      </c>
      <c r="D2820">
        <v>1.2733870967741936E-3</v>
      </c>
    </row>
    <row r="2821" spans="1:4" x14ac:dyDescent="0.25">
      <c r="A2821" t="s">
        <v>41</v>
      </c>
      <c r="B2821">
        <v>3.5100000000000001E-3</v>
      </c>
      <c r="C2821">
        <v>0</v>
      </c>
      <c r="D2821">
        <v>1.2789677419354842E-3</v>
      </c>
    </row>
    <row r="2822" spans="1:4" x14ac:dyDescent="0.25">
      <c r="A2822" t="s">
        <v>84</v>
      </c>
      <c r="B2822">
        <v>3.5000000000000001E-3</v>
      </c>
      <c r="C2822">
        <v>0</v>
      </c>
      <c r="D2822">
        <v>1.4854838709677425E-3</v>
      </c>
    </row>
    <row r="2823" spans="1:4" x14ac:dyDescent="0.25">
      <c r="A2823" t="s">
        <v>235</v>
      </c>
      <c r="B2823">
        <v>3.5000000000000001E-3</v>
      </c>
      <c r="C2823">
        <v>0</v>
      </c>
      <c r="D2823">
        <v>2.3516129032258065E-3</v>
      </c>
    </row>
    <row r="2824" spans="1:4" x14ac:dyDescent="0.25">
      <c r="A2824" t="s">
        <v>2287</v>
      </c>
      <c r="B2824">
        <v>3.3999999999999998E-3</v>
      </c>
      <c r="C2824">
        <v>2.0000000000000001E-4</v>
      </c>
      <c r="D2824">
        <v>1.2387580645161289E-3</v>
      </c>
    </row>
    <row r="2825" spans="1:4" x14ac:dyDescent="0.25">
      <c r="A2825" t="s">
        <v>308</v>
      </c>
      <c r="B2825">
        <v>3.3419999999999999E-3</v>
      </c>
      <c r="C2825">
        <v>0</v>
      </c>
      <c r="D2825">
        <v>1.2003145161290317E-3</v>
      </c>
    </row>
    <row r="2826" spans="1:4" x14ac:dyDescent="0.25">
      <c r="A2826" t="s">
        <v>973</v>
      </c>
      <c r="B2826">
        <v>3.2000000000000002E-3</v>
      </c>
      <c r="C2826">
        <v>0</v>
      </c>
      <c r="D2826">
        <v>3.0483870967741935E-4</v>
      </c>
    </row>
    <row r="2827" spans="1:4" x14ac:dyDescent="0.25">
      <c r="A2827" t="s">
        <v>293</v>
      </c>
      <c r="B2827">
        <v>3.2000000000000002E-3</v>
      </c>
      <c r="C2827">
        <v>1.8000000000000001E-4</v>
      </c>
      <c r="D2827">
        <v>1.6741935483870968E-3</v>
      </c>
    </row>
    <row r="2828" spans="1:4" x14ac:dyDescent="0.25">
      <c r="A2828" t="s">
        <v>2354</v>
      </c>
      <c r="B2828">
        <v>3.2000000000000002E-3</v>
      </c>
      <c r="C2828">
        <v>0</v>
      </c>
      <c r="D2828">
        <v>1.111354838709678E-3</v>
      </c>
    </row>
    <row r="2829" spans="1:4" x14ac:dyDescent="0.25">
      <c r="A2829" t="s">
        <v>2796</v>
      </c>
      <c r="B2829">
        <v>3.0999999999999999E-3</v>
      </c>
      <c r="C2829">
        <v>0</v>
      </c>
      <c r="D2829">
        <v>2.1523387096774203E-3</v>
      </c>
    </row>
    <row r="2830" spans="1:4" x14ac:dyDescent="0.25">
      <c r="A2830" t="s">
        <v>2836</v>
      </c>
      <c r="B2830">
        <v>3.0999999999999999E-3</v>
      </c>
      <c r="C2830">
        <v>0</v>
      </c>
      <c r="D2830">
        <v>1.1998709677419356E-3</v>
      </c>
    </row>
    <row r="2831" spans="1:4" x14ac:dyDescent="0.25">
      <c r="A2831" t="s">
        <v>194</v>
      </c>
      <c r="B2831">
        <v>3.0999999999999999E-3</v>
      </c>
      <c r="C2831">
        <v>0</v>
      </c>
      <c r="D2831">
        <v>1.9362903225806462E-3</v>
      </c>
    </row>
    <row r="2832" spans="1:4" x14ac:dyDescent="0.25">
      <c r="A2832" t="s">
        <v>1231</v>
      </c>
      <c r="B2832">
        <v>3.0100000000000001E-3</v>
      </c>
      <c r="C2832">
        <v>0</v>
      </c>
      <c r="D2832">
        <v>6.0656129032258068E-4</v>
      </c>
    </row>
    <row r="2833" spans="1:4" x14ac:dyDescent="0.25">
      <c r="A2833" t="s">
        <v>47</v>
      </c>
      <c r="B2833">
        <v>3.0000000000000001E-3</v>
      </c>
      <c r="C2833">
        <v>0</v>
      </c>
      <c r="D2833">
        <v>1.5427419354838718E-3</v>
      </c>
    </row>
    <row r="2834" spans="1:4" x14ac:dyDescent="0.25">
      <c r="A2834" t="s">
        <v>125</v>
      </c>
      <c r="B2834">
        <v>3.0000000000000001E-3</v>
      </c>
      <c r="C2834">
        <v>0</v>
      </c>
      <c r="D2834">
        <v>1.0112903225806458E-3</v>
      </c>
    </row>
    <row r="2835" spans="1:4" x14ac:dyDescent="0.25">
      <c r="A2835" t="s">
        <v>2784</v>
      </c>
      <c r="B2835">
        <v>3.0000000000000001E-3</v>
      </c>
      <c r="C2835">
        <v>0</v>
      </c>
      <c r="D2835">
        <v>1.1677419354838715E-3</v>
      </c>
    </row>
    <row r="2836" spans="1:4" x14ac:dyDescent="0.25">
      <c r="A2836" t="s">
        <v>717</v>
      </c>
      <c r="B2836">
        <v>3.0000000000000001E-3</v>
      </c>
      <c r="C2836">
        <v>0</v>
      </c>
      <c r="D2836">
        <v>1.7326935483870979E-3</v>
      </c>
    </row>
    <row r="2837" spans="1:4" x14ac:dyDescent="0.25">
      <c r="A2837" t="s">
        <v>1389</v>
      </c>
      <c r="B2837">
        <v>3.0000000000000001E-3</v>
      </c>
      <c r="C2837">
        <v>0</v>
      </c>
      <c r="D2837">
        <v>2.2258064516129045E-3</v>
      </c>
    </row>
    <row r="2838" spans="1:4" x14ac:dyDescent="0.25">
      <c r="A2838" t="s">
        <v>2364</v>
      </c>
      <c r="B2838">
        <v>3.0000000000000001E-3</v>
      </c>
      <c r="C2838">
        <v>0</v>
      </c>
      <c r="D2838">
        <v>1.0996612903225811E-3</v>
      </c>
    </row>
    <row r="2839" spans="1:4" x14ac:dyDescent="0.25">
      <c r="A2839" t="s">
        <v>2809</v>
      </c>
      <c r="B2839">
        <v>3.0000000000000001E-3</v>
      </c>
      <c r="C2839">
        <v>0</v>
      </c>
      <c r="D2839">
        <v>4.2741935483870958E-4</v>
      </c>
    </row>
    <row r="2840" spans="1:4" x14ac:dyDescent="0.25">
      <c r="A2840" t="s">
        <v>2598</v>
      </c>
      <c r="B2840">
        <v>3.0000000000000001E-3</v>
      </c>
      <c r="C2840">
        <v>0</v>
      </c>
      <c r="D2840">
        <v>1.0841612903225812E-3</v>
      </c>
    </row>
    <row r="2841" spans="1:4" x14ac:dyDescent="0.25">
      <c r="A2841" t="s">
        <v>1399</v>
      </c>
      <c r="B2841">
        <v>2.9810000000000001E-3</v>
      </c>
      <c r="C2841">
        <v>0</v>
      </c>
      <c r="D2841">
        <v>9.0989838709677404E-4</v>
      </c>
    </row>
    <row r="2842" spans="1:4" x14ac:dyDescent="0.25">
      <c r="A2842" t="s">
        <v>1450</v>
      </c>
      <c r="B2842">
        <v>2.9529999999999999E-3</v>
      </c>
      <c r="C2842">
        <v>0</v>
      </c>
      <c r="D2842">
        <v>1.2528870967741931E-3</v>
      </c>
    </row>
    <row r="2843" spans="1:4" x14ac:dyDescent="0.25">
      <c r="A2843" t="s">
        <v>2132</v>
      </c>
      <c r="B2843">
        <v>2.8999999999999998E-3</v>
      </c>
      <c r="C2843">
        <v>0</v>
      </c>
      <c r="D2843">
        <v>1.688225806451613E-3</v>
      </c>
    </row>
    <row r="2844" spans="1:4" x14ac:dyDescent="0.25">
      <c r="A2844" t="s">
        <v>569</v>
      </c>
      <c r="B2844">
        <v>2.8540000000000002E-3</v>
      </c>
      <c r="C2844">
        <v>0</v>
      </c>
      <c r="D2844">
        <v>2.0124466129032258E-3</v>
      </c>
    </row>
    <row r="2845" spans="1:4" x14ac:dyDescent="0.25">
      <c r="A2845" t="s">
        <v>1479</v>
      </c>
      <c r="B2845">
        <v>2.8189999999999999E-3</v>
      </c>
      <c r="C2845">
        <v>0</v>
      </c>
      <c r="D2845">
        <v>4.7903225806451616E-4</v>
      </c>
    </row>
    <row r="2846" spans="1:4" x14ac:dyDescent="0.25">
      <c r="A2846" t="s">
        <v>2691</v>
      </c>
      <c r="B2846">
        <v>2.8E-3</v>
      </c>
      <c r="C2846">
        <v>0</v>
      </c>
      <c r="D2846">
        <v>1.141935483870968E-3</v>
      </c>
    </row>
    <row r="2847" spans="1:4" x14ac:dyDescent="0.25">
      <c r="A2847" t="s">
        <v>941</v>
      </c>
      <c r="B2847">
        <v>2.7360000000000002E-3</v>
      </c>
      <c r="C2847">
        <v>0</v>
      </c>
      <c r="D2847">
        <v>1.3828870967741937E-3</v>
      </c>
    </row>
    <row r="2848" spans="1:4" x14ac:dyDescent="0.25">
      <c r="A2848" t="s">
        <v>2868</v>
      </c>
      <c r="B2848">
        <v>2.7299999999999998E-3</v>
      </c>
      <c r="C2848">
        <v>0</v>
      </c>
      <c r="D2848">
        <v>9.0172580645161266E-4</v>
      </c>
    </row>
    <row r="2849" spans="1:4" x14ac:dyDescent="0.25">
      <c r="A2849" t="s">
        <v>883</v>
      </c>
      <c r="B2849">
        <v>2.7000000000000001E-3</v>
      </c>
      <c r="C2849">
        <v>5.9999999999999995E-4</v>
      </c>
      <c r="D2849">
        <v>1.6096774193548392E-3</v>
      </c>
    </row>
    <row r="2850" spans="1:4" x14ac:dyDescent="0.25">
      <c r="A2850" t="s">
        <v>2036</v>
      </c>
      <c r="B2850">
        <v>2.7000000000000001E-3</v>
      </c>
      <c r="C2850">
        <v>0</v>
      </c>
      <c r="D2850">
        <v>9.1548387096774175E-4</v>
      </c>
    </row>
    <row r="2851" spans="1:4" x14ac:dyDescent="0.25">
      <c r="A2851" t="s">
        <v>1385</v>
      </c>
      <c r="B2851">
        <v>2.7000000000000001E-3</v>
      </c>
      <c r="C2851">
        <v>0</v>
      </c>
      <c r="D2851">
        <v>9.0411290322580642E-4</v>
      </c>
    </row>
    <row r="2852" spans="1:4" x14ac:dyDescent="0.25">
      <c r="A2852" t="s">
        <v>483</v>
      </c>
      <c r="B2852">
        <v>2.5999999999999999E-3</v>
      </c>
      <c r="C2852">
        <v>0</v>
      </c>
      <c r="D2852">
        <v>1.3258064516129034E-3</v>
      </c>
    </row>
    <row r="2853" spans="1:4" x14ac:dyDescent="0.25">
      <c r="A2853" t="s">
        <v>1354</v>
      </c>
      <c r="B2853">
        <v>2.5999999999999999E-3</v>
      </c>
      <c r="C2853">
        <v>0</v>
      </c>
      <c r="D2853">
        <v>2.558064516129032E-3</v>
      </c>
    </row>
    <row r="2854" spans="1:4" x14ac:dyDescent="0.25">
      <c r="A2854" t="s">
        <v>2098</v>
      </c>
      <c r="B2854">
        <v>2.5000000000000001E-3</v>
      </c>
      <c r="C2854">
        <v>0</v>
      </c>
      <c r="D2854">
        <v>1.4728629032258061E-3</v>
      </c>
    </row>
    <row r="2855" spans="1:4" x14ac:dyDescent="0.25">
      <c r="A2855" t="s">
        <v>2637</v>
      </c>
      <c r="B2855">
        <v>2.3999999999999998E-3</v>
      </c>
      <c r="C2855">
        <v>2.0000000000000001E-4</v>
      </c>
      <c r="D2855">
        <v>1.4580645161290319E-3</v>
      </c>
    </row>
    <row r="2856" spans="1:4" x14ac:dyDescent="0.25">
      <c r="A2856" t="s">
        <v>2800</v>
      </c>
      <c r="B2856">
        <v>2.3999999999999998E-3</v>
      </c>
      <c r="C2856">
        <v>0</v>
      </c>
      <c r="D2856">
        <v>1.3559145161290323E-4</v>
      </c>
    </row>
    <row r="2857" spans="1:4" x14ac:dyDescent="0.25">
      <c r="A2857" t="s">
        <v>1259</v>
      </c>
      <c r="B2857">
        <v>2.3E-3</v>
      </c>
      <c r="C2857">
        <v>0</v>
      </c>
      <c r="D2857">
        <v>9.4758064516129023E-4</v>
      </c>
    </row>
    <row r="2858" spans="1:4" x14ac:dyDescent="0.25">
      <c r="A2858" t="s">
        <v>2313</v>
      </c>
      <c r="B2858">
        <v>2.2300000000000002E-3</v>
      </c>
      <c r="C2858">
        <v>0</v>
      </c>
      <c r="D2858">
        <v>6.6637096774193531E-4</v>
      </c>
    </row>
    <row r="2859" spans="1:4" x14ac:dyDescent="0.25">
      <c r="A2859" t="s">
        <v>2450</v>
      </c>
      <c r="B2859">
        <v>2.2000000000000001E-3</v>
      </c>
      <c r="C2859">
        <v>1E-4</v>
      </c>
      <c r="D2859">
        <v>1.1157741935483871E-3</v>
      </c>
    </row>
    <row r="2860" spans="1:4" x14ac:dyDescent="0.25">
      <c r="A2860" t="s">
        <v>83</v>
      </c>
      <c r="B2860">
        <v>2.2000000000000001E-3</v>
      </c>
      <c r="C2860">
        <v>0</v>
      </c>
      <c r="D2860">
        <v>5.0322580645161279E-4</v>
      </c>
    </row>
    <row r="2861" spans="1:4" x14ac:dyDescent="0.25">
      <c r="A2861" t="s">
        <v>652</v>
      </c>
      <c r="B2861">
        <v>2.0999999999999999E-3</v>
      </c>
      <c r="C2861">
        <v>0</v>
      </c>
      <c r="D2861">
        <v>7.2822580645161294E-4</v>
      </c>
    </row>
    <row r="2862" spans="1:4" x14ac:dyDescent="0.25">
      <c r="A2862" t="s">
        <v>1664</v>
      </c>
      <c r="B2862">
        <v>2.0999999999999999E-3</v>
      </c>
      <c r="C2862">
        <v>4.0000000000000002E-4</v>
      </c>
      <c r="D2862">
        <v>1.0937258064516128E-3</v>
      </c>
    </row>
    <row r="2863" spans="1:4" x14ac:dyDescent="0.25">
      <c r="A2863" t="s">
        <v>360</v>
      </c>
      <c r="B2863">
        <v>2.0999999999999999E-3</v>
      </c>
      <c r="C2863">
        <v>0</v>
      </c>
      <c r="D2863">
        <v>7.754354838709677E-4</v>
      </c>
    </row>
    <row r="2864" spans="1:4" x14ac:dyDescent="0.25">
      <c r="A2864" t="s">
        <v>2914</v>
      </c>
      <c r="B2864">
        <v>2E-3</v>
      </c>
      <c r="C2864">
        <v>0</v>
      </c>
      <c r="D2864">
        <v>1.9677419354838725E-3</v>
      </c>
    </row>
    <row r="2865" spans="1:4" x14ac:dyDescent="0.25">
      <c r="A2865" t="s">
        <v>1460</v>
      </c>
      <c r="B2865">
        <v>1.9870000000000001E-3</v>
      </c>
      <c r="C2865">
        <v>0</v>
      </c>
      <c r="D2865">
        <v>4.120322580645161E-4</v>
      </c>
    </row>
    <row r="2866" spans="1:4" x14ac:dyDescent="0.25">
      <c r="A2866" t="s">
        <v>1476</v>
      </c>
      <c r="B2866">
        <v>1.9147000000000001E-3</v>
      </c>
      <c r="C2866">
        <v>0</v>
      </c>
      <c r="D2866">
        <v>1.6357459677419361E-3</v>
      </c>
    </row>
    <row r="2867" spans="1:4" x14ac:dyDescent="0.25">
      <c r="A2867" t="s">
        <v>2672</v>
      </c>
      <c r="B2867">
        <v>1.8E-3</v>
      </c>
      <c r="C2867">
        <v>0</v>
      </c>
      <c r="D2867">
        <v>1.2290322580645161E-3</v>
      </c>
    </row>
    <row r="2868" spans="1:4" x14ac:dyDescent="0.25">
      <c r="A2868" t="s">
        <v>1275</v>
      </c>
      <c r="B2868">
        <v>1.8E-3</v>
      </c>
      <c r="C2868">
        <v>7.1400000000000001E-4</v>
      </c>
      <c r="D2868">
        <v>1.2642096774193544E-3</v>
      </c>
    </row>
    <row r="2869" spans="1:4" x14ac:dyDescent="0.25">
      <c r="A2869" t="s">
        <v>2091</v>
      </c>
      <c r="B2869">
        <v>1.7600000000000001E-3</v>
      </c>
      <c r="C2869">
        <v>0</v>
      </c>
      <c r="D2869">
        <v>2.731451612903226E-4</v>
      </c>
    </row>
    <row r="2870" spans="1:4" x14ac:dyDescent="0.25">
      <c r="A2870" t="s">
        <v>1410</v>
      </c>
      <c r="B2870">
        <v>1.75E-3</v>
      </c>
      <c r="C2870">
        <v>0</v>
      </c>
      <c r="D2870">
        <v>7.2818548387096782E-4</v>
      </c>
    </row>
    <row r="2871" spans="1:4" x14ac:dyDescent="0.25">
      <c r="A2871" t="s">
        <v>2662</v>
      </c>
      <c r="B2871">
        <v>1.6999999999999999E-3</v>
      </c>
      <c r="C2871">
        <v>0</v>
      </c>
      <c r="D2871">
        <v>9.2258064516129038E-4</v>
      </c>
    </row>
    <row r="2872" spans="1:4" x14ac:dyDescent="0.25">
      <c r="A2872" t="s">
        <v>1957</v>
      </c>
      <c r="B2872">
        <v>1.665E-3</v>
      </c>
      <c r="C2872">
        <v>0</v>
      </c>
      <c r="D2872">
        <v>1.793064516129032E-4</v>
      </c>
    </row>
    <row r="2873" spans="1:4" x14ac:dyDescent="0.25">
      <c r="A2873" t="s">
        <v>1</v>
      </c>
      <c r="B2873">
        <v>1.6000000000000001E-3</v>
      </c>
      <c r="C2873">
        <v>0</v>
      </c>
      <c r="D2873">
        <v>9.1451612903225784E-4</v>
      </c>
    </row>
    <row r="2874" spans="1:4" x14ac:dyDescent="0.25">
      <c r="A2874" t="s">
        <v>1692</v>
      </c>
      <c r="B2874">
        <v>1.5330000000000001E-3</v>
      </c>
      <c r="C2874">
        <v>0</v>
      </c>
      <c r="D2874">
        <v>5.7629032258064517E-4</v>
      </c>
    </row>
    <row r="2875" spans="1:4" x14ac:dyDescent="0.25">
      <c r="A2875" t="s">
        <v>2179</v>
      </c>
      <c r="B2875">
        <v>1.5299999999999999E-3</v>
      </c>
      <c r="C2875">
        <v>3.1100000000000002E-4</v>
      </c>
      <c r="D2875">
        <v>4.8501290322580648E-4</v>
      </c>
    </row>
    <row r="2876" spans="1:4" x14ac:dyDescent="0.25">
      <c r="A2876" t="s">
        <v>2474</v>
      </c>
      <c r="B2876">
        <v>1.5E-3</v>
      </c>
      <c r="C2876">
        <v>0</v>
      </c>
      <c r="D2876">
        <v>5.0994354838709681E-4</v>
      </c>
    </row>
    <row r="2877" spans="1:4" x14ac:dyDescent="0.25">
      <c r="A2877" t="s">
        <v>1085</v>
      </c>
      <c r="B2877">
        <v>1.482E-3</v>
      </c>
      <c r="C2877">
        <v>0</v>
      </c>
      <c r="D2877">
        <v>5.70931451612903E-4</v>
      </c>
    </row>
    <row r="2878" spans="1:4" x14ac:dyDescent="0.25">
      <c r="A2878" t="s">
        <v>13</v>
      </c>
      <c r="B2878">
        <v>1.408E-3</v>
      </c>
      <c r="C2878">
        <v>0</v>
      </c>
      <c r="D2878">
        <v>4.4789516129032291E-4</v>
      </c>
    </row>
    <row r="2879" spans="1:4" x14ac:dyDescent="0.25">
      <c r="A2879" t="s">
        <v>1390</v>
      </c>
      <c r="B2879">
        <v>1.4E-3</v>
      </c>
      <c r="C2879">
        <v>0</v>
      </c>
      <c r="D2879">
        <v>8.7016129032258015E-4</v>
      </c>
    </row>
    <row r="2880" spans="1:4" x14ac:dyDescent="0.25">
      <c r="A2880" t="s">
        <v>2269</v>
      </c>
      <c r="B2880">
        <v>1.4E-3</v>
      </c>
      <c r="C2880">
        <v>2.0000000000000001E-4</v>
      </c>
      <c r="D2880">
        <v>6.9354838709677379E-4</v>
      </c>
    </row>
    <row r="2881" spans="1:4" x14ac:dyDescent="0.25">
      <c r="A2881" t="s">
        <v>2893</v>
      </c>
      <c r="B2881">
        <v>1.3290000000000001E-3</v>
      </c>
      <c r="C2881">
        <v>0</v>
      </c>
      <c r="D2881">
        <v>5.3513709677419346E-4</v>
      </c>
    </row>
    <row r="2882" spans="1:4" x14ac:dyDescent="0.25">
      <c r="A2882" t="s">
        <v>907</v>
      </c>
      <c r="B2882">
        <v>1.3029999999999999E-3</v>
      </c>
      <c r="C2882">
        <v>0</v>
      </c>
      <c r="D2882">
        <v>6.0038709677419345E-4</v>
      </c>
    </row>
    <row r="2883" spans="1:4" x14ac:dyDescent="0.25">
      <c r="A2883" t="s">
        <v>1980</v>
      </c>
      <c r="B2883">
        <v>1.2999999999999999E-3</v>
      </c>
      <c r="C2883">
        <v>0</v>
      </c>
      <c r="D2883">
        <v>3.8137096774193554E-4</v>
      </c>
    </row>
    <row r="2884" spans="1:4" x14ac:dyDescent="0.25">
      <c r="A2884" t="s">
        <v>1651</v>
      </c>
      <c r="B2884">
        <v>1.2999999999999999E-3</v>
      </c>
      <c r="C2884">
        <v>4.0000000000000002E-4</v>
      </c>
      <c r="D2884">
        <v>8.3225806451612898E-4</v>
      </c>
    </row>
    <row r="2885" spans="1:4" x14ac:dyDescent="0.25">
      <c r="A2885" t="s">
        <v>784</v>
      </c>
      <c r="B2885">
        <v>1.2999999999999999E-3</v>
      </c>
      <c r="C2885">
        <v>0</v>
      </c>
      <c r="D2885">
        <v>3.5209677419354828E-4</v>
      </c>
    </row>
    <row r="2886" spans="1:4" x14ac:dyDescent="0.25">
      <c r="A2886" t="s">
        <v>2352</v>
      </c>
      <c r="B2886">
        <v>1.1999999999999999E-3</v>
      </c>
      <c r="C2886">
        <v>0</v>
      </c>
      <c r="D2886">
        <v>5.3967741935483869E-5</v>
      </c>
    </row>
    <row r="2887" spans="1:4" x14ac:dyDescent="0.25">
      <c r="A2887" t="s">
        <v>572</v>
      </c>
      <c r="B2887">
        <v>1.15E-3</v>
      </c>
      <c r="C2887">
        <v>0</v>
      </c>
      <c r="D2887">
        <v>4.2056451612903242E-4</v>
      </c>
    </row>
    <row r="2888" spans="1:4" x14ac:dyDescent="0.25">
      <c r="A2888" t="s">
        <v>1607</v>
      </c>
      <c r="B2888">
        <v>1.1000000000000001E-3</v>
      </c>
      <c r="C2888">
        <v>0</v>
      </c>
      <c r="D2888">
        <v>1.6048387096774194E-4</v>
      </c>
    </row>
    <row r="2889" spans="1:4" x14ac:dyDescent="0.25">
      <c r="A2889" t="s">
        <v>2137</v>
      </c>
      <c r="B2889">
        <v>1.1000000000000001E-3</v>
      </c>
      <c r="C2889">
        <v>0</v>
      </c>
      <c r="D2889">
        <v>8.1738709677419373E-4</v>
      </c>
    </row>
    <row r="2890" spans="1:4" x14ac:dyDescent="0.25">
      <c r="A2890" t="s">
        <v>2897</v>
      </c>
      <c r="B2890">
        <v>1.096E-3</v>
      </c>
      <c r="C2890">
        <v>0</v>
      </c>
      <c r="D2890">
        <v>3.9762096774193553E-4</v>
      </c>
    </row>
    <row r="2891" spans="1:4" x14ac:dyDescent="0.25">
      <c r="A2891" t="s">
        <v>2416</v>
      </c>
      <c r="B2891">
        <v>1E-3</v>
      </c>
      <c r="C2891">
        <v>0</v>
      </c>
      <c r="D2891">
        <v>1.8641935483870969E-4</v>
      </c>
    </row>
    <row r="2892" spans="1:4" x14ac:dyDescent="0.25">
      <c r="A2892" t="s">
        <v>1346</v>
      </c>
      <c r="B2892">
        <v>1E-3</v>
      </c>
      <c r="C2892">
        <v>0</v>
      </c>
      <c r="D2892">
        <v>9.8387096774193625E-4</v>
      </c>
    </row>
    <row r="2893" spans="1:4" x14ac:dyDescent="0.25">
      <c r="A2893" t="s">
        <v>81</v>
      </c>
      <c r="B2893">
        <v>1E-3</v>
      </c>
      <c r="C2893">
        <v>0</v>
      </c>
      <c r="D2893">
        <v>9.6774193548387173E-4</v>
      </c>
    </row>
    <row r="2894" spans="1:4" x14ac:dyDescent="0.25">
      <c r="A2894" t="s">
        <v>2553</v>
      </c>
      <c r="B2894">
        <v>1E-3</v>
      </c>
      <c r="C2894">
        <v>0</v>
      </c>
      <c r="D2894">
        <v>3.8693548387096785E-4</v>
      </c>
    </row>
    <row r="2895" spans="1:4" x14ac:dyDescent="0.25">
      <c r="A2895" t="s">
        <v>718</v>
      </c>
      <c r="B2895">
        <v>1E-3</v>
      </c>
      <c r="C2895">
        <v>0</v>
      </c>
      <c r="D2895">
        <v>6.5524193548387112E-4</v>
      </c>
    </row>
    <row r="2896" spans="1:4" x14ac:dyDescent="0.25">
      <c r="A2896" t="s">
        <v>2050</v>
      </c>
      <c r="B2896">
        <v>9.3000000000000005E-4</v>
      </c>
      <c r="C2896">
        <v>0</v>
      </c>
      <c r="D2896">
        <v>1.1821774193548386E-4</v>
      </c>
    </row>
    <row r="2897" spans="1:4" x14ac:dyDescent="0.25">
      <c r="A2897" t="s">
        <v>2337</v>
      </c>
      <c r="B2897">
        <v>8.9999999999999998E-4</v>
      </c>
      <c r="C2897">
        <v>1.9000000000000001E-4</v>
      </c>
      <c r="D2897">
        <v>4.4677419354838721E-4</v>
      </c>
    </row>
    <row r="2898" spans="1:4" x14ac:dyDescent="0.25">
      <c r="A2898" t="s">
        <v>78</v>
      </c>
      <c r="B2898">
        <v>8.61E-4</v>
      </c>
      <c r="C2898">
        <v>9.6000000000000002E-5</v>
      </c>
      <c r="D2898">
        <v>4.9041935483870971E-4</v>
      </c>
    </row>
    <row r="2899" spans="1:4" x14ac:dyDescent="0.25">
      <c r="A2899" t="s">
        <v>2441</v>
      </c>
      <c r="B2899">
        <v>8.3299999999999997E-4</v>
      </c>
      <c r="C2899">
        <v>2.3599999999999999E-4</v>
      </c>
      <c r="D2899">
        <v>4.5854838709677415E-4</v>
      </c>
    </row>
    <row r="2900" spans="1:4" x14ac:dyDescent="0.25">
      <c r="A2900" t="s">
        <v>1436</v>
      </c>
      <c r="B2900">
        <v>8.0000000000000004E-4</v>
      </c>
      <c r="C2900">
        <v>0</v>
      </c>
      <c r="D2900">
        <v>4.830645161290321E-4</v>
      </c>
    </row>
    <row r="2901" spans="1:4" x14ac:dyDescent="0.25">
      <c r="A2901" t="s">
        <v>609</v>
      </c>
      <c r="B2901">
        <v>8.0000000000000004E-4</v>
      </c>
      <c r="C2901">
        <v>0</v>
      </c>
      <c r="D2901">
        <v>6.0403225806451638E-4</v>
      </c>
    </row>
    <row r="2902" spans="1:4" x14ac:dyDescent="0.25">
      <c r="A2902" t="s">
        <v>2062</v>
      </c>
      <c r="B2902">
        <v>5.9999999999999995E-4</v>
      </c>
      <c r="C2902">
        <v>1E-4</v>
      </c>
      <c r="D2902">
        <v>2.8274193548387101E-4</v>
      </c>
    </row>
    <row r="2903" spans="1:4" x14ac:dyDescent="0.25">
      <c r="A2903" t="s">
        <v>946</v>
      </c>
      <c r="B2903">
        <v>5.5199999999999997E-4</v>
      </c>
      <c r="C2903">
        <v>0</v>
      </c>
      <c r="D2903">
        <v>1.8295967741935483E-4</v>
      </c>
    </row>
    <row r="2904" spans="1:4" x14ac:dyDescent="0.25">
      <c r="A2904" t="s">
        <v>437</v>
      </c>
      <c r="B2904">
        <v>5.4000000000000001E-4</v>
      </c>
      <c r="C2904">
        <v>0</v>
      </c>
      <c r="D2904">
        <v>3.0183870967741939E-4</v>
      </c>
    </row>
    <row r="2905" spans="1:4" x14ac:dyDescent="0.25">
      <c r="A2905" t="s">
        <v>2093</v>
      </c>
      <c r="B2905">
        <v>4.0000000000000002E-4</v>
      </c>
      <c r="C2905">
        <v>0</v>
      </c>
      <c r="D2905">
        <v>2.1725806451612919E-4</v>
      </c>
    </row>
    <row r="2906" spans="1:4" x14ac:dyDescent="0.25">
      <c r="A2906" t="s">
        <v>892</v>
      </c>
      <c r="B2906">
        <v>3.3E-4</v>
      </c>
      <c r="C2906">
        <v>4.0000000000000003E-5</v>
      </c>
      <c r="D2906">
        <v>1.4483870967741929E-4</v>
      </c>
    </row>
    <row r="2907" spans="1:4" x14ac:dyDescent="0.25">
      <c r="A2907" t="s">
        <v>2559</v>
      </c>
      <c r="B2907">
        <v>2.8499999999999999E-4</v>
      </c>
      <c r="C2907">
        <v>0</v>
      </c>
      <c r="D2907">
        <v>1.8615322580645163E-4</v>
      </c>
    </row>
    <row r="2908" spans="1:4" x14ac:dyDescent="0.25">
      <c r="A2908" t="s">
        <v>682</v>
      </c>
      <c r="B2908">
        <v>2.0000000000000001E-4</v>
      </c>
      <c r="C2908">
        <v>0</v>
      </c>
      <c r="D2908">
        <v>3.5209677419354865E-5</v>
      </c>
    </row>
    <row r="2909" spans="1:4" x14ac:dyDescent="0.25">
      <c r="A2909" t="s">
        <v>2206</v>
      </c>
      <c r="B2909">
        <v>2.0000000000000001E-4</v>
      </c>
      <c r="C2909">
        <v>0</v>
      </c>
      <c r="D2909">
        <v>1.9596774193548396E-4</v>
      </c>
    </row>
    <row r="2910" spans="1:4" x14ac:dyDescent="0.25">
      <c r="A2910" t="s">
        <v>696</v>
      </c>
      <c r="B2910">
        <v>2.0000000000000001E-4</v>
      </c>
      <c r="C2910">
        <v>0</v>
      </c>
      <c r="D2910">
        <v>9.099112903225806E-5</v>
      </c>
    </row>
    <row r="2911" spans="1:4" x14ac:dyDescent="0.25">
      <c r="A2911" t="s">
        <v>793</v>
      </c>
      <c r="B2911">
        <v>1.9100000000000001E-4</v>
      </c>
      <c r="C2911">
        <v>0</v>
      </c>
      <c r="D2911">
        <v>1.0360483870967747E-4</v>
      </c>
    </row>
    <row r="2912" spans="1:4" x14ac:dyDescent="0.25">
      <c r="A2912" t="s">
        <v>1062</v>
      </c>
      <c r="B2912">
        <v>1E-4</v>
      </c>
      <c r="C2912">
        <v>0</v>
      </c>
      <c r="D2912">
        <v>8.8709677419354858E-5</v>
      </c>
    </row>
    <row r="2913" spans="1:4" x14ac:dyDescent="0.25">
      <c r="A2913" t="s">
        <v>30</v>
      </c>
      <c r="B2913">
        <v>1E-4</v>
      </c>
      <c r="C2913">
        <v>1E-4</v>
      </c>
      <c r="D2913">
        <v>1.0000000000000006E-4</v>
      </c>
    </row>
    <row r="2914" spans="1:4" x14ac:dyDescent="0.25">
      <c r="A2914" t="s">
        <v>2005</v>
      </c>
      <c r="B2914">
        <v>1E-4</v>
      </c>
      <c r="C2914">
        <v>0</v>
      </c>
      <c r="D2914">
        <v>9.0322580645161313E-5</v>
      </c>
    </row>
    <row r="2915" spans="1:4" x14ac:dyDescent="0.25">
      <c r="A2915" t="s">
        <v>2044</v>
      </c>
      <c r="B2915">
        <v>1E-4</v>
      </c>
      <c r="C2915">
        <v>0</v>
      </c>
      <c r="D2915">
        <v>9.0322580645161313E-5</v>
      </c>
    </row>
    <row r="2916" spans="1:4" x14ac:dyDescent="0.25">
      <c r="A2916" t="s">
        <v>799</v>
      </c>
      <c r="B2916">
        <v>1E-4</v>
      </c>
      <c r="C2916">
        <v>0</v>
      </c>
      <c r="D2916">
        <v>9.838709677419359E-5</v>
      </c>
    </row>
    <row r="2917" spans="1:4" x14ac:dyDescent="0.25">
      <c r="A2917" t="s">
        <v>1662</v>
      </c>
      <c r="B2917">
        <v>0</v>
      </c>
      <c r="C2917">
        <v>0</v>
      </c>
      <c r="D2917">
        <v>0</v>
      </c>
    </row>
    <row r="2918" spans="1:4" x14ac:dyDescent="0.25">
      <c r="A2918" t="s">
        <v>2622</v>
      </c>
      <c r="B2918">
        <v>0</v>
      </c>
      <c r="C2918">
        <v>0</v>
      </c>
      <c r="D2918">
        <v>0</v>
      </c>
    </row>
    <row r="2919" spans="1:4" x14ac:dyDescent="0.25">
      <c r="A2919" t="s">
        <v>2506</v>
      </c>
    </row>
  </sheetData>
  <autoFilter ref="A1:D2919" xr:uid="{00000000-0009-0000-0000-000001000000}">
    <sortState xmlns:xlrd2="http://schemas.microsoft.com/office/spreadsheetml/2017/richdata2" ref="A2:D2919">
      <sortCondition descending="1" ref="B1:B2919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2919"/>
  <sheetViews>
    <sheetView workbookViewId="0">
      <pane ySplit="1" topLeftCell="A2" activePane="bottomLeft" state="frozen"/>
      <selection pane="bottomLeft" activeCell="B18" sqref="B18"/>
    </sheetView>
  </sheetViews>
  <sheetFormatPr defaultRowHeight="15" x14ac:dyDescent="0.25"/>
  <cols>
    <col min="1" max="1" width="17" customWidth="1"/>
    <col min="2" max="2" width="12.85546875" bestFit="1" customWidth="1"/>
    <col min="3" max="3" width="76.7109375" bestFit="1" customWidth="1"/>
    <col min="4" max="4" width="9.7109375" bestFit="1" customWidth="1"/>
  </cols>
  <sheetData>
    <row r="1" spans="1:4" x14ac:dyDescent="0.25">
      <c r="A1" t="s">
        <v>8131</v>
      </c>
      <c r="B1" t="s">
        <v>8132</v>
      </c>
      <c r="C1" t="s">
        <v>8133</v>
      </c>
      <c r="D1" t="s">
        <v>8135</v>
      </c>
    </row>
    <row r="2" spans="1:4" x14ac:dyDescent="0.25">
      <c r="A2" t="s">
        <v>2074</v>
      </c>
      <c r="B2">
        <v>1796600</v>
      </c>
      <c r="C2" t="str">
        <f t="shared" ref="C2:C65" si="0">VLOOKUP(A2,PERMITTEES,2,FALSE)</f>
        <v>VOPAK TERMINAL DEER PARK INC</v>
      </c>
      <c r="D2" t="b">
        <v>1</v>
      </c>
    </row>
    <row r="3" spans="1:4" x14ac:dyDescent="0.25">
      <c r="A3" t="s">
        <v>72</v>
      </c>
      <c r="B3">
        <v>1506302</v>
      </c>
      <c r="C3" t="str">
        <f t="shared" si="0"/>
        <v>US DEPT OF THE ARMY</v>
      </c>
      <c r="D3" t="b">
        <v>1</v>
      </c>
    </row>
    <row r="4" spans="1:4" x14ac:dyDescent="0.25">
      <c r="A4" t="s">
        <v>2072</v>
      </c>
      <c r="B4">
        <v>1423928</v>
      </c>
      <c r="C4" t="str">
        <f t="shared" si="0"/>
        <v>VOPAK TERMINAL DEER PARK INC</v>
      </c>
      <c r="D4" t="b">
        <v>1</v>
      </c>
    </row>
    <row r="5" spans="1:4" x14ac:dyDescent="0.25">
      <c r="A5" t="s">
        <v>2073</v>
      </c>
      <c r="B5">
        <v>1341810</v>
      </c>
      <c r="C5" t="str">
        <f t="shared" si="0"/>
        <v>VOPAK TERMINAL DEER PARK INC</v>
      </c>
      <c r="D5" t="b">
        <v>1</v>
      </c>
    </row>
    <row r="6" spans="1:4" x14ac:dyDescent="0.25">
      <c r="A6" t="s">
        <v>1028</v>
      </c>
      <c r="B6">
        <v>0.283835</v>
      </c>
      <c r="C6" t="str">
        <f t="shared" si="0"/>
        <v>CITY OF LA VILLA</v>
      </c>
      <c r="D6" t="b">
        <v>0</v>
      </c>
    </row>
    <row r="7" spans="1:4" x14ac:dyDescent="0.25">
      <c r="A7" t="s">
        <v>1608</v>
      </c>
      <c r="B7">
        <v>134669</v>
      </c>
      <c r="C7" t="str">
        <f t="shared" si="0"/>
        <v>CALUMET DICKINSON REFINING LLC</v>
      </c>
      <c r="D7" t="b">
        <v>0</v>
      </c>
    </row>
    <row r="8" spans="1:4" x14ac:dyDescent="0.25">
      <c r="A8" t="s">
        <v>1521</v>
      </c>
      <c r="B8">
        <v>0.04</v>
      </c>
      <c r="C8" t="str">
        <f t="shared" si="0"/>
        <v>JUDSON ISD</v>
      </c>
      <c r="D8" t="b">
        <v>0</v>
      </c>
    </row>
    <row r="9" spans="1:4" x14ac:dyDescent="0.25">
      <c r="A9" t="s">
        <v>355</v>
      </c>
      <c r="B9">
        <v>3168</v>
      </c>
      <c r="C9" t="str">
        <f t="shared" si="0"/>
        <v>COMANCHE PEAK POWER CO LLC</v>
      </c>
      <c r="D9" t="b">
        <v>0</v>
      </c>
    </row>
    <row r="10" spans="1:4" x14ac:dyDescent="0.25">
      <c r="A10" t="s">
        <v>592</v>
      </c>
      <c r="B10">
        <v>2414.3000000000002</v>
      </c>
      <c r="C10" t="str">
        <f t="shared" si="0"/>
        <v>LUMINANT GENERATION CO LLC</v>
      </c>
      <c r="D10" t="b">
        <v>0</v>
      </c>
    </row>
    <row r="11" spans="1:4" x14ac:dyDescent="0.25">
      <c r="A11" t="s">
        <v>1790</v>
      </c>
      <c r="B11">
        <v>2009</v>
      </c>
      <c r="C11" t="str">
        <f t="shared" si="0"/>
        <v>NRG TEXAS POWER LLC</v>
      </c>
      <c r="D11" t="b">
        <v>0</v>
      </c>
    </row>
    <row r="12" spans="1:4" x14ac:dyDescent="0.25">
      <c r="A12" t="s">
        <v>586</v>
      </c>
      <c r="B12">
        <v>1628.1289999999999</v>
      </c>
      <c r="C12" t="str">
        <f t="shared" si="0"/>
        <v>LUMINANT GENERATION CO LLC</v>
      </c>
      <c r="D12" t="b">
        <v>0</v>
      </c>
    </row>
    <row r="13" spans="1:4" x14ac:dyDescent="0.25">
      <c r="A13" t="s">
        <v>1915</v>
      </c>
      <c r="B13">
        <v>1.5609999999999999</v>
      </c>
      <c r="C13" t="str">
        <f t="shared" si="0"/>
        <v>CITY OF JACINTO CITY</v>
      </c>
      <c r="D13" t="b">
        <v>0</v>
      </c>
    </row>
    <row r="14" spans="1:4" x14ac:dyDescent="0.25">
      <c r="A14" t="s">
        <v>339</v>
      </c>
      <c r="B14">
        <v>1542.24</v>
      </c>
      <c r="C14" t="str">
        <f t="shared" si="0"/>
        <v>OAK GROVE MANAGEMENT CO LLC</v>
      </c>
      <c r="D14" t="b">
        <v>0</v>
      </c>
    </row>
    <row r="15" spans="1:4" x14ac:dyDescent="0.25">
      <c r="A15" t="s">
        <v>1496</v>
      </c>
      <c r="B15">
        <v>1302</v>
      </c>
      <c r="C15" t="str">
        <f t="shared" si="0"/>
        <v>CITY PUBLIC SERVICE OF SAN ANTONIO</v>
      </c>
      <c r="D15" t="b">
        <v>0</v>
      </c>
    </row>
    <row r="16" spans="1:4" x14ac:dyDescent="0.25">
      <c r="A16" t="s">
        <v>915</v>
      </c>
      <c r="B16">
        <v>1268.79</v>
      </c>
      <c r="C16" t="str">
        <f t="shared" si="0"/>
        <v>ENTERGY TEXAS INC</v>
      </c>
      <c r="D16" t="b">
        <v>0</v>
      </c>
    </row>
    <row r="17" spans="1:4" x14ac:dyDescent="0.25">
      <c r="A17" t="s">
        <v>1494</v>
      </c>
      <c r="B17">
        <v>1267</v>
      </c>
      <c r="C17" t="str">
        <f t="shared" si="0"/>
        <v>CITY PUBLIC SERVICE OF SAN ANTONIO</v>
      </c>
      <c r="D17" t="b">
        <v>0</v>
      </c>
    </row>
    <row r="18" spans="1:4" x14ac:dyDescent="0.25">
      <c r="A18" t="s">
        <v>519</v>
      </c>
      <c r="B18">
        <v>1157</v>
      </c>
      <c r="C18" t="str">
        <f t="shared" si="0"/>
        <v>LOWER COLORADO RIVER AUTHORITY</v>
      </c>
      <c r="D18" t="b">
        <v>0</v>
      </c>
    </row>
    <row r="19" spans="1:4" x14ac:dyDescent="0.25">
      <c r="A19" t="s">
        <v>1269</v>
      </c>
      <c r="B19">
        <v>1123</v>
      </c>
      <c r="C19" t="str">
        <f t="shared" si="0"/>
        <v>SOUTHWESTERN ELECTRIC POWER CO</v>
      </c>
      <c r="D19" t="b">
        <v>0</v>
      </c>
    </row>
    <row r="20" spans="1:4" x14ac:dyDescent="0.25">
      <c r="A20" t="s">
        <v>1793</v>
      </c>
      <c r="B20">
        <v>1026.325</v>
      </c>
      <c r="C20" t="str">
        <f t="shared" si="0"/>
        <v>NRG TEXAS POWER LLC</v>
      </c>
      <c r="D20" t="b">
        <v>0</v>
      </c>
    </row>
    <row r="21" spans="1:4" x14ac:dyDescent="0.25">
      <c r="A21" t="s">
        <v>456</v>
      </c>
      <c r="B21">
        <v>964</v>
      </c>
      <c r="C21" t="str">
        <f t="shared" si="0"/>
        <v>LCRA</v>
      </c>
      <c r="D21" t="b">
        <v>0</v>
      </c>
    </row>
    <row r="22" spans="1:4" x14ac:dyDescent="0.25">
      <c r="A22" t="s">
        <v>1498</v>
      </c>
      <c r="B22">
        <v>949</v>
      </c>
      <c r="C22" t="str">
        <f t="shared" si="0"/>
        <v>CITY PUBLIC SERVICE OF SAN ANTONIO</v>
      </c>
      <c r="D22" t="b">
        <v>0</v>
      </c>
    </row>
    <row r="23" spans="1:4" x14ac:dyDescent="0.25">
      <c r="A23" t="s">
        <v>2873</v>
      </c>
      <c r="B23">
        <v>787.08399999999995</v>
      </c>
      <c r="C23" t="str">
        <f t="shared" si="0"/>
        <v>HANDLEY POWER LLC</v>
      </c>
      <c r="D23" t="b">
        <v>0</v>
      </c>
    </row>
    <row r="24" spans="1:4" x14ac:dyDescent="0.25">
      <c r="A24" t="s">
        <v>2722</v>
      </c>
      <c r="B24">
        <v>573</v>
      </c>
      <c r="C24" t="str">
        <f t="shared" si="0"/>
        <v>BIG BROWN POWER CO LLC AND LUMINANT GENERATION CO LLC</v>
      </c>
      <c r="D24" t="b">
        <v>0</v>
      </c>
    </row>
    <row r="25" spans="1:4" x14ac:dyDescent="0.25">
      <c r="A25" t="s">
        <v>589</v>
      </c>
      <c r="B25">
        <v>560.10199999999998</v>
      </c>
      <c r="C25" t="str">
        <f t="shared" si="0"/>
        <v>LUMINANT GENERATION CO LLC</v>
      </c>
      <c r="D25" t="b">
        <v>0</v>
      </c>
    </row>
    <row r="26" spans="1:4" x14ac:dyDescent="0.25">
      <c r="A26" t="s">
        <v>620</v>
      </c>
      <c r="B26">
        <v>555.09</v>
      </c>
      <c r="C26" t="str">
        <f t="shared" si="0"/>
        <v>COLETO CREEK POWER LP</v>
      </c>
      <c r="D26" t="b">
        <v>0</v>
      </c>
    </row>
    <row r="27" spans="1:4" x14ac:dyDescent="0.25">
      <c r="A27" t="s">
        <v>1272</v>
      </c>
      <c r="B27">
        <v>544.32000000000005</v>
      </c>
      <c r="C27" t="str">
        <f t="shared" si="0"/>
        <v>SOUTHWESTERN ELECTRIC POWER CO</v>
      </c>
      <c r="D27" t="b">
        <v>0</v>
      </c>
    </row>
    <row r="28" spans="1:4" x14ac:dyDescent="0.25">
      <c r="A28" t="s">
        <v>575</v>
      </c>
      <c r="B28">
        <v>517.70000000000005</v>
      </c>
      <c r="C28" t="str">
        <f t="shared" si="0"/>
        <v>SOUTHWESTERN ELECTRIC POWER COMPANY</v>
      </c>
      <c r="D28" t="b">
        <v>0</v>
      </c>
    </row>
    <row r="29" spans="1:4" x14ac:dyDescent="0.25">
      <c r="A29" t="s">
        <v>922</v>
      </c>
      <c r="B29">
        <v>515.52</v>
      </c>
      <c r="C29" t="str">
        <f t="shared" si="0"/>
        <v>ENTERGY TEXAS INC</v>
      </c>
      <c r="D29" t="b">
        <v>0</v>
      </c>
    </row>
    <row r="30" spans="1:4" x14ac:dyDescent="0.25">
      <c r="A30" t="s">
        <v>1294</v>
      </c>
      <c r="B30">
        <v>510</v>
      </c>
      <c r="C30" t="e">
        <f t="shared" si="0"/>
        <v>#N/A</v>
      </c>
      <c r="D30" t="b">
        <v>0</v>
      </c>
    </row>
    <row r="31" spans="1:4" x14ac:dyDescent="0.25">
      <c r="A31" t="s">
        <v>537</v>
      </c>
      <c r="B31">
        <v>501.07</v>
      </c>
      <c r="C31" t="str">
        <f t="shared" si="0"/>
        <v>CITY OF AUSTIN</v>
      </c>
      <c r="D31" t="b">
        <v>0</v>
      </c>
    </row>
    <row r="32" spans="1:4" x14ac:dyDescent="0.25">
      <c r="A32" t="s">
        <v>219</v>
      </c>
      <c r="B32">
        <v>496.59</v>
      </c>
      <c r="C32" t="str">
        <f t="shared" si="0"/>
        <v>TEXAS MUNICIPAL POWER AGENCY</v>
      </c>
      <c r="D32" t="b">
        <v>0</v>
      </c>
    </row>
    <row r="33" spans="1:4" x14ac:dyDescent="0.25">
      <c r="A33" t="s">
        <v>1067</v>
      </c>
      <c r="B33">
        <v>485.7</v>
      </c>
      <c r="C33" t="str">
        <f t="shared" si="0"/>
        <v>BARNEY DAVIS LLC</v>
      </c>
      <c r="D33" t="b">
        <v>0</v>
      </c>
    </row>
    <row r="34" spans="1:4" x14ac:dyDescent="0.25">
      <c r="A34" t="s">
        <v>2666</v>
      </c>
      <c r="B34">
        <v>455.7</v>
      </c>
      <c r="C34" t="str">
        <f t="shared" si="0"/>
        <v>MOUNTAIN CREEK POWER LLC</v>
      </c>
      <c r="D34" t="b">
        <v>0</v>
      </c>
    </row>
    <row r="35" spans="1:4" x14ac:dyDescent="0.25">
      <c r="A35" t="s">
        <v>1660</v>
      </c>
      <c r="B35">
        <v>438</v>
      </c>
      <c r="C35" t="str">
        <f t="shared" si="0"/>
        <v>THE DOW CHEMICAL CO</v>
      </c>
      <c r="D35" t="b">
        <v>0</v>
      </c>
    </row>
    <row r="36" spans="1:4" x14ac:dyDescent="0.25">
      <c r="A36" t="s">
        <v>587</v>
      </c>
      <c r="B36">
        <v>367</v>
      </c>
      <c r="C36" t="str">
        <f t="shared" si="0"/>
        <v>LUMINANT GENERATION CO LLC</v>
      </c>
      <c r="D36" t="b">
        <v>0</v>
      </c>
    </row>
    <row r="37" spans="1:4" x14ac:dyDescent="0.25">
      <c r="A37" t="s">
        <v>590</v>
      </c>
      <c r="B37">
        <v>359.37299999999999</v>
      </c>
      <c r="C37" t="str">
        <f t="shared" si="0"/>
        <v>LUMINANT GENERATION CO LLC</v>
      </c>
      <c r="D37" t="b">
        <v>0</v>
      </c>
    </row>
    <row r="38" spans="1:4" x14ac:dyDescent="0.25">
      <c r="A38" t="s">
        <v>310</v>
      </c>
      <c r="B38">
        <v>354.1</v>
      </c>
      <c r="C38" t="str">
        <f t="shared" si="0"/>
        <v>BRAZOS ELECTRIC POWER COOPERATIVE INC</v>
      </c>
      <c r="D38" t="b">
        <v>0</v>
      </c>
    </row>
    <row r="39" spans="1:4" x14ac:dyDescent="0.25">
      <c r="A39" t="s">
        <v>2642</v>
      </c>
      <c r="B39">
        <v>342.64400000000001</v>
      </c>
      <c r="C39" t="str">
        <f t="shared" si="0"/>
        <v>CITY OF GARLAND</v>
      </c>
      <c r="D39" t="b">
        <v>0</v>
      </c>
    </row>
    <row r="40" spans="1:4" x14ac:dyDescent="0.25">
      <c r="A40" t="s">
        <v>1041</v>
      </c>
      <c r="B40">
        <v>326.13499999999999</v>
      </c>
      <c r="C40" t="str">
        <f t="shared" si="0"/>
        <v>NUECES BAY LLC</v>
      </c>
      <c r="D40" t="b">
        <v>0</v>
      </c>
    </row>
    <row r="41" spans="1:4" x14ac:dyDescent="0.25">
      <c r="A41" t="s">
        <v>1262</v>
      </c>
      <c r="B41">
        <v>313.26</v>
      </c>
      <c r="C41" t="str">
        <f t="shared" si="0"/>
        <v>SOUTHWESTERN ELECTRIC POWER CO</v>
      </c>
      <c r="D41" t="b">
        <v>0</v>
      </c>
    </row>
    <row r="42" spans="1:4" x14ac:dyDescent="0.25">
      <c r="A42" t="s">
        <v>517</v>
      </c>
      <c r="B42">
        <v>291.98</v>
      </c>
      <c r="C42" t="str">
        <f t="shared" si="0"/>
        <v>LOWER COLORADO RIVER AUTHORITY</v>
      </c>
      <c r="D42" t="b">
        <v>0</v>
      </c>
    </row>
    <row r="43" spans="1:4" x14ac:dyDescent="0.25">
      <c r="A43" t="s">
        <v>1659</v>
      </c>
      <c r="B43">
        <v>263</v>
      </c>
      <c r="C43" t="str">
        <f t="shared" si="0"/>
        <v>THE DOW CHEMICAL CO</v>
      </c>
      <c r="D43" t="b">
        <v>0</v>
      </c>
    </row>
    <row r="44" spans="1:4" x14ac:dyDescent="0.25">
      <c r="A44" t="s">
        <v>1287</v>
      </c>
      <c r="B44">
        <v>226.6</v>
      </c>
      <c r="C44" t="str">
        <f t="shared" si="0"/>
        <v>THE SABINE MINING CO</v>
      </c>
      <c r="D44" t="b">
        <v>0</v>
      </c>
    </row>
    <row r="45" spans="1:4" x14ac:dyDescent="0.25">
      <c r="A45" t="s">
        <v>1301</v>
      </c>
      <c r="B45">
        <v>214</v>
      </c>
      <c r="C45" t="e">
        <f t="shared" si="0"/>
        <v>#N/A</v>
      </c>
      <c r="D45" t="b">
        <v>0</v>
      </c>
    </row>
    <row r="46" spans="1:4" x14ac:dyDescent="0.25">
      <c r="A46" t="s">
        <v>2668</v>
      </c>
      <c r="B46">
        <v>206.858</v>
      </c>
      <c r="C46" t="str">
        <f t="shared" si="0"/>
        <v>TRINITY RIVER AUTHORITY OF TEXAS</v>
      </c>
      <c r="D46" t="b">
        <v>0</v>
      </c>
    </row>
    <row r="47" spans="1:4" x14ac:dyDescent="0.25">
      <c r="A47" t="s">
        <v>1661</v>
      </c>
      <c r="B47">
        <v>192</v>
      </c>
      <c r="C47" t="str">
        <f t="shared" si="0"/>
        <v>THE DOW CHEMICAL CO</v>
      </c>
      <c r="D47" t="b">
        <v>0</v>
      </c>
    </row>
    <row r="48" spans="1:4" x14ac:dyDescent="0.25">
      <c r="A48" t="s">
        <v>2188</v>
      </c>
      <c r="B48">
        <v>188</v>
      </c>
      <c r="C48" t="str">
        <f t="shared" si="0"/>
        <v>CITY OF HOUSTON</v>
      </c>
      <c r="D48" t="b">
        <v>0</v>
      </c>
    </row>
    <row r="49" spans="1:4" x14ac:dyDescent="0.25">
      <c r="A49" t="s">
        <v>588</v>
      </c>
      <c r="B49">
        <v>174</v>
      </c>
      <c r="C49" t="str">
        <f t="shared" si="0"/>
        <v>LUMINANT GENERATION CO LLC</v>
      </c>
      <c r="D49" t="b">
        <v>0</v>
      </c>
    </row>
    <row r="50" spans="1:4" x14ac:dyDescent="0.25">
      <c r="A50" t="s">
        <v>2879</v>
      </c>
      <c r="B50">
        <v>171</v>
      </c>
      <c r="C50" t="str">
        <f t="shared" si="0"/>
        <v>CITY OF FORT WORTH</v>
      </c>
      <c r="D50" t="b">
        <v>0</v>
      </c>
    </row>
    <row r="51" spans="1:4" x14ac:dyDescent="0.25">
      <c r="A51" t="s">
        <v>1323</v>
      </c>
      <c r="B51">
        <v>168.2</v>
      </c>
      <c r="C51" t="e">
        <f t="shared" si="0"/>
        <v>#N/A</v>
      </c>
      <c r="D51" t="b">
        <v>0</v>
      </c>
    </row>
    <row r="52" spans="1:4" x14ac:dyDescent="0.25">
      <c r="A52" t="s">
        <v>431</v>
      </c>
      <c r="B52">
        <v>162</v>
      </c>
      <c r="C52" t="str">
        <f t="shared" si="0"/>
        <v>FORMOSA PLASTICS CO TEXAS AND FORMOSA UTILITY VENTURE LTD</v>
      </c>
      <c r="D52" t="b">
        <v>0</v>
      </c>
    </row>
    <row r="53" spans="1:4" x14ac:dyDescent="0.25">
      <c r="A53" t="s">
        <v>1483</v>
      </c>
      <c r="B53">
        <v>161.44</v>
      </c>
      <c r="C53" t="str">
        <f t="shared" si="0"/>
        <v>CHENIERE LAND HOLDINGS LLC</v>
      </c>
      <c r="D53" t="b">
        <v>0</v>
      </c>
    </row>
    <row r="54" spans="1:4" x14ac:dyDescent="0.25">
      <c r="A54" t="s">
        <v>300</v>
      </c>
      <c r="B54">
        <v>154.6</v>
      </c>
      <c r="C54" t="e">
        <f t="shared" si="0"/>
        <v>#N/A</v>
      </c>
      <c r="D54" t="b">
        <v>0</v>
      </c>
    </row>
    <row r="55" spans="1:4" x14ac:dyDescent="0.25">
      <c r="A55" t="s">
        <v>429</v>
      </c>
      <c r="B55">
        <v>152.9</v>
      </c>
      <c r="C55" t="str">
        <f t="shared" si="0"/>
        <v>FORMOSA PLASTICS CO TEXAS AND FORMOSA UTILITY VENTURE LTD</v>
      </c>
      <c r="D55" t="b">
        <v>0</v>
      </c>
    </row>
    <row r="56" spans="1:4" x14ac:dyDescent="0.25">
      <c r="A56" t="s">
        <v>756</v>
      </c>
      <c r="B56">
        <v>152</v>
      </c>
      <c r="C56" t="str">
        <f t="shared" si="0"/>
        <v>THE PREMCOR REFINING GROUP INC</v>
      </c>
      <c r="D56" t="b">
        <v>0</v>
      </c>
    </row>
    <row r="57" spans="1:4" x14ac:dyDescent="0.25">
      <c r="A57" t="s">
        <v>2793</v>
      </c>
      <c r="B57">
        <v>151</v>
      </c>
      <c r="C57" t="str">
        <f t="shared" si="0"/>
        <v>CITY OF DALLAS</v>
      </c>
      <c r="D57" t="b">
        <v>0</v>
      </c>
    </row>
    <row r="58" spans="1:4" x14ac:dyDescent="0.25">
      <c r="A58" t="s">
        <v>1404</v>
      </c>
      <c r="B58">
        <v>150.44999999999999</v>
      </c>
      <c r="C58" t="str">
        <f t="shared" si="0"/>
        <v>THE SABINE MINING COMPANY</v>
      </c>
      <c r="D58" t="b">
        <v>0</v>
      </c>
    </row>
    <row r="59" spans="1:4" x14ac:dyDescent="0.25">
      <c r="A59" t="s">
        <v>1311</v>
      </c>
      <c r="B59">
        <v>131.1</v>
      </c>
      <c r="C59" t="e">
        <f t="shared" si="0"/>
        <v>#N/A</v>
      </c>
      <c r="D59" t="b">
        <v>0</v>
      </c>
    </row>
    <row r="60" spans="1:4" x14ac:dyDescent="0.25">
      <c r="A60" t="s">
        <v>432</v>
      </c>
      <c r="B60">
        <v>125.9</v>
      </c>
      <c r="C60" t="str">
        <f t="shared" si="0"/>
        <v>FORMOSA PLASTICS CO TEXAS AND FORMOSA UTILITY VENTURE LTD</v>
      </c>
      <c r="D60" t="b">
        <v>0</v>
      </c>
    </row>
    <row r="61" spans="1:4" x14ac:dyDescent="0.25">
      <c r="A61" t="s">
        <v>2187</v>
      </c>
      <c r="B61">
        <v>118.63</v>
      </c>
      <c r="C61" t="str">
        <f t="shared" si="0"/>
        <v>CITY OF HOUSTON</v>
      </c>
      <c r="D61" t="b">
        <v>0</v>
      </c>
    </row>
    <row r="62" spans="1:4" x14ac:dyDescent="0.25">
      <c r="A62" t="s">
        <v>2189</v>
      </c>
      <c r="B62">
        <v>118.63</v>
      </c>
      <c r="C62" t="e">
        <f t="shared" si="0"/>
        <v>#N/A</v>
      </c>
      <c r="D62" t="b">
        <v>0</v>
      </c>
    </row>
    <row r="63" spans="1:4" x14ac:dyDescent="0.25">
      <c r="A63" t="s">
        <v>1288</v>
      </c>
      <c r="B63">
        <v>112.4</v>
      </c>
      <c r="C63" t="e">
        <f t="shared" si="0"/>
        <v>#N/A</v>
      </c>
      <c r="D63" t="b">
        <v>0</v>
      </c>
    </row>
    <row r="64" spans="1:4" x14ac:dyDescent="0.25">
      <c r="A64" t="s">
        <v>1512</v>
      </c>
      <c r="B64">
        <v>108</v>
      </c>
      <c r="C64" t="str">
        <f t="shared" si="0"/>
        <v>SAN ANTONIO WATER SYSTEM</v>
      </c>
      <c r="D64" t="b">
        <v>0</v>
      </c>
    </row>
    <row r="65" spans="1:4" x14ac:dyDescent="0.25">
      <c r="A65" t="s">
        <v>2794</v>
      </c>
      <c r="B65">
        <v>98.2</v>
      </c>
      <c r="C65" t="str">
        <f t="shared" si="0"/>
        <v>CITY OF DALLAS</v>
      </c>
      <c r="D65" t="b">
        <v>0</v>
      </c>
    </row>
    <row r="66" spans="1:4" x14ac:dyDescent="0.25">
      <c r="A66" t="s">
        <v>299</v>
      </c>
      <c r="B66">
        <v>89.2</v>
      </c>
      <c r="C66" t="e">
        <f t="shared" ref="C66:C129" si="1">VLOOKUP(A66,PERMITTEES,2,FALSE)</f>
        <v>#N/A</v>
      </c>
      <c r="D66" t="b">
        <v>0</v>
      </c>
    </row>
    <row r="67" spans="1:4" x14ac:dyDescent="0.25">
      <c r="A67" t="s">
        <v>536</v>
      </c>
      <c r="B67">
        <v>80.2</v>
      </c>
      <c r="C67" t="str">
        <f t="shared" si="1"/>
        <v>CITY OF AUSTIN</v>
      </c>
      <c r="D67" t="b">
        <v>0</v>
      </c>
    </row>
    <row r="68" spans="1:4" x14ac:dyDescent="0.25">
      <c r="A68" t="s">
        <v>122</v>
      </c>
      <c r="B68">
        <v>78</v>
      </c>
      <c r="C68" t="str">
        <f t="shared" si="1"/>
        <v>CITY OF BRYAN</v>
      </c>
      <c r="D68" t="b">
        <v>0</v>
      </c>
    </row>
    <row r="69" spans="1:4" x14ac:dyDescent="0.25">
      <c r="A69" t="s">
        <v>2035</v>
      </c>
      <c r="B69">
        <v>75</v>
      </c>
      <c r="C69" t="str">
        <f t="shared" si="1"/>
        <v>EQUISTAR CHEMICALS LP</v>
      </c>
      <c r="D69" t="b">
        <v>0</v>
      </c>
    </row>
    <row r="70" spans="1:4" x14ac:dyDescent="0.25">
      <c r="A70" t="s">
        <v>1305</v>
      </c>
      <c r="B70">
        <v>72</v>
      </c>
      <c r="C70" t="e">
        <f t="shared" si="1"/>
        <v>#N/A</v>
      </c>
      <c r="D70" t="b">
        <v>0</v>
      </c>
    </row>
    <row r="71" spans="1:4" x14ac:dyDescent="0.25">
      <c r="A71" t="s">
        <v>2281</v>
      </c>
      <c r="B71">
        <v>70</v>
      </c>
      <c r="C71" t="str">
        <f t="shared" si="1"/>
        <v>EQUISTAR CHEMICALS LP AND LYONDELLBASELL ACETYLS LLC</v>
      </c>
      <c r="D71" t="b">
        <v>0</v>
      </c>
    </row>
    <row r="72" spans="1:4" x14ac:dyDescent="0.25">
      <c r="A72" t="s">
        <v>1267</v>
      </c>
      <c r="B72">
        <v>69.599999999999994</v>
      </c>
      <c r="C72" t="str">
        <f t="shared" si="1"/>
        <v>SOUTHWESTERN ELECTRIC POWER CO</v>
      </c>
      <c r="D72" t="b">
        <v>0</v>
      </c>
    </row>
    <row r="73" spans="1:4" x14ac:dyDescent="0.25">
      <c r="A73" t="s">
        <v>1299</v>
      </c>
      <c r="B73">
        <v>67.3</v>
      </c>
      <c r="C73" t="e">
        <f t="shared" si="1"/>
        <v>#N/A</v>
      </c>
      <c r="D73" t="b">
        <v>0</v>
      </c>
    </row>
    <row r="74" spans="1:4" x14ac:dyDescent="0.25">
      <c r="A74" t="s">
        <v>2863</v>
      </c>
      <c r="B74">
        <v>66.872</v>
      </c>
      <c r="C74" t="str">
        <f t="shared" si="1"/>
        <v>NORTH TEXAS MUNICIPAL WATER DISTRICT</v>
      </c>
      <c r="D74" t="b">
        <v>0</v>
      </c>
    </row>
    <row r="75" spans="1:4" x14ac:dyDescent="0.25">
      <c r="A75" t="s">
        <v>1742</v>
      </c>
      <c r="B75">
        <v>64.87</v>
      </c>
      <c r="C75" t="str">
        <f t="shared" si="1"/>
        <v>SHELL CHEMICAL LP</v>
      </c>
      <c r="D75" t="b">
        <v>0</v>
      </c>
    </row>
    <row r="76" spans="1:4" x14ac:dyDescent="0.25">
      <c r="A76" t="s">
        <v>435</v>
      </c>
      <c r="B76">
        <v>62.2</v>
      </c>
      <c r="C76" t="str">
        <f t="shared" si="1"/>
        <v>FORMOSA PLASTICS CO TEXAS AND FORMOSA UTILITY VENTURE LTD</v>
      </c>
      <c r="D76" t="b">
        <v>0</v>
      </c>
    </row>
    <row r="77" spans="1:4" x14ac:dyDescent="0.25">
      <c r="A77" t="s">
        <v>263</v>
      </c>
      <c r="B77">
        <v>59.9</v>
      </c>
      <c r="C77" t="str">
        <f t="shared" si="1"/>
        <v>WESTMORELAND JEWETT MINING LLC</v>
      </c>
      <c r="D77" t="b">
        <v>0</v>
      </c>
    </row>
    <row r="78" spans="1:4" x14ac:dyDescent="0.25">
      <c r="A78" t="s">
        <v>264</v>
      </c>
      <c r="B78">
        <v>59.2</v>
      </c>
      <c r="C78" t="e">
        <f t="shared" si="1"/>
        <v>#N/A</v>
      </c>
      <c r="D78" t="b">
        <v>0</v>
      </c>
    </row>
    <row r="79" spans="1:4" x14ac:dyDescent="0.25">
      <c r="A79" t="s">
        <v>540</v>
      </c>
      <c r="B79">
        <v>57.5</v>
      </c>
      <c r="C79" t="str">
        <f t="shared" si="1"/>
        <v>CITY OF AUSTIN</v>
      </c>
      <c r="D79" t="b">
        <v>0</v>
      </c>
    </row>
    <row r="80" spans="1:4" x14ac:dyDescent="0.25">
      <c r="A80" t="s">
        <v>425</v>
      </c>
      <c r="B80">
        <v>53.8</v>
      </c>
      <c r="C80" t="str">
        <f t="shared" si="1"/>
        <v>FORMOSA PLASTICS CO TEXAS AND FORMOSA UTILITY VENTURE LTD</v>
      </c>
      <c r="D80" t="b">
        <v>0</v>
      </c>
    </row>
    <row r="81" spans="1:4" x14ac:dyDescent="0.25">
      <c r="A81" t="s">
        <v>1349</v>
      </c>
      <c r="B81">
        <v>50.408999999999999</v>
      </c>
      <c r="C81" t="str">
        <f t="shared" si="1"/>
        <v>GREENVILLE ELECTRIC UTILITY SYSTEM</v>
      </c>
      <c r="D81" t="b">
        <v>0</v>
      </c>
    </row>
    <row r="82" spans="1:4" x14ac:dyDescent="0.25">
      <c r="A82" t="s">
        <v>913</v>
      </c>
      <c r="B82">
        <v>49</v>
      </c>
      <c r="C82" t="str">
        <f t="shared" si="1"/>
        <v>WESTROCK TEXAS LP</v>
      </c>
      <c r="D82" t="b">
        <v>0</v>
      </c>
    </row>
    <row r="83" spans="1:4" x14ac:dyDescent="0.25">
      <c r="A83" t="s">
        <v>2877</v>
      </c>
      <c r="B83">
        <v>48.994999999999997</v>
      </c>
      <c r="C83" t="str">
        <f t="shared" si="1"/>
        <v>DALLAS/FORT WORTH INTERNATIONAL AIRPORT BOARD</v>
      </c>
      <c r="D83" t="b">
        <v>0</v>
      </c>
    </row>
    <row r="84" spans="1:4" x14ac:dyDescent="0.25">
      <c r="A84" t="s">
        <v>2876</v>
      </c>
      <c r="B84">
        <v>47.951000000000001</v>
      </c>
      <c r="C84" t="str">
        <f t="shared" si="1"/>
        <v>DALLAS/FORT WORTH INTERNATIONAL AIRPORT BOARD</v>
      </c>
      <c r="D84" t="b">
        <v>0</v>
      </c>
    </row>
    <row r="85" spans="1:4" x14ac:dyDescent="0.25">
      <c r="A85" t="s">
        <v>1279</v>
      </c>
      <c r="B85">
        <v>47.63</v>
      </c>
      <c r="C85" t="str">
        <f t="shared" si="1"/>
        <v>EASTMAN CHEMICAL CO</v>
      </c>
      <c r="D85" t="b">
        <v>0</v>
      </c>
    </row>
    <row r="86" spans="1:4" x14ac:dyDescent="0.25">
      <c r="A86" t="s">
        <v>298</v>
      </c>
      <c r="B86">
        <v>47.475000000000001</v>
      </c>
      <c r="C86" t="str">
        <f t="shared" si="1"/>
        <v>ALCOA USA CORP</v>
      </c>
      <c r="D86" t="b">
        <v>0</v>
      </c>
    </row>
    <row r="87" spans="1:4" x14ac:dyDescent="0.25">
      <c r="A87" t="s">
        <v>1937</v>
      </c>
      <c r="B87">
        <v>46.6</v>
      </c>
      <c r="C87" t="str">
        <f t="shared" si="1"/>
        <v>CITY OF HOUSTON</v>
      </c>
      <c r="D87" t="b">
        <v>0</v>
      </c>
    </row>
    <row r="88" spans="1:4" x14ac:dyDescent="0.25">
      <c r="A88" t="s">
        <v>1538</v>
      </c>
      <c r="B88">
        <v>44.69</v>
      </c>
      <c r="C88" t="str">
        <f t="shared" si="1"/>
        <v>ASCEND PERFORMANCE MATERIALS TEXAS INC</v>
      </c>
      <c r="D88" t="b">
        <v>0</v>
      </c>
    </row>
    <row r="89" spans="1:4" x14ac:dyDescent="0.25">
      <c r="A89" t="s">
        <v>1598</v>
      </c>
      <c r="B89">
        <v>44</v>
      </c>
      <c r="C89" t="str">
        <f t="shared" si="1"/>
        <v>BLANCHARD REFINING CO LLC</v>
      </c>
      <c r="D89" t="b">
        <v>0</v>
      </c>
    </row>
    <row r="90" spans="1:4" x14ac:dyDescent="0.25">
      <c r="A90" t="s">
        <v>434</v>
      </c>
      <c r="B90">
        <v>43.8</v>
      </c>
      <c r="C90" t="str">
        <f t="shared" si="1"/>
        <v>FORMOSA PLASTICS CO TEXAS AND FORMOSA UTILITY VENTURE LTD</v>
      </c>
      <c r="D90" t="b">
        <v>0</v>
      </c>
    </row>
    <row r="91" spans="1:4" x14ac:dyDescent="0.25">
      <c r="A91" t="s">
        <v>1491</v>
      </c>
      <c r="B91">
        <v>43.49</v>
      </c>
      <c r="C91" t="str">
        <f t="shared" si="1"/>
        <v>SAN ANTONIO WATER SYSTEM</v>
      </c>
      <c r="D91" t="b">
        <v>0</v>
      </c>
    </row>
    <row r="92" spans="1:4" x14ac:dyDescent="0.25">
      <c r="A92" t="s">
        <v>1324</v>
      </c>
      <c r="B92">
        <v>42.4</v>
      </c>
      <c r="C92" t="e">
        <f t="shared" si="1"/>
        <v>#N/A</v>
      </c>
      <c r="D92" t="b">
        <v>0</v>
      </c>
    </row>
    <row r="93" spans="1:4" x14ac:dyDescent="0.25">
      <c r="A93" t="s">
        <v>289</v>
      </c>
      <c r="B93">
        <v>41.23</v>
      </c>
      <c r="C93" t="str">
        <f t="shared" si="1"/>
        <v>CITIES OF WACO, WOODWAY, BELLMEAD, LACY-LAKEVIEW, ROBINSON...</v>
      </c>
      <c r="D93" t="b">
        <v>0</v>
      </c>
    </row>
    <row r="94" spans="1:4" x14ac:dyDescent="0.25">
      <c r="A94" t="s">
        <v>1802</v>
      </c>
      <c r="B94">
        <v>36.674999999999997</v>
      </c>
      <c r="C94" t="str">
        <f t="shared" si="1"/>
        <v>THE LUBRIZOL CORPORATION</v>
      </c>
      <c r="D94" t="b">
        <v>0</v>
      </c>
    </row>
    <row r="95" spans="1:4" x14ac:dyDescent="0.25">
      <c r="A95" t="s">
        <v>1406</v>
      </c>
      <c r="B95">
        <v>36.5</v>
      </c>
      <c r="C95" t="e">
        <f t="shared" si="1"/>
        <v>#N/A</v>
      </c>
      <c r="D95" t="b">
        <v>0</v>
      </c>
    </row>
    <row r="96" spans="1:4" x14ac:dyDescent="0.25">
      <c r="A96" t="s">
        <v>1312</v>
      </c>
      <c r="B96">
        <v>36.4</v>
      </c>
      <c r="C96" t="e">
        <f t="shared" si="1"/>
        <v>#N/A</v>
      </c>
      <c r="D96" t="b">
        <v>0</v>
      </c>
    </row>
    <row r="97" spans="1:4" x14ac:dyDescent="0.25">
      <c r="A97" t="s">
        <v>1784</v>
      </c>
      <c r="B97">
        <v>34.799999999999997</v>
      </c>
      <c r="C97" t="str">
        <f t="shared" si="1"/>
        <v>EXXON MOBIL CORP</v>
      </c>
      <c r="D97" t="b">
        <v>0</v>
      </c>
    </row>
    <row r="98" spans="1:4" x14ac:dyDescent="0.25">
      <c r="A98" t="s">
        <v>2645</v>
      </c>
      <c r="B98">
        <v>34.700000000000003</v>
      </c>
      <c r="C98" t="str">
        <f t="shared" si="1"/>
        <v>CITY OF GARLAND</v>
      </c>
      <c r="D98" t="b">
        <v>0</v>
      </c>
    </row>
    <row r="99" spans="1:4" x14ac:dyDescent="0.25">
      <c r="A99" t="s">
        <v>1290</v>
      </c>
      <c r="B99">
        <v>34.6</v>
      </c>
      <c r="C99" t="e">
        <f t="shared" si="1"/>
        <v>#N/A</v>
      </c>
      <c r="D99" t="b">
        <v>0</v>
      </c>
    </row>
    <row r="100" spans="1:4" x14ac:dyDescent="0.25">
      <c r="A100" t="s">
        <v>764</v>
      </c>
      <c r="B100">
        <v>34.299999999999997</v>
      </c>
      <c r="C100" t="str">
        <f t="shared" si="1"/>
        <v>CITY OF BEAUMONT</v>
      </c>
      <c r="D100" t="b">
        <v>0</v>
      </c>
    </row>
    <row r="101" spans="1:4" x14ac:dyDescent="0.25">
      <c r="A101" t="s">
        <v>1293</v>
      </c>
      <c r="B101">
        <v>33.799999999999997</v>
      </c>
      <c r="C101" t="e">
        <f t="shared" si="1"/>
        <v>#N/A</v>
      </c>
      <c r="D101" t="b">
        <v>0</v>
      </c>
    </row>
    <row r="102" spans="1:4" x14ac:dyDescent="0.25">
      <c r="A102" t="s">
        <v>1329</v>
      </c>
      <c r="B102">
        <v>33</v>
      </c>
      <c r="C102" t="e">
        <f t="shared" si="1"/>
        <v>#N/A</v>
      </c>
      <c r="D102" t="b">
        <v>0</v>
      </c>
    </row>
    <row r="103" spans="1:4" x14ac:dyDescent="0.25">
      <c r="A103" t="s">
        <v>643</v>
      </c>
      <c r="B103">
        <v>32</v>
      </c>
      <c r="C103" t="str">
        <f t="shared" si="1"/>
        <v>INVISTA S A R L</v>
      </c>
      <c r="D103" t="b">
        <v>0</v>
      </c>
    </row>
    <row r="104" spans="1:4" x14ac:dyDescent="0.25">
      <c r="A104" t="s">
        <v>428</v>
      </c>
      <c r="B104">
        <v>31.9</v>
      </c>
      <c r="C104" t="str">
        <f t="shared" si="1"/>
        <v>FORMOSA PLASTICS CO TEXAS AND FORMOSA UTILITY VENTURE LTD</v>
      </c>
      <c r="D104" t="b">
        <v>0</v>
      </c>
    </row>
    <row r="105" spans="1:4" x14ac:dyDescent="0.25">
      <c r="A105" t="s">
        <v>1300</v>
      </c>
      <c r="B105">
        <v>31.7</v>
      </c>
      <c r="C105" t="e">
        <f t="shared" si="1"/>
        <v>#N/A</v>
      </c>
      <c r="D105" t="b">
        <v>0</v>
      </c>
    </row>
    <row r="106" spans="1:4" x14ac:dyDescent="0.25">
      <c r="A106" t="s">
        <v>2038</v>
      </c>
      <c r="B106">
        <v>31.2</v>
      </c>
      <c r="C106" t="str">
        <f t="shared" si="1"/>
        <v>EXXON MOBIL CORP</v>
      </c>
      <c r="D106" t="b">
        <v>0</v>
      </c>
    </row>
    <row r="107" spans="1:4" x14ac:dyDescent="0.25">
      <c r="A107" t="s">
        <v>427</v>
      </c>
      <c r="B107">
        <v>30.6</v>
      </c>
      <c r="C107" t="str">
        <f t="shared" si="1"/>
        <v>FORMOSA PLASTICS CO TEXAS AND FORMOSA UTILITY VENTURE LTD</v>
      </c>
      <c r="D107" t="b">
        <v>0</v>
      </c>
    </row>
    <row r="108" spans="1:4" x14ac:dyDescent="0.25">
      <c r="A108" t="s">
        <v>1216</v>
      </c>
      <c r="B108">
        <v>30.59</v>
      </c>
      <c r="C108" t="str">
        <f t="shared" si="1"/>
        <v>EL PASO WATER UTILITIES PUBLIC SERVICE BOARD</v>
      </c>
      <c r="D108" t="b">
        <v>0</v>
      </c>
    </row>
    <row r="109" spans="1:4" x14ac:dyDescent="0.25">
      <c r="A109" t="s">
        <v>1325</v>
      </c>
      <c r="B109">
        <v>30.4</v>
      </c>
      <c r="C109" t="e">
        <f t="shared" si="1"/>
        <v>#N/A</v>
      </c>
      <c r="D109" t="b">
        <v>0</v>
      </c>
    </row>
    <row r="110" spans="1:4" x14ac:dyDescent="0.25">
      <c r="A110" t="s">
        <v>1215</v>
      </c>
      <c r="B110">
        <v>30.17</v>
      </c>
      <c r="C110" t="str">
        <f t="shared" si="1"/>
        <v>EL PASO WATER UTILITIES PUBLIC SERVICE BOARD</v>
      </c>
      <c r="D110" t="b">
        <v>0</v>
      </c>
    </row>
    <row r="111" spans="1:4" x14ac:dyDescent="0.25">
      <c r="A111" t="s">
        <v>2860</v>
      </c>
      <c r="B111">
        <v>29.931999999999999</v>
      </c>
      <c r="C111" t="str">
        <f t="shared" si="1"/>
        <v>NORTH TEXAS MUNICIPAL WATER DISTRICT</v>
      </c>
      <c r="D111" t="b">
        <v>0</v>
      </c>
    </row>
    <row r="112" spans="1:4" x14ac:dyDescent="0.25">
      <c r="A112" t="s">
        <v>2669</v>
      </c>
      <c r="B112">
        <v>29.47</v>
      </c>
      <c r="C112" t="str">
        <f t="shared" si="1"/>
        <v>TRINITY RIVER AUTHORITY OF TEXAS</v>
      </c>
      <c r="D112" t="b">
        <v>0</v>
      </c>
    </row>
    <row r="113" spans="1:4" x14ac:dyDescent="0.25">
      <c r="A113" t="s">
        <v>1403</v>
      </c>
      <c r="B113">
        <v>28.2</v>
      </c>
      <c r="C113" t="e">
        <f t="shared" si="1"/>
        <v>#N/A</v>
      </c>
      <c r="D113" t="b">
        <v>0</v>
      </c>
    </row>
    <row r="114" spans="1:4" x14ac:dyDescent="0.25">
      <c r="A114" t="s">
        <v>2531</v>
      </c>
      <c r="B114">
        <v>28</v>
      </c>
      <c r="C114" t="str">
        <f t="shared" si="1"/>
        <v>INTERNATIONAL PAPER CO</v>
      </c>
      <c r="D114" t="b">
        <v>0</v>
      </c>
    </row>
    <row r="115" spans="1:4" x14ac:dyDescent="0.25">
      <c r="A115" t="s">
        <v>2732</v>
      </c>
      <c r="B115">
        <v>28</v>
      </c>
      <c r="C115" t="e">
        <f t="shared" si="1"/>
        <v>#N/A</v>
      </c>
      <c r="D115" t="b">
        <v>0</v>
      </c>
    </row>
    <row r="116" spans="1:4" x14ac:dyDescent="0.25">
      <c r="A116" t="s">
        <v>755</v>
      </c>
      <c r="B116">
        <v>27.2</v>
      </c>
      <c r="C116" t="str">
        <f t="shared" si="1"/>
        <v>THE PREMCOR REFINING GROUP INC</v>
      </c>
      <c r="D116" t="b">
        <v>0</v>
      </c>
    </row>
    <row r="117" spans="1:4" x14ac:dyDescent="0.25">
      <c r="A117" t="s">
        <v>1327</v>
      </c>
      <c r="B117">
        <v>27</v>
      </c>
      <c r="C117" t="e">
        <f t="shared" si="1"/>
        <v>#N/A</v>
      </c>
      <c r="D117" t="b">
        <v>0</v>
      </c>
    </row>
    <row r="118" spans="1:4" x14ac:dyDescent="0.25">
      <c r="A118" t="s">
        <v>2120</v>
      </c>
      <c r="B118">
        <v>26.9297</v>
      </c>
      <c r="C118" t="str">
        <f t="shared" si="1"/>
        <v>GEO SPECIALTY CHEMICALS INC</v>
      </c>
      <c r="D118" t="b">
        <v>0</v>
      </c>
    </row>
    <row r="119" spans="1:4" x14ac:dyDescent="0.25">
      <c r="A119" t="s">
        <v>426</v>
      </c>
      <c r="B119">
        <v>26.9</v>
      </c>
      <c r="C119" t="str">
        <f t="shared" si="1"/>
        <v>FORMOSA PLASTICS CO TEXAS AND FORMOSA UTILITY VENTURE LTD</v>
      </c>
      <c r="D119" t="b">
        <v>0</v>
      </c>
    </row>
    <row r="120" spans="1:4" x14ac:dyDescent="0.25">
      <c r="A120" t="s">
        <v>1321</v>
      </c>
      <c r="B120">
        <v>26.2</v>
      </c>
      <c r="C120" t="e">
        <f t="shared" si="1"/>
        <v>#N/A</v>
      </c>
      <c r="D120" t="b">
        <v>0</v>
      </c>
    </row>
    <row r="121" spans="1:4" x14ac:dyDescent="0.25">
      <c r="A121" t="s">
        <v>1728</v>
      </c>
      <c r="B121">
        <v>25.8933</v>
      </c>
      <c r="C121" t="str">
        <f t="shared" si="1"/>
        <v>HOUSTON REFINING LP</v>
      </c>
      <c r="D121" t="b">
        <v>0</v>
      </c>
    </row>
    <row r="122" spans="1:4" x14ac:dyDescent="0.25">
      <c r="A122" t="s">
        <v>574</v>
      </c>
      <c r="B122">
        <v>25.87</v>
      </c>
      <c r="C122" t="str">
        <f t="shared" si="1"/>
        <v>SOUTHWESTERN ELECTRIC POWER COMPANY</v>
      </c>
      <c r="D122" t="b">
        <v>0</v>
      </c>
    </row>
    <row r="123" spans="1:4" x14ac:dyDescent="0.25">
      <c r="A123" t="s">
        <v>2861</v>
      </c>
      <c r="B123">
        <v>25.814</v>
      </c>
      <c r="C123" t="str">
        <f t="shared" si="1"/>
        <v>NORTH TEXAS MUNICIPAL WATER DISTRICT</v>
      </c>
      <c r="D123" t="b">
        <v>0</v>
      </c>
    </row>
    <row r="124" spans="1:4" x14ac:dyDescent="0.25">
      <c r="A124" t="s">
        <v>1508</v>
      </c>
      <c r="B124">
        <v>24.81</v>
      </c>
      <c r="C124" t="str">
        <f t="shared" si="1"/>
        <v>SAN ANTONIO WATER SYSTEM</v>
      </c>
      <c r="D124" t="b">
        <v>0</v>
      </c>
    </row>
    <row r="125" spans="1:4" x14ac:dyDescent="0.25">
      <c r="A125" t="s">
        <v>1658</v>
      </c>
      <c r="B125">
        <v>23.7</v>
      </c>
      <c r="C125" t="str">
        <f t="shared" si="1"/>
        <v>GULF COAST WASTE DISPOSAL AUTHORITY</v>
      </c>
      <c r="D125" t="b">
        <v>0</v>
      </c>
    </row>
    <row r="126" spans="1:4" x14ac:dyDescent="0.25">
      <c r="A126" t="s">
        <v>1295</v>
      </c>
      <c r="B126">
        <v>23.6</v>
      </c>
      <c r="C126" t="e">
        <f t="shared" si="1"/>
        <v>#N/A</v>
      </c>
      <c r="D126" t="b">
        <v>0</v>
      </c>
    </row>
    <row r="127" spans="1:4" x14ac:dyDescent="0.25">
      <c r="A127" t="s">
        <v>578</v>
      </c>
      <c r="B127">
        <v>22.8</v>
      </c>
      <c r="C127" t="str">
        <f t="shared" si="1"/>
        <v>US STEEL TUBULAR PRODUCTS INC</v>
      </c>
      <c r="D127" t="b">
        <v>0</v>
      </c>
    </row>
    <row r="128" spans="1:4" x14ac:dyDescent="0.25">
      <c r="A128" t="s">
        <v>749</v>
      </c>
      <c r="B128">
        <v>22</v>
      </c>
      <c r="C128" t="str">
        <f t="shared" si="1"/>
        <v>MOTIVA ENTP, FLINT HILLS RES PORT ARTHUR, AFTON CHEM ADDITIVES CORP</v>
      </c>
      <c r="D128" t="b">
        <v>0</v>
      </c>
    </row>
    <row r="129" spans="1:4" x14ac:dyDescent="0.25">
      <c r="A129" t="s">
        <v>642</v>
      </c>
      <c r="B129">
        <v>22</v>
      </c>
      <c r="C129" t="str">
        <f t="shared" si="1"/>
        <v>INVISTA S A R L</v>
      </c>
      <c r="D129" t="b">
        <v>0</v>
      </c>
    </row>
    <row r="130" spans="1:4" x14ac:dyDescent="0.25">
      <c r="A130" t="s">
        <v>897</v>
      </c>
      <c r="B130">
        <v>21.9</v>
      </c>
      <c r="C130" t="str">
        <f t="shared" ref="C130:C193" si="2">VLOOKUP(A130,PERMITTEES,2,FALSE)</f>
        <v>EXXONMOBIL OIL CORP</v>
      </c>
      <c r="D130" t="b">
        <v>0</v>
      </c>
    </row>
    <row r="131" spans="1:4" x14ac:dyDescent="0.25">
      <c r="A131" t="s">
        <v>281</v>
      </c>
      <c r="B131">
        <v>21.66</v>
      </c>
      <c r="C131" t="e">
        <f t="shared" si="2"/>
        <v>#N/A</v>
      </c>
      <c r="D131" t="b">
        <v>0</v>
      </c>
    </row>
    <row r="132" spans="1:4" x14ac:dyDescent="0.25">
      <c r="A132" t="s">
        <v>751</v>
      </c>
      <c r="B132">
        <v>20.8</v>
      </c>
      <c r="C132" t="str">
        <f t="shared" si="2"/>
        <v>MOTIVA ENTP, FLINT HILLS RES PORT ARTHUR, AFTON CHEM ADDITIVES CORP</v>
      </c>
      <c r="D132" t="b">
        <v>0</v>
      </c>
    </row>
    <row r="133" spans="1:4" x14ac:dyDescent="0.25">
      <c r="A133" t="s">
        <v>383</v>
      </c>
      <c r="B133">
        <v>20.329999999999998</v>
      </c>
      <c r="C133" t="str">
        <f t="shared" si="2"/>
        <v>CITY OF ROUND ROCK CITY OF CEDAR PARK AND CITY OF AUSTIN</v>
      </c>
      <c r="D133" t="b">
        <v>0</v>
      </c>
    </row>
    <row r="134" spans="1:4" x14ac:dyDescent="0.25">
      <c r="A134" t="s">
        <v>1322</v>
      </c>
      <c r="B134">
        <v>20.2</v>
      </c>
      <c r="C134" t="e">
        <f t="shared" si="2"/>
        <v>#N/A</v>
      </c>
      <c r="D134" t="b">
        <v>0</v>
      </c>
    </row>
    <row r="135" spans="1:4" x14ac:dyDescent="0.25">
      <c r="A135" t="s">
        <v>2646</v>
      </c>
      <c r="B135">
        <v>19.72</v>
      </c>
      <c r="C135" t="str">
        <f t="shared" si="2"/>
        <v>CITY OF GARLAND</v>
      </c>
      <c r="D135" t="b">
        <v>0</v>
      </c>
    </row>
    <row r="136" spans="1:4" x14ac:dyDescent="0.25">
      <c r="A136" t="s">
        <v>2532</v>
      </c>
      <c r="B136">
        <v>19.7</v>
      </c>
      <c r="C136" t="str">
        <f t="shared" si="2"/>
        <v>INTERNATIONAL PAPER CO</v>
      </c>
      <c r="D136" t="b">
        <v>0</v>
      </c>
    </row>
    <row r="137" spans="1:4" x14ac:dyDescent="0.25">
      <c r="A137" t="s">
        <v>2903</v>
      </c>
      <c r="B137">
        <v>19.399999999999999</v>
      </c>
      <c r="C137" t="str">
        <f t="shared" si="2"/>
        <v>HANSON AGGREGATES LLC</v>
      </c>
      <c r="D137" t="b">
        <v>0</v>
      </c>
    </row>
    <row r="138" spans="1:4" x14ac:dyDescent="0.25">
      <c r="A138" t="s">
        <v>1886</v>
      </c>
      <c r="B138">
        <v>19.18</v>
      </c>
      <c r="C138" t="str">
        <f t="shared" si="2"/>
        <v>CITY OF HOUSTON</v>
      </c>
      <c r="D138" t="b">
        <v>0</v>
      </c>
    </row>
    <row r="139" spans="1:4" x14ac:dyDescent="0.25">
      <c r="A139" t="s">
        <v>60</v>
      </c>
      <c r="B139">
        <v>18.649999999999999</v>
      </c>
      <c r="C139" t="str">
        <f t="shared" si="2"/>
        <v>BELL COUNTY WCID 1</v>
      </c>
      <c r="D139" t="b">
        <v>0</v>
      </c>
    </row>
    <row r="140" spans="1:4" x14ac:dyDescent="0.25">
      <c r="A140" t="s">
        <v>1291</v>
      </c>
      <c r="B140">
        <v>18.5</v>
      </c>
      <c r="C140" t="e">
        <f t="shared" si="2"/>
        <v>#N/A</v>
      </c>
      <c r="D140" t="b">
        <v>0</v>
      </c>
    </row>
    <row r="141" spans="1:4" x14ac:dyDescent="0.25">
      <c r="A141" t="s">
        <v>2874</v>
      </c>
      <c r="B141">
        <v>18.459</v>
      </c>
      <c r="C141" t="str">
        <f t="shared" si="2"/>
        <v>DALLAS/FORT WORTH INTERNATIONAL AIRPORT BOARD</v>
      </c>
      <c r="D141" t="b">
        <v>0</v>
      </c>
    </row>
    <row r="142" spans="1:4" x14ac:dyDescent="0.25">
      <c r="A142" t="s">
        <v>885</v>
      </c>
      <c r="B142">
        <v>18.225000000000001</v>
      </c>
      <c r="C142" t="str">
        <f t="shared" si="2"/>
        <v>NECHES RIVER TREATMENT CORP AND LOWER NECHES VALLEY AUTHORITY</v>
      </c>
      <c r="D142" t="b">
        <v>0</v>
      </c>
    </row>
    <row r="143" spans="1:4" x14ac:dyDescent="0.25">
      <c r="A143" t="s">
        <v>1319</v>
      </c>
      <c r="B143">
        <v>18</v>
      </c>
      <c r="C143" t="e">
        <f t="shared" si="2"/>
        <v>#N/A</v>
      </c>
      <c r="D143" t="b">
        <v>0</v>
      </c>
    </row>
    <row r="144" spans="1:4" x14ac:dyDescent="0.25">
      <c r="A144" t="s">
        <v>1263</v>
      </c>
      <c r="B144">
        <v>17.786999999999999</v>
      </c>
      <c r="C144" t="str">
        <f t="shared" si="2"/>
        <v>CITY OF LONGVIEW</v>
      </c>
      <c r="D144" t="b">
        <v>0</v>
      </c>
    </row>
    <row r="145" spans="1:4" x14ac:dyDescent="0.25">
      <c r="A145" t="s">
        <v>1816</v>
      </c>
      <c r="B145">
        <v>17.600000000000001</v>
      </c>
      <c r="C145" t="str">
        <f t="shared" si="2"/>
        <v>OXY VINYLS LP</v>
      </c>
      <c r="D145" t="b">
        <v>0</v>
      </c>
    </row>
    <row r="146" spans="1:4" x14ac:dyDescent="0.25">
      <c r="A146" t="s">
        <v>2686</v>
      </c>
      <c r="B146">
        <v>17.600000000000001</v>
      </c>
      <c r="C146" t="str">
        <f t="shared" si="2"/>
        <v>CITY OF DENTON</v>
      </c>
      <c r="D146" t="b">
        <v>0</v>
      </c>
    </row>
    <row r="147" spans="1:4" x14ac:dyDescent="0.25">
      <c r="A147" t="s">
        <v>252</v>
      </c>
      <c r="B147">
        <v>17.116</v>
      </c>
      <c r="C147" t="str">
        <f t="shared" si="2"/>
        <v>CITY OF ABILENE</v>
      </c>
      <c r="D147" t="b">
        <v>0</v>
      </c>
    </row>
    <row r="148" spans="1:4" x14ac:dyDescent="0.25">
      <c r="A148" t="s">
        <v>1596</v>
      </c>
      <c r="B148">
        <v>17.103999999999999</v>
      </c>
      <c r="C148" t="str">
        <f t="shared" si="2"/>
        <v>BLANCHARD REFINING CO LLC</v>
      </c>
      <c r="D148" t="b">
        <v>0</v>
      </c>
    </row>
    <row r="149" spans="1:4" x14ac:dyDescent="0.25">
      <c r="A149" t="s">
        <v>1599</v>
      </c>
      <c r="B149">
        <v>17.103999999999999</v>
      </c>
      <c r="C149" t="e">
        <f t="shared" si="2"/>
        <v>#N/A</v>
      </c>
      <c r="D149" t="b">
        <v>0</v>
      </c>
    </row>
    <row r="150" spans="1:4" x14ac:dyDescent="0.25">
      <c r="A150" t="s">
        <v>524</v>
      </c>
      <c r="B150">
        <v>17.071000000000002</v>
      </c>
      <c r="C150" t="str">
        <f t="shared" si="2"/>
        <v>OXEA CORP</v>
      </c>
      <c r="D150" t="b">
        <v>0</v>
      </c>
    </row>
    <row r="151" spans="1:4" x14ac:dyDescent="0.25">
      <c r="A151" t="s">
        <v>1405</v>
      </c>
      <c r="B151">
        <v>16.8</v>
      </c>
      <c r="C151" t="e">
        <f t="shared" si="2"/>
        <v>#N/A</v>
      </c>
      <c r="D151" t="b">
        <v>0</v>
      </c>
    </row>
    <row r="152" spans="1:4" x14ac:dyDescent="0.25">
      <c r="A152" t="s">
        <v>2577</v>
      </c>
      <c r="B152">
        <v>16.718</v>
      </c>
      <c r="C152" t="str">
        <f t="shared" si="2"/>
        <v>ENTERPRISE PRODUCTS OPERATING LLC</v>
      </c>
      <c r="D152" t="b">
        <v>0</v>
      </c>
    </row>
    <row r="153" spans="1:4" x14ac:dyDescent="0.25">
      <c r="A153" t="s">
        <v>1211</v>
      </c>
      <c r="B153">
        <v>16.66</v>
      </c>
      <c r="C153" t="str">
        <f t="shared" si="2"/>
        <v>EL PASO WATER UTILITIES PUBLIC SERVICE BOARD</v>
      </c>
      <c r="D153" t="b">
        <v>0</v>
      </c>
    </row>
    <row r="154" spans="1:4" x14ac:dyDescent="0.25">
      <c r="A154" t="s">
        <v>1368</v>
      </c>
      <c r="B154">
        <v>16.53</v>
      </c>
      <c r="C154" t="str">
        <f t="shared" si="2"/>
        <v>EI DUPONT DE NEMOURS AND CO</v>
      </c>
      <c r="D154" t="b">
        <v>0</v>
      </c>
    </row>
    <row r="155" spans="1:4" x14ac:dyDescent="0.25">
      <c r="A155" t="s">
        <v>1470</v>
      </c>
      <c r="B155">
        <v>16.37</v>
      </c>
      <c r="C155" t="str">
        <f t="shared" si="2"/>
        <v>THE CHEMOURS CO FC LLC</v>
      </c>
      <c r="D155" t="b">
        <v>0</v>
      </c>
    </row>
    <row r="156" spans="1:4" x14ac:dyDescent="0.25">
      <c r="A156" t="s">
        <v>2731</v>
      </c>
      <c r="B156">
        <v>16</v>
      </c>
      <c r="C156" t="str">
        <f t="shared" si="2"/>
        <v>LUMINANT MINING CO LLC</v>
      </c>
      <c r="D156" t="b">
        <v>0</v>
      </c>
    </row>
    <row r="157" spans="1:4" x14ac:dyDescent="0.25">
      <c r="A157" t="s">
        <v>1908</v>
      </c>
      <c r="B157">
        <v>15.6</v>
      </c>
      <c r="C157" t="str">
        <f t="shared" si="2"/>
        <v>GULF COAST AUTHORITY</v>
      </c>
      <c r="D157" t="b">
        <v>0</v>
      </c>
    </row>
    <row r="158" spans="1:4" x14ac:dyDescent="0.25">
      <c r="A158" t="s">
        <v>2526</v>
      </c>
      <c r="B158">
        <v>15.3</v>
      </c>
      <c r="C158" t="str">
        <f t="shared" si="2"/>
        <v>CITY OF TEXARKANA</v>
      </c>
      <c r="D158" t="b">
        <v>0</v>
      </c>
    </row>
    <row r="159" spans="1:4" x14ac:dyDescent="0.25">
      <c r="A159" t="s">
        <v>2198</v>
      </c>
      <c r="B159">
        <v>14.988</v>
      </c>
      <c r="C159" t="str">
        <f t="shared" si="2"/>
        <v>CITY OF HOUSTON</v>
      </c>
      <c r="D159" t="b">
        <v>0</v>
      </c>
    </row>
    <row r="160" spans="1:4" x14ac:dyDescent="0.25">
      <c r="A160" t="s">
        <v>925</v>
      </c>
      <c r="B160">
        <v>14.79576</v>
      </c>
      <c r="C160" t="str">
        <f t="shared" si="2"/>
        <v>JEFFERSON RAILPORT TERMINAL I (TEXAS) LLC</v>
      </c>
      <c r="D160" t="b">
        <v>0</v>
      </c>
    </row>
    <row r="161" spans="1:4" x14ac:dyDescent="0.25">
      <c r="A161" t="s">
        <v>1939</v>
      </c>
      <c r="B161">
        <v>14.32</v>
      </c>
      <c r="C161" t="str">
        <f t="shared" si="2"/>
        <v>CITY OF HOUSTON</v>
      </c>
      <c r="D161" t="b">
        <v>0</v>
      </c>
    </row>
    <row r="162" spans="1:4" x14ac:dyDescent="0.25">
      <c r="A162" t="s">
        <v>864</v>
      </c>
      <c r="B162">
        <v>14.2</v>
      </c>
      <c r="C162" t="str">
        <f t="shared" si="2"/>
        <v>HUNTSMAN(H) PETROCHEM;H INTRNTL FUELS;H PROPY OXIDE;BLUEHALL;TPC GROUP</v>
      </c>
      <c r="D162" t="b">
        <v>0</v>
      </c>
    </row>
    <row r="163" spans="1:4" x14ac:dyDescent="0.25">
      <c r="A163" t="s">
        <v>962</v>
      </c>
      <c r="B163">
        <v>14.122</v>
      </c>
      <c r="C163" t="str">
        <f t="shared" si="2"/>
        <v>CITY OF TYLER</v>
      </c>
      <c r="D163" t="b">
        <v>0</v>
      </c>
    </row>
    <row r="164" spans="1:4" x14ac:dyDescent="0.25">
      <c r="A164" t="s">
        <v>1191</v>
      </c>
      <c r="B164">
        <v>14.01</v>
      </c>
      <c r="C164" t="str">
        <f t="shared" si="2"/>
        <v>CITY OF WICHITA FALLS</v>
      </c>
      <c r="D164" t="b">
        <v>0</v>
      </c>
    </row>
    <row r="165" spans="1:4" x14ac:dyDescent="0.25">
      <c r="A165" t="s">
        <v>1072</v>
      </c>
      <c r="B165">
        <v>13.9</v>
      </c>
      <c r="C165" t="str">
        <f t="shared" si="2"/>
        <v>CITY OF CORPUS CHRISTI</v>
      </c>
      <c r="D165" t="b">
        <v>0</v>
      </c>
    </row>
    <row r="166" spans="1:4" x14ac:dyDescent="0.25">
      <c r="A166" t="s">
        <v>1289</v>
      </c>
      <c r="B166">
        <v>13.5</v>
      </c>
      <c r="C166" t="e">
        <f t="shared" si="2"/>
        <v>#N/A</v>
      </c>
      <c r="D166" t="b">
        <v>0</v>
      </c>
    </row>
    <row r="167" spans="1:4" x14ac:dyDescent="0.25">
      <c r="A167" t="s">
        <v>2104</v>
      </c>
      <c r="B167">
        <v>13.34</v>
      </c>
      <c r="C167" t="str">
        <f t="shared" si="2"/>
        <v>CITY OF HOUSTON</v>
      </c>
      <c r="D167" t="b">
        <v>0</v>
      </c>
    </row>
    <row r="168" spans="1:4" x14ac:dyDescent="0.25">
      <c r="A168" t="s">
        <v>1938</v>
      </c>
      <c r="B168">
        <v>13.2</v>
      </c>
      <c r="C168" t="str">
        <f t="shared" si="2"/>
        <v>CITY OF HOUSTON</v>
      </c>
      <c r="D168" t="b">
        <v>0</v>
      </c>
    </row>
    <row r="169" spans="1:4" x14ac:dyDescent="0.25">
      <c r="A169" t="s">
        <v>2675</v>
      </c>
      <c r="B169">
        <v>12.83</v>
      </c>
      <c r="C169" t="str">
        <f t="shared" si="2"/>
        <v>FORTERRA PRESSURE PIPE INC</v>
      </c>
      <c r="D169" t="b">
        <v>0</v>
      </c>
    </row>
    <row r="170" spans="1:4" x14ac:dyDescent="0.25">
      <c r="A170" t="s">
        <v>90</v>
      </c>
      <c r="B170">
        <v>12.8</v>
      </c>
      <c r="C170" t="str">
        <f t="shared" si="2"/>
        <v>BASF CORP</v>
      </c>
      <c r="D170" t="b">
        <v>0</v>
      </c>
    </row>
    <row r="171" spans="1:4" x14ac:dyDescent="0.25">
      <c r="A171" t="s">
        <v>1268</v>
      </c>
      <c r="B171">
        <v>12.78</v>
      </c>
      <c r="C171" t="str">
        <f t="shared" si="2"/>
        <v>SOUTHWESTERN ELECTRIC POWER CO</v>
      </c>
      <c r="D171" t="b">
        <v>0</v>
      </c>
    </row>
    <row r="172" spans="1:4" x14ac:dyDescent="0.25">
      <c r="A172" t="s">
        <v>2875</v>
      </c>
      <c r="B172">
        <v>12.46</v>
      </c>
      <c r="C172" t="str">
        <f t="shared" si="2"/>
        <v>DALLAS/FORT WORTH INTERNATIONAL AIRPORT BOARD</v>
      </c>
      <c r="D172" t="b">
        <v>0</v>
      </c>
    </row>
    <row r="173" spans="1:4" x14ac:dyDescent="0.25">
      <c r="A173" t="s">
        <v>1751</v>
      </c>
      <c r="B173">
        <v>12.34</v>
      </c>
      <c r="C173" t="str">
        <f t="shared" si="2"/>
        <v>SHELL OIL CO</v>
      </c>
      <c r="D173" t="b">
        <v>0</v>
      </c>
    </row>
    <row r="174" spans="1:4" x14ac:dyDescent="0.25">
      <c r="A174" t="s">
        <v>1251</v>
      </c>
      <c r="B174">
        <v>11.957000000000001</v>
      </c>
      <c r="C174" t="str">
        <f t="shared" si="2"/>
        <v>CITY OF LAREDO</v>
      </c>
      <c r="D174" t="b">
        <v>0</v>
      </c>
    </row>
    <row r="175" spans="1:4" x14ac:dyDescent="0.25">
      <c r="A175" t="s">
        <v>349</v>
      </c>
      <c r="B175">
        <v>11.952</v>
      </c>
      <c r="C175" t="e">
        <f t="shared" si="2"/>
        <v>#N/A</v>
      </c>
      <c r="D175" t="b">
        <v>0</v>
      </c>
    </row>
    <row r="176" spans="1:4" x14ac:dyDescent="0.25">
      <c r="A176" t="s">
        <v>1166</v>
      </c>
      <c r="B176">
        <v>11.85</v>
      </c>
      <c r="C176" t="str">
        <f t="shared" si="2"/>
        <v>CITY OF SHERMAN</v>
      </c>
      <c r="D176" t="b">
        <v>0</v>
      </c>
    </row>
    <row r="177" spans="1:4" x14ac:dyDescent="0.25">
      <c r="A177" t="s">
        <v>1266</v>
      </c>
      <c r="B177">
        <v>11.82</v>
      </c>
      <c r="C177" t="str">
        <f t="shared" si="2"/>
        <v>NUCOR STEEL LONGVIEW LLC</v>
      </c>
      <c r="D177" t="b">
        <v>0</v>
      </c>
    </row>
    <row r="178" spans="1:4" x14ac:dyDescent="0.25">
      <c r="A178" t="s">
        <v>1310</v>
      </c>
      <c r="B178">
        <v>11.8</v>
      </c>
      <c r="C178" t="e">
        <f t="shared" si="2"/>
        <v>#N/A</v>
      </c>
      <c r="D178" t="b">
        <v>0</v>
      </c>
    </row>
    <row r="179" spans="1:4" x14ac:dyDescent="0.25">
      <c r="A179" t="s">
        <v>2687</v>
      </c>
      <c r="B179">
        <v>11.576000000000001</v>
      </c>
      <c r="C179" t="str">
        <f t="shared" si="2"/>
        <v>CITY OF LEWISVILLE</v>
      </c>
      <c r="D179" t="b">
        <v>0</v>
      </c>
    </row>
    <row r="180" spans="1:4" x14ac:dyDescent="0.25">
      <c r="A180" t="s">
        <v>579</v>
      </c>
      <c r="B180">
        <v>11.52</v>
      </c>
      <c r="C180" t="str">
        <f t="shared" si="2"/>
        <v>US STEEL TUBULAR PRODUCTS INC</v>
      </c>
      <c r="D180" t="b">
        <v>0</v>
      </c>
    </row>
    <row r="181" spans="1:4" x14ac:dyDescent="0.25">
      <c r="A181" t="s">
        <v>411</v>
      </c>
      <c r="B181">
        <v>11.45</v>
      </c>
      <c r="C181" t="str">
        <f t="shared" si="2"/>
        <v>ALCOA WORLD ALUMINA LLC</v>
      </c>
      <c r="D181" t="b">
        <v>0</v>
      </c>
    </row>
    <row r="182" spans="1:4" x14ac:dyDescent="0.25">
      <c r="A182" t="s">
        <v>1799</v>
      </c>
      <c r="B182">
        <v>11.204000000000001</v>
      </c>
      <c r="C182" t="str">
        <f t="shared" si="2"/>
        <v>THE LUBRIZOL CORPORATION</v>
      </c>
      <c r="D182" t="b">
        <v>0</v>
      </c>
    </row>
    <row r="183" spans="1:4" x14ac:dyDescent="0.25">
      <c r="A183" t="s">
        <v>1733</v>
      </c>
      <c r="B183">
        <v>11.19</v>
      </c>
      <c r="C183" t="str">
        <f t="shared" si="2"/>
        <v>THE GOODYEAR TIRE &amp; RUBBER CO</v>
      </c>
      <c r="D183" t="b">
        <v>0</v>
      </c>
    </row>
    <row r="184" spans="1:4" x14ac:dyDescent="0.25">
      <c r="A184" t="s">
        <v>520</v>
      </c>
      <c r="B184">
        <v>11.06</v>
      </c>
      <c r="C184" t="str">
        <f t="shared" si="2"/>
        <v>LOWER COLORADO RIVER AUTHORITY</v>
      </c>
      <c r="D184" t="b">
        <v>0</v>
      </c>
    </row>
    <row r="185" spans="1:4" x14ac:dyDescent="0.25">
      <c r="A185" t="s">
        <v>346</v>
      </c>
      <c r="B185">
        <v>10.993</v>
      </c>
      <c r="C185" t="e">
        <f t="shared" si="2"/>
        <v>#N/A</v>
      </c>
      <c r="D185" t="b">
        <v>0</v>
      </c>
    </row>
    <row r="186" spans="1:4" x14ac:dyDescent="0.25">
      <c r="A186" t="s">
        <v>487</v>
      </c>
      <c r="B186">
        <v>10.94</v>
      </c>
      <c r="C186" t="str">
        <f t="shared" si="2"/>
        <v>CITY OF LAMESA</v>
      </c>
      <c r="D186" t="b">
        <v>0</v>
      </c>
    </row>
    <row r="187" spans="1:4" x14ac:dyDescent="0.25">
      <c r="A187" t="s">
        <v>905</v>
      </c>
      <c r="B187">
        <v>10.784000000000001</v>
      </c>
      <c r="C187" t="str">
        <f t="shared" si="2"/>
        <v>CITY OF NACOGDOCHES</v>
      </c>
      <c r="D187" t="b">
        <v>0</v>
      </c>
    </row>
    <row r="188" spans="1:4" x14ac:dyDescent="0.25">
      <c r="A188" t="s">
        <v>1088</v>
      </c>
      <c r="B188">
        <v>10.7311</v>
      </c>
      <c r="C188" t="str">
        <f t="shared" si="2"/>
        <v>US ECOLOGY TEXAS INC</v>
      </c>
      <c r="D188" t="b">
        <v>0</v>
      </c>
    </row>
    <row r="189" spans="1:4" x14ac:dyDescent="0.25">
      <c r="A189" t="s">
        <v>2405</v>
      </c>
      <c r="B189">
        <v>10.6</v>
      </c>
      <c r="C189" t="str">
        <f t="shared" si="2"/>
        <v>CITY OF CONROE</v>
      </c>
      <c r="D189" t="b">
        <v>0</v>
      </c>
    </row>
    <row r="190" spans="1:4" x14ac:dyDescent="0.25">
      <c r="A190" t="s">
        <v>2257</v>
      </c>
      <c r="B190">
        <v>10.4</v>
      </c>
      <c r="C190" t="str">
        <f t="shared" si="2"/>
        <v>CITY OF PASADENA</v>
      </c>
      <c r="D190" t="b">
        <v>0</v>
      </c>
    </row>
    <row r="191" spans="1:4" x14ac:dyDescent="0.25">
      <c r="A191" t="s">
        <v>850</v>
      </c>
      <c r="B191">
        <v>10.3</v>
      </c>
      <c r="C191" t="str">
        <f t="shared" si="2"/>
        <v>EXXONMOBIL OIL CORP</v>
      </c>
      <c r="D191" t="b">
        <v>0</v>
      </c>
    </row>
    <row r="192" spans="1:4" x14ac:dyDescent="0.25">
      <c r="A192" t="s">
        <v>1643</v>
      </c>
      <c r="B192">
        <v>10.285</v>
      </c>
      <c r="C192" t="str">
        <f t="shared" si="2"/>
        <v>CITY OF LEAGUE CITY</v>
      </c>
      <c r="D192" t="b">
        <v>0</v>
      </c>
    </row>
    <row r="193" spans="1:4" x14ac:dyDescent="0.25">
      <c r="A193" t="s">
        <v>1302</v>
      </c>
      <c r="B193">
        <v>10.199999999999999</v>
      </c>
      <c r="C193" t="e">
        <f t="shared" si="2"/>
        <v>#N/A</v>
      </c>
      <c r="D193" t="b">
        <v>0</v>
      </c>
    </row>
    <row r="194" spans="1:4" x14ac:dyDescent="0.25">
      <c r="A194" t="s">
        <v>808</v>
      </c>
      <c r="B194">
        <v>10.199999999999999</v>
      </c>
      <c r="C194" t="str">
        <f t="shared" ref="C194:C257" si="3">VLOOKUP(A194,PERMITTEES,2,FALSE)</f>
        <v>UNIMIN CORP</v>
      </c>
      <c r="D194" t="b">
        <v>0</v>
      </c>
    </row>
    <row r="195" spans="1:4" x14ac:dyDescent="0.25">
      <c r="A195" t="s">
        <v>766</v>
      </c>
      <c r="B195">
        <v>10.183</v>
      </c>
      <c r="C195" t="str">
        <f t="shared" si="3"/>
        <v>CITY OF PORT ARTHUR</v>
      </c>
      <c r="D195" t="b">
        <v>0</v>
      </c>
    </row>
    <row r="196" spans="1:4" x14ac:dyDescent="0.25">
      <c r="A196" t="s">
        <v>1214</v>
      </c>
      <c r="B196">
        <v>10.15</v>
      </c>
      <c r="C196" t="str">
        <f t="shared" si="3"/>
        <v>EL PASO WATER UTILITIES PUBLIC SERVICE BOARD</v>
      </c>
      <c r="D196" t="b">
        <v>0</v>
      </c>
    </row>
    <row r="197" spans="1:4" x14ac:dyDescent="0.25">
      <c r="A197" t="s">
        <v>1801</v>
      </c>
      <c r="B197">
        <v>10.131</v>
      </c>
      <c r="C197" t="str">
        <f t="shared" si="3"/>
        <v>THE LUBRIZOL CORPORATION</v>
      </c>
      <c r="D197" t="b">
        <v>0</v>
      </c>
    </row>
    <row r="198" spans="1:4" x14ac:dyDescent="0.25">
      <c r="A198" t="s">
        <v>1206</v>
      </c>
      <c r="B198">
        <v>10.116</v>
      </c>
      <c r="C198" t="str">
        <f t="shared" si="3"/>
        <v>BROWNSVILLE PUBLIC UTILITIES BOARD</v>
      </c>
      <c r="D198" t="b">
        <v>0</v>
      </c>
    </row>
    <row r="199" spans="1:4" x14ac:dyDescent="0.25">
      <c r="A199" t="s">
        <v>65</v>
      </c>
      <c r="B199">
        <v>9.8699999999999992</v>
      </c>
      <c r="C199" t="str">
        <f t="shared" si="3"/>
        <v>CITY OF TEMPLE AND CITY OF BELTON</v>
      </c>
      <c r="D199" t="b">
        <v>0</v>
      </c>
    </row>
    <row r="200" spans="1:4" x14ac:dyDescent="0.25">
      <c r="A200" t="s">
        <v>1282</v>
      </c>
      <c r="B200">
        <v>9.82</v>
      </c>
      <c r="C200" t="str">
        <f t="shared" si="3"/>
        <v>CITY OF MARSHALL</v>
      </c>
      <c r="D200" t="b">
        <v>0</v>
      </c>
    </row>
    <row r="201" spans="1:4" x14ac:dyDescent="0.25">
      <c r="A201" t="s">
        <v>248</v>
      </c>
      <c r="B201">
        <v>9.7590000000000003</v>
      </c>
      <c r="C201" t="str">
        <f t="shared" si="3"/>
        <v>CITY OF CLEBURNE</v>
      </c>
      <c r="D201" t="b">
        <v>0</v>
      </c>
    </row>
    <row r="202" spans="1:4" x14ac:dyDescent="0.25">
      <c r="A202" t="s">
        <v>898</v>
      </c>
      <c r="B202">
        <v>9.5666670000000007</v>
      </c>
      <c r="C202" t="str">
        <f t="shared" si="3"/>
        <v>BASF TOTAL PETROCHEMICALS LLC</v>
      </c>
      <c r="D202" t="b">
        <v>0</v>
      </c>
    </row>
    <row r="203" spans="1:4" x14ac:dyDescent="0.25">
      <c r="A203" t="s">
        <v>862</v>
      </c>
      <c r="B203">
        <v>9.5500000000000007</v>
      </c>
      <c r="C203" t="str">
        <f t="shared" si="3"/>
        <v>HUNTSMAN(H) PETROCHEM;H INTRNTL FUELS;H PROPY OXIDE;BLUEHALL;TPC GROUP</v>
      </c>
      <c r="D203" t="b">
        <v>0</v>
      </c>
    </row>
    <row r="204" spans="1:4" x14ac:dyDescent="0.25">
      <c r="A204" t="s">
        <v>311</v>
      </c>
      <c r="B204">
        <v>9.5090000000000003</v>
      </c>
      <c r="C204" t="str">
        <f t="shared" si="3"/>
        <v>BRAZOS ELECTRIC POWER COOPERATIVE INC</v>
      </c>
      <c r="D204" t="b">
        <v>0</v>
      </c>
    </row>
    <row r="205" spans="1:4" x14ac:dyDescent="0.25">
      <c r="A205" t="s">
        <v>732</v>
      </c>
      <c r="B205">
        <v>9.5</v>
      </c>
      <c r="C205" t="str">
        <f t="shared" si="3"/>
        <v>INTEPLAST GROUP CORP</v>
      </c>
      <c r="D205" t="b">
        <v>0</v>
      </c>
    </row>
    <row r="206" spans="1:4" x14ac:dyDescent="0.25">
      <c r="A206" t="s">
        <v>1192</v>
      </c>
      <c r="B206">
        <v>9.32</v>
      </c>
      <c r="C206" t="str">
        <f t="shared" si="3"/>
        <v>CITY OF WICHITA FALLS</v>
      </c>
      <c r="D206" t="b">
        <v>0</v>
      </c>
    </row>
    <row r="207" spans="1:4" x14ac:dyDescent="0.25">
      <c r="A207" t="s">
        <v>731</v>
      </c>
      <c r="B207">
        <v>9.2899999999999991</v>
      </c>
      <c r="C207" t="str">
        <f t="shared" si="3"/>
        <v>INTEPLAST GROUP CORP</v>
      </c>
      <c r="D207" t="b">
        <v>0</v>
      </c>
    </row>
    <row r="208" spans="1:4" x14ac:dyDescent="0.25">
      <c r="A208" t="s">
        <v>433</v>
      </c>
      <c r="B208">
        <v>9.1</v>
      </c>
      <c r="C208" t="str">
        <f t="shared" si="3"/>
        <v>FORMOSA PLASTICS CO TEXAS AND FORMOSA UTILITY VENTURE LTD</v>
      </c>
      <c r="D208" t="b">
        <v>0</v>
      </c>
    </row>
    <row r="209" spans="1:4" x14ac:dyDescent="0.25">
      <c r="A209" t="s">
        <v>1006</v>
      </c>
      <c r="B209">
        <v>9.0830000000000002</v>
      </c>
      <c r="C209" t="str">
        <f t="shared" si="3"/>
        <v>CITY OF EDINBURG</v>
      </c>
      <c r="D209" t="b">
        <v>0</v>
      </c>
    </row>
    <row r="210" spans="1:4" x14ac:dyDescent="0.25">
      <c r="A210" t="s">
        <v>1959</v>
      </c>
      <c r="B210">
        <v>9.07</v>
      </c>
      <c r="C210" t="str">
        <f t="shared" si="3"/>
        <v>CITY OF HOUSTON</v>
      </c>
      <c r="D210" t="b">
        <v>0</v>
      </c>
    </row>
    <row r="211" spans="1:4" x14ac:dyDescent="0.25">
      <c r="A211" t="s">
        <v>1755</v>
      </c>
      <c r="B211">
        <v>9</v>
      </c>
      <c r="C211" t="str">
        <f t="shared" si="3"/>
        <v>TPC GROUP LLC AND JOHN EDWARD FRANTZ</v>
      </c>
      <c r="D211" t="b">
        <v>0</v>
      </c>
    </row>
    <row r="212" spans="1:4" x14ac:dyDescent="0.25">
      <c r="A212" t="s">
        <v>1756</v>
      </c>
      <c r="B212">
        <v>9</v>
      </c>
      <c r="C212" t="e">
        <f t="shared" si="3"/>
        <v>#N/A</v>
      </c>
      <c r="D212" t="b">
        <v>0</v>
      </c>
    </row>
    <row r="213" spans="1:4" x14ac:dyDescent="0.25">
      <c r="A213" t="s">
        <v>1757</v>
      </c>
      <c r="B213">
        <v>9</v>
      </c>
      <c r="C213" t="str">
        <f t="shared" si="3"/>
        <v>TPC GROUP LLC AND JOHN EDWARD FRANTZ</v>
      </c>
      <c r="D213" t="b">
        <v>0</v>
      </c>
    </row>
    <row r="214" spans="1:4" x14ac:dyDescent="0.25">
      <c r="A214" t="s">
        <v>1758</v>
      </c>
      <c r="B214">
        <v>9</v>
      </c>
      <c r="C214" t="str">
        <f t="shared" si="3"/>
        <v>TPC GROUP LLC AND JOHN EDWARD FRANTZ</v>
      </c>
      <c r="D214" t="b">
        <v>0</v>
      </c>
    </row>
    <row r="215" spans="1:4" x14ac:dyDescent="0.25">
      <c r="A215" t="s">
        <v>1759</v>
      </c>
      <c r="B215">
        <v>9</v>
      </c>
      <c r="C215" t="str">
        <f t="shared" si="3"/>
        <v>TPC GROUP LLC AND JOHN EDWARD FRANTZ</v>
      </c>
      <c r="D215" t="b">
        <v>0</v>
      </c>
    </row>
    <row r="216" spans="1:4" x14ac:dyDescent="0.25">
      <c r="A216" t="s">
        <v>1811</v>
      </c>
      <c r="B216">
        <v>9</v>
      </c>
      <c r="C216" t="str">
        <f t="shared" si="3"/>
        <v>MAGELLAN TERMINALS HOLDINGS LP</v>
      </c>
      <c r="D216" t="b">
        <v>0</v>
      </c>
    </row>
    <row r="217" spans="1:4" x14ac:dyDescent="0.25">
      <c r="A217" t="s">
        <v>761</v>
      </c>
      <c r="B217">
        <v>9</v>
      </c>
      <c r="C217" t="str">
        <f t="shared" si="3"/>
        <v>PABTEX INC &amp; SAVAGE SERVICES CORP</v>
      </c>
      <c r="D217" t="b">
        <v>0</v>
      </c>
    </row>
    <row r="218" spans="1:4" x14ac:dyDescent="0.25">
      <c r="A218" t="s">
        <v>1846</v>
      </c>
      <c r="B218">
        <v>9</v>
      </c>
      <c r="C218" t="str">
        <f t="shared" si="3"/>
        <v>HARRIS COUNTY WCID NO 21</v>
      </c>
      <c r="D218" t="b">
        <v>0</v>
      </c>
    </row>
    <row r="219" spans="1:4" x14ac:dyDescent="0.25">
      <c r="A219" t="s">
        <v>2623</v>
      </c>
      <c r="B219">
        <v>9</v>
      </c>
      <c r="C219" t="e">
        <f t="shared" si="3"/>
        <v>#N/A</v>
      </c>
      <c r="D219" t="b">
        <v>0</v>
      </c>
    </row>
    <row r="220" spans="1:4" x14ac:dyDescent="0.25">
      <c r="A220" t="s">
        <v>1184</v>
      </c>
      <c r="B220">
        <v>9</v>
      </c>
      <c r="C220" t="str">
        <f t="shared" si="3"/>
        <v>PARIS GENERATION LP</v>
      </c>
      <c r="D220" t="b">
        <v>0</v>
      </c>
    </row>
    <row r="221" spans="1:4" x14ac:dyDescent="0.25">
      <c r="A221" t="s">
        <v>1095</v>
      </c>
      <c r="B221">
        <v>9</v>
      </c>
      <c r="C221" t="str">
        <f t="shared" si="3"/>
        <v>EF90 LLC</v>
      </c>
      <c r="D221" t="b">
        <v>0</v>
      </c>
    </row>
    <row r="222" spans="1:4" x14ac:dyDescent="0.25">
      <c r="A222" t="s">
        <v>502</v>
      </c>
      <c r="B222">
        <v>9</v>
      </c>
      <c r="C222" t="str">
        <f t="shared" si="3"/>
        <v>GAINES COUNTY WATER COMPANY LLC</v>
      </c>
      <c r="D222" t="b">
        <v>0</v>
      </c>
    </row>
    <row r="223" spans="1:4" x14ac:dyDescent="0.25">
      <c r="A223" t="s">
        <v>1628</v>
      </c>
      <c r="B223">
        <v>8.9469999999999992</v>
      </c>
      <c r="C223" t="str">
        <f t="shared" si="3"/>
        <v>CITY OF TEXAS CITY</v>
      </c>
      <c r="D223" t="b">
        <v>0</v>
      </c>
    </row>
    <row r="224" spans="1:4" x14ac:dyDescent="0.25">
      <c r="A224" t="s">
        <v>1630</v>
      </c>
      <c r="B224">
        <v>8.9459999999999997</v>
      </c>
      <c r="C224" t="str">
        <f t="shared" si="3"/>
        <v>CITY OF GALVESTON</v>
      </c>
      <c r="D224" t="b">
        <v>0</v>
      </c>
    </row>
    <row r="225" spans="1:4" x14ac:dyDescent="0.25">
      <c r="A225" t="s">
        <v>807</v>
      </c>
      <c r="B225">
        <v>8.9</v>
      </c>
      <c r="C225" t="str">
        <f t="shared" si="3"/>
        <v>UNIMIN CORP</v>
      </c>
      <c r="D225" t="b">
        <v>0</v>
      </c>
    </row>
    <row r="226" spans="1:4" x14ac:dyDescent="0.25">
      <c r="A226" t="s">
        <v>408</v>
      </c>
      <c r="B226">
        <v>8.827</v>
      </c>
      <c r="C226" t="str">
        <f t="shared" si="3"/>
        <v>CITY OF AMARILLO</v>
      </c>
      <c r="D226" t="b">
        <v>0</v>
      </c>
    </row>
    <row r="227" spans="1:4" x14ac:dyDescent="0.25">
      <c r="A227" t="s">
        <v>1927</v>
      </c>
      <c r="B227">
        <v>8.8000000000000007</v>
      </c>
      <c r="C227" t="str">
        <f t="shared" si="3"/>
        <v>GULF COAST AUTHORITY</v>
      </c>
      <c r="D227" t="b">
        <v>0</v>
      </c>
    </row>
    <row r="228" spans="1:4" x14ac:dyDescent="0.25">
      <c r="A228" t="s">
        <v>277</v>
      </c>
      <c r="B228">
        <v>8.44</v>
      </c>
      <c r="C228" t="e">
        <f t="shared" si="3"/>
        <v>#N/A</v>
      </c>
      <c r="D228" t="b">
        <v>0</v>
      </c>
    </row>
    <row r="229" spans="1:4" x14ac:dyDescent="0.25">
      <c r="A229" t="s">
        <v>961</v>
      </c>
      <c r="B229">
        <v>8.31</v>
      </c>
      <c r="C229" t="str">
        <f t="shared" si="3"/>
        <v>CITY OF TYLER</v>
      </c>
      <c r="D229" t="b">
        <v>0</v>
      </c>
    </row>
    <row r="230" spans="1:4" x14ac:dyDescent="0.25">
      <c r="A230" t="s">
        <v>1750</v>
      </c>
      <c r="B230">
        <v>8.3000000000000007</v>
      </c>
      <c r="C230" t="str">
        <f t="shared" si="3"/>
        <v>SHELL OIL CO</v>
      </c>
      <c r="D230" t="b">
        <v>0</v>
      </c>
    </row>
    <row r="231" spans="1:4" x14ac:dyDescent="0.25">
      <c r="A231" t="s">
        <v>1253</v>
      </c>
      <c r="B231">
        <v>8.2100000000000009</v>
      </c>
      <c r="C231" t="str">
        <f t="shared" si="3"/>
        <v>CITY OF LAREDO</v>
      </c>
      <c r="D231" t="b">
        <v>0</v>
      </c>
    </row>
    <row r="232" spans="1:4" x14ac:dyDescent="0.25">
      <c r="A232" t="s">
        <v>806</v>
      </c>
      <c r="B232">
        <v>8.2100000000000009</v>
      </c>
      <c r="C232" t="str">
        <f t="shared" si="3"/>
        <v>UNIMIN CORP</v>
      </c>
      <c r="D232" t="b">
        <v>0</v>
      </c>
    </row>
    <row r="233" spans="1:4" x14ac:dyDescent="0.25">
      <c r="A233" t="s">
        <v>1015</v>
      </c>
      <c r="B233">
        <v>8.0969999999999995</v>
      </c>
      <c r="C233" t="str">
        <f t="shared" si="3"/>
        <v>CITY OF MISSION</v>
      </c>
      <c r="D233" t="b">
        <v>0</v>
      </c>
    </row>
    <row r="234" spans="1:4" x14ac:dyDescent="0.25">
      <c r="A234" t="s">
        <v>1205</v>
      </c>
      <c r="B234">
        <v>8.0839999999999996</v>
      </c>
      <c r="C234" t="str">
        <f t="shared" si="3"/>
        <v>BROWNSVILLE PUBLIC UTILITIES BOARD</v>
      </c>
      <c r="D234" t="b">
        <v>0</v>
      </c>
    </row>
    <row r="235" spans="1:4" x14ac:dyDescent="0.25">
      <c r="A235" t="s">
        <v>2572</v>
      </c>
      <c r="B235">
        <v>8</v>
      </c>
      <c r="C235" t="str">
        <f t="shared" si="3"/>
        <v>CRESTCHEM LLC</v>
      </c>
      <c r="D235" t="b">
        <v>0</v>
      </c>
    </row>
    <row r="236" spans="1:4" x14ac:dyDescent="0.25">
      <c r="A236" t="s">
        <v>1455</v>
      </c>
      <c r="B236">
        <v>8</v>
      </c>
      <c r="C236" t="str">
        <f t="shared" si="3"/>
        <v>HOLLY LAKE CONDOMINIUM ASSOCIATION INC</v>
      </c>
      <c r="D236" t="b">
        <v>0</v>
      </c>
    </row>
    <row r="237" spans="1:4" x14ac:dyDescent="0.25">
      <c r="A237" t="s">
        <v>1318</v>
      </c>
      <c r="B237">
        <v>7.9</v>
      </c>
      <c r="C237" t="e">
        <f t="shared" si="3"/>
        <v>#N/A</v>
      </c>
      <c r="D237" t="b">
        <v>0</v>
      </c>
    </row>
    <row r="238" spans="1:4" x14ac:dyDescent="0.25">
      <c r="A238" t="s">
        <v>413</v>
      </c>
      <c r="B238">
        <v>7.8826999999999998</v>
      </c>
      <c r="C238" t="str">
        <f t="shared" si="3"/>
        <v>ALCOA WORLD ALUMINA LLC</v>
      </c>
      <c r="D238" t="b">
        <v>0</v>
      </c>
    </row>
    <row r="239" spans="1:4" x14ac:dyDescent="0.25">
      <c r="A239" t="s">
        <v>1281</v>
      </c>
      <c r="B239">
        <v>7.87</v>
      </c>
      <c r="C239" t="str">
        <f t="shared" si="3"/>
        <v>EASTMAN CHEMICAL CO</v>
      </c>
      <c r="D239" t="b">
        <v>0</v>
      </c>
    </row>
    <row r="240" spans="1:4" x14ac:dyDescent="0.25">
      <c r="A240" t="s">
        <v>350</v>
      </c>
      <c r="B240">
        <v>7.8570000000000002</v>
      </c>
      <c r="C240" t="e">
        <f t="shared" si="3"/>
        <v>#N/A</v>
      </c>
      <c r="D240" t="b">
        <v>0</v>
      </c>
    </row>
    <row r="241" spans="1:4" x14ac:dyDescent="0.25">
      <c r="A241" t="s">
        <v>758</v>
      </c>
      <c r="B241">
        <v>7.8</v>
      </c>
      <c r="C241" t="str">
        <f t="shared" si="3"/>
        <v>MOTIVA ENTERPRISES LLC</v>
      </c>
      <c r="D241" t="b">
        <v>0</v>
      </c>
    </row>
    <row r="242" spans="1:4" x14ac:dyDescent="0.25">
      <c r="A242" t="s">
        <v>645</v>
      </c>
      <c r="B242">
        <v>7.8</v>
      </c>
      <c r="C242" t="str">
        <f t="shared" si="3"/>
        <v>CITY OF VICTORIA</v>
      </c>
      <c r="D242" t="b">
        <v>0</v>
      </c>
    </row>
    <row r="243" spans="1:4" x14ac:dyDescent="0.25">
      <c r="A243" t="s">
        <v>663</v>
      </c>
      <c r="B243">
        <v>7.73</v>
      </c>
      <c r="C243" t="str">
        <f t="shared" si="3"/>
        <v>UNION CARBIDE CORP</v>
      </c>
      <c r="D243" t="b">
        <v>0</v>
      </c>
    </row>
    <row r="244" spans="1:4" x14ac:dyDescent="0.25">
      <c r="A244" t="s">
        <v>1042</v>
      </c>
      <c r="B244">
        <v>7.7</v>
      </c>
      <c r="C244" t="str">
        <f t="shared" si="3"/>
        <v>AMERICAN CHROME &amp; CHEMICALS LP</v>
      </c>
      <c r="D244" t="b">
        <v>0</v>
      </c>
    </row>
    <row r="245" spans="1:4" x14ac:dyDescent="0.25">
      <c r="A245" t="s">
        <v>1016</v>
      </c>
      <c r="B245">
        <v>7.673</v>
      </c>
      <c r="C245" t="str">
        <f t="shared" si="3"/>
        <v>CITY OF MCALLEN</v>
      </c>
      <c r="D245" t="b">
        <v>0</v>
      </c>
    </row>
    <row r="246" spans="1:4" x14ac:dyDescent="0.25">
      <c r="A246" t="s">
        <v>1666</v>
      </c>
      <c r="B246">
        <v>7.5149999999999997</v>
      </c>
      <c r="C246" t="str">
        <f t="shared" si="3"/>
        <v>CLEAR LAKE CITY WATER AUTHORITY</v>
      </c>
      <c r="D246" t="b">
        <v>0</v>
      </c>
    </row>
    <row r="247" spans="1:4" x14ac:dyDescent="0.25">
      <c r="A247" t="s">
        <v>809</v>
      </c>
      <c r="B247">
        <v>7.5</v>
      </c>
      <c r="C247" t="str">
        <f t="shared" si="3"/>
        <v>UNIMIN CORP</v>
      </c>
      <c r="D247" t="b">
        <v>0</v>
      </c>
    </row>
    <row r="248" spans="1:4" x14ac:dyDescent="0.25">
      <c r="A248" t="s">
        <v>2710</v>
      </c>
      <c r="B248">
        <v>7.4850000000000003</v>
      </c>
      <c r="C248" t="str">
        <f t="shared" si="3"/>
        <v>CITY OF WAXAHACHIE</v>
      </c>
      <c r="D248" t="b">
        <v>0</v>
      </c>
    </row>
    <row r="249" spans="1:4" x14ac:dyDescent="0.25">
      <c r="A249" t="s">
        <v>1743</v>
      </c>
      <c r="B249">
        <v>7.46</v>
      </c>
      <c r="C249" t="str">
        <f t="shared" si="3"/>
        <v>SHELL CHEMICAL LP</v>
      </c>
      <c r="D249" t="b">
        <v>0</v>
      </c>
    </row>
    <row r="250" spans="1:4" x14ac:dyDescent="0.25">
      <c r="A250" t="s">
        <v>118</v>
      </c>
      <c r="B250">
        <v>7.443079</v>
      </c>
      <c r="C250" t="str">
        <f t="shared" si="3"/>
        <v>CITY OF COLLEGE STATION</v>
      </c>
      <c r="D250" t="b">
        <v>0</v>
      </c>
    </row>
    <row r="251" spans="1:4" x14ac:dyDescent="0.25">
      <c r="A251" t="s">
        <v>1511</v>
      </c>
      <c r="B251">
        <v>7.4429999999999996</v>
      </c>
      <c r="C251" t="str">
        <f t="shared" si="3"/>
        <v>CIBOLO CREEK MUNICIPAL AUTHORITY</v>
      </c>
      <c r="D251" t="b">
        <v>0</v>
      </c>
    </row>
    <row r="252" spans="1:4" x14ac:dyDescent="0.25">
      <c r="A252" t="s">
        <v>1557</v>
      </c>
      <c r="B252">
        <v>7.44</v>
      </c>
      <c r="C252" t="str">
        <f t="shared" si="3"/>
        <v>PHILLIPS 66 CO</v>
      </c>
      <c r="D252" t="b">
        <v>0</v>
      </c>
    </row>
    <row r="253" spans="1:4" x14ac:dyDescent="0.25">
      <c r="A253" t="s">
        <v>254</v>
      </c>
      <c r="B253">
        <v>7.2530000000000001</v>
      </c>
      <c r="C253" t="str">
        <f t="shared" si="3"/>
        <v>CITY OF ABILENE</v>
      </c>
      <c r="D253" t="b">
        <v>0</v>
      </c>
    </row>
    <row r="254" spans="1:4" x14ac:dyDescent="0.25">
      <c r="A254" t="s">
        <v>2034</v>
      </c>
      <c r="B254">
        <v>7.2</v>
      </c>
      <c r="C254" t="str">
        <f t="shared" si="3"/>
        <v>EQUISTAR CHEMICALS LP</v>
      </c>
      <c r="D254" t="b">
        <v>0</v>
      </c>
    </row>
    <row r="255" spans="1:4" x14ac:dyDescent="0.25">
      <c r="A255" t="s">
        <v>424</v>
      </c>
      <c r="B255">
        <v>7.2</v>
      </c>
      <c r="C255" t="str">
        <f t="shared" si="3"/>
        <v>FORMOSA PLASTICS CO TEXAS AND FORMOSA UTILITY VENTURE LTD</v>
      </c>
      <c r="D255" t="b">
        <v>0</v>
      </c>
    </row>
    <row r="256" spans="1:4" x14ac:dyDescent="0.25">
      <c r="A256" t="s">
        <v>2226</v>
      </c>
      <c r="B256">
        <v>7</v>
      </c>
      <c r="C256" t="str">
        <f t="shared" si="3"/>
        <v>SOUTH COAST TERMINALS LP</v>
      </c>
      <c r="D256" t="b">
        <v>0</v>
      </c>
    </row>
    <row r="257" spans="1:4" x14ac:dyDescent="0.25">
      <c r="A257" t="s">
        <v>552</v>
      </c>
      <c r="B257">
        <v>7</v>
      </c>
      <c r="C257" t="str">
        <f t="shared" si="3"/>
        <v>CITY OF AUSTIN</v>
      </c>
      <c r="D257" t="b">
        <v>0</v>
      </c>
    </row>
    <row r="258" spans="1:4" x14ac:dyDescent="0.25">
      <c r="A258" t="s">
        <v>1094</v>
      </c>
      <c r="B258">
        <v>7</v>
      </c>
      <c r="C258" t="str">
        <f t="shared" ref="C258:C321" si="4">VLOOKUP(A258,PERMITTEES,2,FALSE)</f>
        <v>EF90 LLC</v>
      </c>
      <c r="D258" t="b">
        <v>0</v>
      </c>
    </row>
    <row r="259" spans="1:4" x14ac:dyDescent="0.25">
      <c r="A259" t="s">
        <v>2579</v>
      </c>
      <c r="B259">
        <v>6.98</v>
      </c>
      <c r="C259" t="str">
        <f t="shared" si="4"/>
        <v>ENTERPRISE PRODUCTS OPERATING LLC</v>
      </c>
      <c r="D259" t="b">
        <v>0</v>
      </c>
    </row>
    <row r="260" spans="1:4" x14ac:dyDescent="0.25">
      <c r="A260" t="s">
        <v>1180</v>
      </c>
      <c r="B260">
        <v>6.97</v>
      </c>
      <c r="C260" t="str">
        <f t="shared" si="4"/>
        <v>CITY OF PARIS</v>
      </c>
      <c r="D260" t="b">
        <v>0</v>
      </c>
    </row>
    <row r="261" spans="1:4" x14ac:dyDescent="0.25">
      <c r="A261" t="s">
        <v>353</v>
      </c>
      <c r="B261">
        <v>6.96</v>
      </c>
      <c r="C261" t="str">
        <f t="shared" si="4"/>
        <v>COVIA HOLDINGS CORP</v>
      </c>
      <c r="D261" t="b">
        <v>0</v>
      </c>
    </row>
    <row r="262" spans="1:4" x14ac:dyDescent="0.25">
      <c r="A262" t="s">
        <v>2565</v>
      </c>
      <c r="B262">
        <v>6.9507519999999996</v>
      </c>
      <c r="C262" t="str">
        <f t="shared" si="4"/>
        <v>COVESTRO LLC</v>
      </c>
      <c r="D262" t="b">
        <v>0</v>
      </c>
    </row>
    <row r="263" spans="1:4" x14ac:dyDescent="0.25">
      <c r="A263" t="s">
        <v>851</v>
      </c>
      <c r="B263">
        <v>6.7937000000000003</v>
      </c>
      <c r="C263" t="str">
        <f t="shared" si="4"/>
        <v>LUCITE INTERNATIONAL INC</v>
      </c>
      <c r="D263" t="b">
        <v>0</v>
      </c>
    </row>
    <row r="264" spans="1:4" x14ac:dyDescent="0.25">
      <c r="A264" t="s">
        <v>788</v>
      </c>
      <c r="B264">
        <v>6.7064000000000004</v>
      </c>
      <c r="C264" t="str">
        <f t="shared" si="4"/>
        <v>CITY OF LUFKIN</v>
      </c>
      <c r="D264" t="b">
        <v>0</v>
      </c>
    </row>
    <row r="265" spans="1:4" x14ac:dyDescent="0.25">
      <c r="A265" t="s">
        <v>1074</v>
      </c>
      <c r="B265">
        <v>6.7</v>
      </c>
      <c r="C265" t="str">
        <f t="shared" si="4"/>
        <v>CITY OF CORPUS CHRISTI</v>
      </c>
      <c r="D265" t="b">
        <v>0</v>
      </c>
    </row>
    <row r="266" spans="1:4" x14ac:dyDescent="0.25">
      <c r="A266" t="s">
        <v>1943</v>
      </c>
      <c r="B266">
        <v>6.6970000000000001</v>
      </c>
      <c r="C266" t="str">
        <f t="shared" si="4"/>
        <v>CITY OF HOUSTON</v>
      </c>
      <c r="D266" t="b">
        <v>0</v>
      </c>
    </row>
    <row r="267" spans="1:4" x14ac:dyDescent="0.25">
      <c r="A267" t="s">
        <v>1944</v>
      </c>
      <c r="B267">
        <v>6.6970000000000001</v>
      </c>
      <c r="C267" t="e">
        <f t="shared" si="4"/>
        <v>#N/A</v>
      </c>
      <c r="D267" t="b">
        <v>0</v>
      </c>
    </row>
    <row r="268" spans="1:4" x14ac:dyDescent="0.25">
      <c r="A268" t="s">
        <v>1941</v>
      </c>
      <c r="B268">
        <v>6.48</v>
      </c>
      <c r="C268" t="str">
        <f t="shared" si="4"/>
        <v>CITY OF HOUSTON</v>
      </c>
      <c r="D268" t="b">
        <v>0</v>
      </c>
    </row>
    <row r="269" spans="1:4" x14ac:dyDescent="0.25">
      <c r="A269" t="s">
        <v>981</v>
      </c>
      <c r="B269">
        <v>6.4390000000000001</v>
      </c>
      <c r="C269" t="str">
        <f t="shared" si="4"/>
        <v>CITY OF HARLINGEN WATERWORKS SYSTEM</v>
      </c>
      <c r="D269" t="b">
        <v>0</v>
      </c>
    </row>
    <row r="270" spans="1:4" x14ac:dyDescent="0.25">
      <c r="A270" t="s">
        <v>1888</v>
      </c>
      <c r="B270">
        <v>6.4089999999999998</v>
      </c>
      <c r="C270" t="str">
        <f t="shared" si="4"/>
        <v>CITY OF HOUSTON</v>
      </c>
      <c r="D270" t="b">
        <v>0</v>
      </c>
    </row>
    <row r="271" spans="1:4" x14ac:dyDescent="0.25">
      <c r="A271" t="s">
        <v>1973</v>
      </c>
      <c r="B271">
        <v>6.3819999999999997</v>
      </c>
      <c r="C271" t="str">
        <f t="shared" si="4"/>
        <v>GULF COAST AUTHORITY</v>
      </c>
      <c r="D271" t="b">
        <v>0</v>
      </c>
    </row>
    <row r="272" spans="1:4" x14ac:dyDescent="0.25">
      <c r="A272" t="s">
        <v>278</v>
      </c>
      <c r="B272">
        <v>6.27</v>
      </c>
      <c r="C272" t="e">
        <f t="shared" si="4"/>
        <v>#N/A</v>
      </c>
      <c r="D272" t="b">
        <v>0</v>
      </c>
    </row>
    <row r="273" spans="1:4" x14ac:dyDescent="0.25">
      <c r="A273" t="s">
        <v>2233</v>
      </c>
      <c r="B273">
        <v>6.27</v>
      </c>
      <c r="C273" t="str">
        <f t="shared" si="4"/>
        <v>PHILLIPS 66 PIPELINE LLC AND PHILLIPS 66 CARRIER LLC</v>
      </c>
      <c r="D273" t="b">
        <v>0</v>
      </c>
    </row>
    <row r="274" spans="1:4" x14ac:dyDescent="0.25">
      <c r="A274" t="s">
        <v>1377</v>
      </c>
      <c r="B274">
        <v>6.266</v>
      </c>
      <c r="C274" t="str">
        <f t="shared" si="4"/>
        <v>CITY OF ORANGE</v>
      </c>
      <c r="D274" t="b">
        <v>0</v>
      </c>
    </row>
    <row r="275" spans="1:4" x14ac:dyDescent="0.25">
      <c r="A275" t="s">
        <v>949</v>
      </c>
      <c r="B275">
        <v>6.22</v>
      </c>
      <c r="C275" t="str">
        <f t="shared" si="4"/>
        <v>DELEK REFINING LTD</v>
      </c>
      <c r="D275" t="b">
        <v>0</v>
      </c>
    </row>
    <row r="276" spans="1:4" x14ac:dyDescent="0.25">
      <c r="A276" t="s">
        <v>1747</v>
      </c>
      <c r="B276">
        <v>6.22</v>
      </c>
      <c r="C276" t="str">
        <f t="shared" si="4"/>
        <v>SHELL OIL CO</v>
      </c>
      <c r="D276" t="b">
        <v>0</v>
      </c>
    </row>
    <row r="277" spans="1:4" x14ac:dyDescent="0.25">
      <c r="A277" t="s">
        <v>1729</v>
      </c>
      <c r="B277">
        <v>6.2</v>
      </c>
      <c r="C277" t="str">
        <f t="shared" si="4"/>
        <v>EQUISTAR CHEMICALS LP</v>
      </c>
      <c r="D277" t="b">
        <v>0</v>
      </c>
    </row>
    <row r="278" spans="1:4" x14ac:dyDescent="0.25">
      <c r="A278" t="s">
        <v>633</v>
      </c>
      <c r="B278">
        <v>6.18</v>
      </c>
      <c r="C278" t="str">
        <f t="shared" si="4"/>
        <v>CITY OF SAN MARCOS</v>
      </c>
      <c r="D278" t="b">
        <v>0</v>
      </c>
    </row>
    <row r="279" spans="1:4" x14ac:dyDescent="0.25">
      <c r="A279" t="s">
        <v>2673</v>
      </c>
      <c r="B279">
        <v>6.1660000000000004</v>
      </c>
      <c r="C279" t="str">
        <f t="shared" si="4"/>
        <v>TRINITY RIVER AUTHORITY OF TEXAS</v>
      </c>
      <c r="D279" t="b">
        <v>0</v>
      </c>
    </row>
    <row r="280" spans="1:4" x14ac:dyDescent="0.25">
      <c r="A280" t="s">
        <v>276</v>
      </c>
      <c r="B280">
        <v>6.15</v>
      </c>
      <c r="C280" t="str">
        <f t="shared" si="4"/>
        <v>CITY OF LUBBOCK</v>
      </c>
      <c r="D280" t="b">
        <v>0</v>
      </c>
    </row>
    <row r="281" spans="1:4" x14ac:dyDescent="0.25">
      <c r="A281" t="s">
        <v>777</v>
      </c>
      <c r="B281">
        <v>6.1360000000000001</v>
      </c>
      <c r="C281" t="str">
        <f t="shared" si="4"/>
        <v>CITY OF GROVES</v>
      </c>
      <c r="D281" t="b">
        <v>0</v>
      </c>
    </row>
    <row r="282" spans="1:4" x14ac:dyDescent="0.25">
      <c r="A282" t="s">
        <v>2728</v>
      </c>
      <c r="B282">
        <v>6.13</v>
      </c>
      <c r="C282" t="e">
        <f t="shared" si="4"/>
        <v>#N/A</v>
      </c>
      <c r="D282" t="b">
        <v>0</v>
      </c>
    </row>
    <row r="283" spans="1:4" x14ac:dyDescent="0.25">
      <c r="A283" t="s">
        <v>2363</v>
      </c>
      <c r="B283">
        <v>6.1</v>
      </c>
      <c r="C283" t="str">
        <f t="shared" si="4"/>
        <v>CITY OF PASADENA</v>
      </c>
      <c r="D283" t="b">
        <v>0</v>
      </c>
    </row>
    <row r="284" spans="1:4" x14ac:dyDescent="0.25">
      <c r="A284" t="s">
        <v>530</v>
      </c>
      <c r="B284">
        <v>6.07</v>
      </c>
      <c r="C284" t="str">
        <f t="shared" si="4"/>
        <v>CITY OF ODESSA</v>
      </c>
      <c r="D284" t="b">
        <v>0</v>
      </c>
    </row>
    <row r="285" spans="1:4" x14ac:dyDescent="0.25">
      <c r="A285" t="s">
        <v>1493</v>
      </c>
      <c r="B285">
        <v>6.048</v>
      </c>
      <c r="C285" t="str">
        <f t="shared" si="4"/>
        <v>SAN ANTONIO RIVER AUTHORITY</v>
      </c>
      <c r="D285" t="b">
        <v>0</v>
      </c>
    </row>
    <row r="286" spans="1:4" x14ac:dyDescent="0.25">
      <c r="A286" t="s">
        <v>1549</v>
      </c>
      <c r="B286">
        <v>6.03</v>
      </c>
      <c r="C286" t="str">
        <f t="shared" si="4"/>
        <v>INEOS USA LLC</v>
      </c>
      <c r="D286" t="b">
        <v>0</v>
      </c>
    </row>
    <row r="287" spans="1:4" x14ac:dyDescent="0.25">
      <c r="A287" t="s">
        <v>542</v>
      </c>
      <c r="B287">
        <v>6.03</v>
      </c>
      <c r="C287" t="str">
        <f t="shared" si="4"/>
        <v>CITY OF PFLUGERVILLE</v>
      </c>
      <c r="D287" t="b">
        <v>0</v>
      </c>
    </row>
    <row r="288" spans="1:4" x14ac:dyDescent="0.25">
      <c r="A288" t="s">
        <v>2680</v>
      </c>
      <c r="B288">
        <v>6.0170000000000003</v>
      </c>
      <c r="C288" t="str">
        <f t="shared" si="4"/>
        <v>TOWN OF FLOWER MOUND</v>
      </c>
      <c r="D288" t="b">
        <v>0</v>
      </c>
    </row>
    <row r="289" spans="1:4" x14ac:dyDescent="0.25">
      <c r="A289" t="s">
        <v>752</v>
      </c>
      <c r="B289">
        <v>6</v>
      </c>
      <c r="C289" t="str">
        <f t="shared" si="4"/>
        <v>MOTIVA ENTP, FLINT HILLS RES PORT ARTHUR, AFTON CHEM ADDITIVES CORP</v>
      </c>
      <c r="D289" t="b">
        <v>0</v>
      </c>
    </row>
    <row r="290" spans="1:4" x14ac:dyDescent="0.25">
      <c r="A290" t="s">
        <v>1781</v>
      </c>
      <c r="B290">
        <v>6</v>
      </c>
      <c r="C290" t="str">
        <f t="shared" si="4"/>
        <v>ROHM AND HAAS TEXAS INC</v>
      </c>
      <c r="D290" t="b">
        <v>0</v>
      </c>
    </row>
    <row r="291" spans="1:4" x14ac:dyDescent="0.25">
      <c r="A291" t="s">
        <v>765</v>
      </c>
      <c r="B291">
        <v>6</v>
      </c>
      <c r="C291" t="str">
        <f t="shared" si="4"/>
        <v>CITY OF PORT ARTHUR</v>
      </c>
      <c r="D291" t="b">
        <v>0</v>
      </c>
    </row>
    <row r="292" spans="1:4" x14ac:dyDescent="0.25">
      <c r="A292" t="s">
        <v>430</v>
      </c>
      <c r="B292">
        <v>6</v>
      </c>
      <c r="C292" t="str">
        <f t="shared" si="4"/>
        <v>FORMOSA PLASTICS CO TEXAS AND FORMOSA UTILITY VENTURE LTD</v>
      </c>
      <c r="D292" t="b">
        <v>0</v>
      </c>
    </row>
    <row r="293" spans="1:4" x14ac:dyDescent="0.25">
      <c r="A293" t="s">
        <v>2611</v>
      </c>
      <c r="B293">
        <v>5.9919000000000002</v>
      </c>
      <c r="C293" t="str">
        <f t="shared" si="4"/>
        <v>CITY OF BAYTOWN</v>
      </c>
      <c r="D293" t="b">
        <v>0</v>
      </c>
    </row>
    <row r="294" spans="1:4" x14ac:dyDescent="0.25">
      <c r="A294" t="s">
        <v>1667</v>
      </c>
      <c r="B294">
        <v>5.98</v>
      </c>
      <c r="C294" t="str">
        <f t="shared" si="4"/>
        <v>CITY OF LA PORTE</v>
      </c>
      <c r="D294" t="b">
        <v>0</v>
      </c>
    </row>
    <row r="295" spans="1:4" x14ac:dyDescent="0.25">
      <c r="A295" t="s">
        <v>1280</v>
      </c>
      <c r="B295">
        <v>5.9</v>
      </c>
      <c r="C295" t="str">
        <f t="shared" si="4"/>
        <v>EASTMAN CHEMICAL CO</v>
      </c>
      <c r="D295" t="b">
        <v>0</v>
      </c>
    </row>
    <row r="296" spans="1:4" x14ac:dyDescent="0.25">
      <c r="A296" t="s">
        <v>1328</v>
      </c>
      <c r="B296">
        <v>5.9</v>
      </c>
      <c r="C296" t="e">
        <f t="shared" si="4"/>
        <v>#N/A</v>
      </c>
      <c r="D296" t="b">
        <v>0</v>
      </c>
    </row>
    <row r="297" spans="1:4" x14ac:dyDescent="0.25">
      <c r="A297" t="s">
        <v>1007</v>
      </c>
      <c r="B297">
        <v>5.8109999999999999</v>
      </c>
      <c r="C297" t="str">
        <f t="shared" si="4"/>
        <v>CITY OF MCALLEN</v>
      </c>
      <c r="D297" t="b">
        <v>0</v>
      </c>
    </row>
    <row r="298" spans="1:4" x14ac:dyDescent="0.25">
      <c r="A298" t="s">
        <v>2679</v>
      </c>
      <c r="B298">
        <v>5.81</v>
      </c>
      <c r="C298" t="str">
        <f t="shared" si="4"/>
        <v>UPPER TRINITY REGIONAL WATER DISTRICT</v>
      </c>
      <c r="D298" t="b">
        <v>0</v>
      </c>
    </row>
    <row r="299" spans="1:4" x14ac:dyDescent="0.25">
      <c r="A299" t="s">
        <v>1073</v>
      </c>
      <c r="B299">
        <v>5.8</v>
      </c>
      <c r="C299" t="str">
        <f t="shared" si="4"/>
        <v>CITY OF CORPUS CHRISTI</v>
      </c>
      <c r="D299" t="b">
        <v>0</v>
      </c>
    </row>
    <row r="300" spans="1:4" x14ac:dyDescent="0.25">
      <c r="A300" t="s">
        <v>1610</v>
      </c>
      <c r="B300">
        <v>5.7374999999999998</v>
      </c>
      <c r="C300" t="str">
        <f t="shared" si="4"/>
        <v>BP AMOCO CHEMCIAL CO</v>
      </c>
      <c r="D300" t="b">
        <v>0</v>
      </c>
    </row>
    <row r="301" spans="1:4" x14ac:dyDescent="0.25">
      <c r="A301" t="s">
        <v>1054</v>
      </c>
      <c r="B301">
        <v>5.73</v>
      </c>
      <c r="C301" t="str">
        <f t="shared" si="4"/>
        <v>FLINT HILLS RESOURCES CORPUS CHRISTI LLC</v>
      </c>
      <c r="D301" t="b">
        <v>0</v>
      </c>
    </row>
    <row r="302" spans="1:4" x14ac:dyDescent="0.25">
      <c r="A302" t="s">
        <v>282</v>
      </c>
      <c r="B302">
        <v>5.71</v>
      </c>
      <c r="C302" t="str">
        <f t="shared" si="4"/>
        <v>CITY OF LUBBOCK</v>
      </c>
      <c r="D302" t="b">
        <v>0</v>
      </c>
    </row>
    <row r="303" spans="1:4" x14ac:dyDescent="0.25">
      <c r="A303" t="s">
        <v>1536</v>
      </c>
      <c r="B303">
        <v>5.66</v>
      </c>
      <c r="C303" t="str">
        <f t="shared" si="4"/>
        <v>ASCEND PERFORMANCE MATERIALS TEXAS INC</v>
      </c>
      <c r="D303" t="b">
        <v>0</v>
      </c>
    </row>
    <row r="304" spans="1:4" x14ac:dyDescent="0.25">
      <c r="A304" t="s">
        <v>2373</v>
      </c>
      <c r="B304">
        <v>5.6509999999999998</v>
      </c>
      <c r="C304" t="str">
        <f t="shared" si="4"/>
        <v>INTERCONTINENTAL TERMINALS CO LLC</v>
      </c>
      <c r="D304" t="b">
        <v>0</v>
      </c>
    </row>
    <row r="305" spans="1:4" x14ac:dyDescent="0.25">
      <c r="A305" t="s">
        <v>1547</v>
      </c>
      <c r="B305">
        <v>5.6</v>
      </c>
      <c r="C305" t="str">
        <f t="shared" si="4"/>
        <v>INEOS USA LLC</v>
      </c>
      <c r="D305" t="b">
        <v>0</v>
      </c>
    </row>
    <row r="306" spans="1:4" x14ac:dyDescent="0.25">
      <c r="A306" t="s">
        <v>114</v>
      </c>
      <c r="B306">
        <v>5.6</v>
      </c>
      <c r="C306" t="str">
        <f t="shared" si="4"/>
        <v>CITY OF BRYAN</v>
      </c>
      <c r="D306" t="b">
        <v>0</v>
      </c>
    </row>
    <row r="307" spans="1:4" x14ac:dyDescent="0.25">
      <c r="A307" t="s">
        <v>1296</v>
      </c>
      <c r="B307">
        <v>5.6</v>
      </c>
      <c r="C307" t="e">
        <f t="shared" si="4"/>
        <v>#N/A</v>
      </c>
      <c r="D307" t="b">
        <v>0</v>
      </c>
    </row>
    <row r="308" spans="1:4" x14ac:dyDescent="0.25">
      <c r="A308" t="s">
        <v>1320</v>
      </c>
      <c r="B308">
        <v>5.6</v>
      </c>
      <c r="C308" t="e">
        <f t="shared" si="4"/>
        <v>#N/A</v>
      </c>
      <c r="D308" t="b">
        <v>0</v>
      </c>
    </row>
    <row r="309" spans="1:4" x14ac:dyDescent="0.25">
      <c r="A309" t="s">
        <v>750</v>
      </c>
      <c r="B309">
        <v>5.5590000000000002</v>
      </c>
      <c r="C309" t="str">
        <f t="shared" si="4"/>
        <v>MOTIVA ENTP, FLINT HILLS RES PORT ARTHUR, AFTON CHEM ADDITIVES CORP</v>
      </c>
      <c r="D309" t="b">
        <v>0</v>
      </c>
    </row>
    <row r="310" spans="1:4" x14ac:dyDescent="0.25">
      <c r="A310" t="s">
        <v>845</v>
      </c>
      <c r="B310">
        <v>5.5350000000000001</v>
      </c>
      <c r="C310" t="str">
        <f t="shared" si="4"/>
        <v>TOTAL PETROCHEMICALS &amp; REFINING USA INC</v>
      </c>
      <c r="D310" t="b">
        <v>0</v>
      </c>
    </row>
    <row r="311" spans="1:4" x14ac:dyDescent="0.25">
      <c r="A311" t="s">
        <v>407</v>
      </c>
      <c r="B311">
        <v>5.5309999999999997</v>
      </c>
      <c r="C311" t="str">
        <f t="shared" si="4"/>
        <v>CITY OF AMARILLO</v>
      </c>
      <c r="D311" t="b">
        <v>0</v>
      </c>
    </row>
    <row r="312" spans="1:4" x14ac:dyDescent="0.25">
      <c r="A312" t="s">
        <v>399</v>
      </c>
      <c r="B312">
        <v>5.4909999999999997</v>
      </c>
      <c r="C312" t="str">
        <f t="shared" si="4"/>
        <v>WRB REFINING LLC AND CONOCO PHILLIPS CO</v>
      </c>
      <c r="D312" t="b">
        <v>0</v>
      </c>
    </row>
    <row r="313" spans="1:4" x14ac:dyDescent="0.25">
      <c r="A313" t="s">
        <v>2610</v>
      </c>
      <c r="B313">
        <v>5.4288999999999996</v>
      </c>
      <c r="C313" t="str">
        <f t="shared" si="4"/>
        <v>CITY OF BAYTOWN</v>
      </c>
      <c r="D313" t="b">
        <v>0</v>
      </c>
    </row>
    <row r="314" spans="1:4" x14ac:dyDescent="0.25">
      <c r="A314" t="s">
        <v>1226</v>
      </c>
      <c r="B314">
        <v>5.4089999999999998</v>
      </c>
      <c r="C314" t="e">
        <f t="shared" si="4"/>
        <v>#N/A</v>
      </c>
      <c r="D314" t="b">
        <v>0</v>
      </c>
    </row>
    <row r="315" spans="1:4" x14ac:dyDescent="0.25">
      <c r="A315" t="s">
        <v>1049</v>
      </c>
      <c r="B315">
        <v>5.4</v>
      </c>
      <c r="C315" t="str">
        <f t="shared" si="4"/>
        <v>CITGO REFINING AND CHEMICALS CO LP</v>
      </c>
      <c r="D315" t="b">
        <v>0</v>
      </c>
    </row>
    <row r="316" spans="1:4" x14ac:dyDescent="0.25">
      <c r="A316" t="s">
        <v>1050</v>
      </c>
      <c r="B316">
        <v>5.4</v>
      </c>
      <c r="C316" t="str">
        <f t="shared" si="4"/>
        <v>CITGO REFINING AND CHEMICALS CO LP</v>
      </c>
      <c r="D316" t="b">
        <v>0</v>
      </c>
    </row>
    <row r="317" spans="1:4" x14ac:dyDescent="0.25">
      <c r="A317" t="s">
        <v>1887</v>
      </c>
      <c r="B317">
        <v>5.3869999999999996</v>
      </c>
      <c r="C317" t="str">
        <f t="shared" si="4"/>
        <v>CITY OF HOUSTON</v>
      </c>
      <c r="D317" t="b">
        <v>0</v>
      </c>
    </row>
    <row r="318" spans="1:4" x14ac:dyDescent="0.25">
      <c r="A318" t="s">
        <v>1789</v>
      </c>
      <c r="B318">
        <v>5.3390000000000004</v>
      </c>
      <c r="C318" t="str">
        <f t="shared" si="4"/>
        <v>NRG TEXAS POWER LLC</v>
      </c>
      <c r="D318" t="b">
        <v>0</v>
      </c>
    </row>
    <row r="319" spans="1:4" x14ac:dyDescent="0.25">
      <c r="A319" t="s">
        <v>1946</v>
      </c>
      <c r="B319">
        <v>5.3330000000000002</v>
      </c>
      <c r="C319" t="str">
        <f t="shared" si="4"/>
        <v>CITY OF HOUSTON</v>
      </c>
      <c r="D319" t="b">
        <v>0</v>
      </c>
    </row>
    <row r="320" spans="1:4" x14ac:dyDescent="0.25">
      <c r="A320" t="s">
        <v>1663</v>
      </c>
      <c r="B320">
        <v>5.31</v>
      </c>
      <c r="C320" t="str">
        <f t="shared" si="4"/>
        <v>E I DUPONT DE NEMOURS AND CO</v>
      </c>
      <c r="D320" t="b">
        <v>0</v>
      </c>
    </row>
    <row r="321" spans="1:4" x14ac:dyDescent="0.25">
      <c r="A321" t="s">
        <v>1170</v>
      </c>
      <c r="B321">
        <v>5.31</v>
      </c>
      <c r="C321" t="str">
        <f t="shared" si="4"/>
        <v>CITY OF DENISON</v>
      </c>
      <c r="D321" t="b">
        <v>0</v>
      </c>
    </row>
    <row r="322" spans="1:4" x14ac:dyDescent="0.25">
      <c r="A322" t="s">
        <v>1343</v>
      </c>
      <c r="B322">
        <v>5.3029999999999999</v>
      </c>
      <c r="C322" t="str">
        <f t="shared" ref="C322:C385" si="5">VLOOKUP(A322,PERMITTEES,2,FALSE)</f>
        <v>CITY OF GREENVILLE</v>
      </c>
      <c r="D322" t="b">
        <v>0</v>
      </c>
    </row>
    <row r="323" spans="1:4" x14ac:dyDescent="0.25">
      <c r="A323" t="s">
        <v>1014</v>
      </c>
      <c r="B323">
        <v>5.3</v>
      </c>
      <c r="C323" t="str">
        <f t="shared" si="5"/>
        <v>CITY OF PHARR</v>
      </c>
      <c r="D323" t="b">
        <v>0</v>
      </c>
    </row>
    <row r="324" spans="1:4" x14ac:dyDescent="0.25">
      <c r="A324" t="s">
        <v>2864</v>
      </c>
      <c r="B324">
        <v>5.3</v>
      </c>
      <c r="C324" t="str">
        <f t="shared" si="5"/>
        <v>NORTH TEXAS MUNICIPAL WATER DISTRICT</v>
      </c>
      <c r="D324" t="b">
        <v>0</v>
      </c>
    </row>
    <row r="325" spans="1:4" x14ac:dyDescent="0.25">
      <c r="A325" t="s">
        <v>2859</v>
      </c>
      <c r="B325">
        <v>5.29</v>
      </c>
      <c r="C325" t="str">
        <f t="shared" si="5"/>
        <v>NORTH TEXAS MUNICIPAL WATER DISTRICT</v>
      </c>
      <c r="D325" t="b">
        <v>0</v>
      </c>
    </row>
    <row r="326" spans="1:4" x14ac:dyDescent="0.25">
      <c r="A326" t="s">
        <v>1338</v>
      </c>
      <c r="B326">
        <v>5.22</v>
      </c>
      <c r="C326" t="str">
        <f t="shared" si="5"/>
        <v>MARSHALL MINE LLC</v>
      </c>
      <c r="D326" t="b">
        <v>0</v>
      </c>
    </row>
    <row r="327" spans="1:4" x14ac:dyDescent="0.25">
      <c r="A327" t="s">
        <v>1856</v>
      </c>
      <c r="B327">
        <v>5.1280000000000001</v>
      </c>
      <c r="C327" t="str">
        <f t="shared" si="5"/>
        <v>CITY OF DEER PARK</v>
      </c>
      <c r="D327" t="b">
        <v>0</v>
      </c>
    </row>
    <row r="328" spans="1:4" x14ac:dyDescent="0.25">
      <c r="A328" t="s">
        <v>1237</v>
      </c>
      <c r="B328">
        <v>5.04</v>
      </c>
      <c r="C328" t="e">
        <f t="shared" si="5"/>
        <v>#N/A</v>
      </c>
      <c r="D328" t="b">
        <v>0</v>
      </c>
    </row>
    <row r="329" spans="1:4" x14ac:dyDescent="0.25">
      <c r="A329" t="s">
        <v>1330</v>
      </c>
      <c r="B329">
        <v>5</v>
      </c>
      <c r="C329" t="e">
        <f t="shared" si="5"/>
        <v>#N/A</v>
      </c>
      <c r="D329" t="b">
        <v>0</v>
      </c>
    </row>
    <row r="330" spans="1:4" x14ac:dyDescent="0.25">
      <c r="A330" t="s">
        <v>447</v>
      </c>
      <c r="B330">
        <v>4.99</v>
      </c>
      <c r="C330" t="str">
        <f t="shared" si="5"/>
        <v>REED LAMAR BOWERS</v>
      </c>
      <c r="D330" t="b">
        <v>0</v>
      </c>
    </row>
    <row r="331" spans="1:4" x14ac:dyDescent="0.25">
      <c r="A331" t="s">
        <v>1331</v>
      </c>
      <c r="B331">
        <v>4.9000000000000004</v>
      </c>
      <c r="C331" t="e">
        <f t="shared" si="5"/>
        <v>#N/A</v>
      </c>
      <c r="D331" t="b">
        <v>0</v>
      </c>
    </row>
    <row r="332" spans="1:4" x14ac:dyDescent="0.25">
      <c r="A332" t="s">
        <v>2614</v>
      </c>
      <c r="B332">
        <v>4.8956</v>
      </c>
      <c r="C332" t="str">
        <f t="shared" si="5"/>
        <v>CITY OF BAYTOWN</v>
      </c>
      <c r="D332" t="b">
        <v>0</v>
      </c>
    </row>
    <row r="333" spans="1:4" x14ac:dyDescent="0.25">
      <c r="A333" t="s">
        <v>763</v>
      </c>
      <c r="B333">
        <v>4.8659999999999997</v>
      </c>
      <c r="C333" t="str">
        <f t="shared" si="5"/>
        <v>CITY OF NEDERLAND</v>
      </c>
      <c r="D333" t="b">
        <v>0</v>
      </c>
    </row>
    <row r="334" spans="1:4" x14ac:dyDescent="0.25">
      <c r="A334" t="s">
        <v>1563</v>
      </c>
      <c r="B334">
        <v>4.8620000000000001</v>
      </c>
      <c r="C334" t="str">
        <f t="shared" si="5"/>
        <v>CITY OF CLUTE</v>
      </c>
      <c r="D334" t="b">
        <v>0</v>
      </c>
    </row>
    <row r="335" spans="1:4" x14ac:dyDescent="0.25">
      <c r="A335" t="s">
        <v>1854</v>
      </c>
      <c r="B335">
        <v>4.8600000000000003</v>
      </c>
      <c r="C335" t="str">
        <f t="shared" si="5"/>
        <v>HARRIS COUNTY FWSD 51</v>
      </c>
      <c r="D335" t="b">
        <v>0</v>
      </c>
    </row>
    <row r="336" spans="1:4" x14ac:dyDescent="0.25">
      <c r="A336" t="s">
        <v>1931</v>
      </c>
      <c r="B336">
        <v>4.82</v>
      </c>
      <c r="C336" t="str">
        <f t="shared" si="5"/>
        <v>HARRIS COUNTY MUD NO 109</v>
      </c>
      <c r="D336" t="b">
        <v>0</v>
      </c>
    </row>
    <row r="337" spans="1:4" x14ac:dyDescent="0.25">
      <c r="A337" t="s">
        <v>1080</v>
      </c>
      <c r="B337">
        <v>4.8159999999999998</v>
      </c>
      <c r="C337" t="str">
        <f t="shared" si="5"/>
        <v>MAGELLAN TERMINALS HOLDINGS LP, MAGELLAN PROCESSING LP</v>
      </c>
      <c r="D337" t="b">
        <v>0</v>
      </c>
    </row>
    <row r="338" spans="1:4" x14ac:dyDescent="0.25">
      <c r="A338" t="s">
        <v>1774</v>
      </c>
      <c r="B338">
        <v>4.8</v>
      </c>
      <c r="C338" t="str">
        <f t="shared" si="5"/>
        <v>VALERO REFINING TEXAS LP</v>
      </c>
      <c r="D338" t="b">
        <v>0</v>
      </c>
    </row>
    <row r="339" spans="1:4" x14ac:dyDescent="0.25">
      <c r="A339" t="s">
        <v>265</v>
      </c>
      <c r="B339">
        <v>4.8</v>
      </c>
      <c r="C339" t="e">
        <f t="shared" si="5"/>
        <v>#N/A</v>
      </c>
      <c r="D339" t="b">
        <v>0</v>
      </c>
    </row>
    <row r="340" spans="1:4" x14ac:dyDescent="0.25">
      <c r="A340" t="s">
        <v>1308</v>
      </c>
      <c r="B340">
        <v>4.8</v>
      </c>
      <c r="C340" t="e">
        <f t="shared" si="5"/>
        <v>#N/A</v>
      </c>
      <c r="D340" t="b">
        <v>0</v>
      </c>
    </row>
    <row r="341" spans="1:4" x14ac:dyDescent="0.25">
      <c r="A341" t="s">
        <v>1629</v>
      </c>
      <c r="B341">
        <v>4.7949999999999999</v>
      </c>
      <c r="C341" t="str">
        <f t="shared" si="5"/>
        <v>CITY OF GALVESTON</v>
      </c>
      <c r="D341" t="b">
        <v>0</v>
      </c>
    </row>
    <row r="342" spans="1:4" x14ac:dyDescent="0.25">
      <c r="A342" t="s">
        <v>2037</v>
      </c>
      <c r="B342">
        <v>4.7683</v>
      </c>
      <c r="C342" t="str">
        <f t="shared" si="5"/>
        <v>CEMEX CONSTRUCTION MATERIALS SOUTH LLC</v>
      </c>
      <c r="D342" t="b">
        <v>0</v>
      </c>
    </row>
    <row r="343" spans="1:4" x14ac:dyDescent="0.25">
      <c r="A343" t="s">
        <v>1626</v>
      </c>
      <c r="B343">
        <v>4.7652340000000004</v>
      </c>
      <c r="C343" t="str">
        <f t="shared" si="5"/>
        <v>GALVESTON COUNTY WCID NO 1</v>
      </c>
      <c r="D343" t="b">
        <v>0</v>
      </c>
    </row>
    <row r="344" spans="1:4" x14ac:dyDescent="0.25">
      <c r="A344" t="s">
        <v>1775</v>
      </c>
      <c r="B344">
        <v>4.76</v>
      </c>
      <c r="C344" t="str">
        <f t="shared" si="5"/>
        <v>VALERO REFINING TEXAS LP</v>
      </c>
      <c r="D344" t="b">
        <v>0</v>
      </c>
    </row>
    <row r="345" spans="1:4" x14ac:dyDescent="0.25">
      <c r="A345" t="s">
        <v>168</v>
      </c>
      <c r="B345">
        <v>4.76</v>
      </c>
      <c r="C345" t="str">
        <f t="shared" si="5"/>
        <v>CITY OF SUGAR LAND</v>
      </c>
      <c r="D345" t="b">
        <v>0</v>
      </c>
    </row>
    <row r="346" spans="1:4" x14ac:dyDescent="0.25">
      <c r="A346" t="s">
        <v>1730</v>
      </c>
      <c r="B346">
        <v>4.7</v>
      </c>
      <c r="C346" t="str">
        <f t="shared" si="5"/>
        <v>EQUISTAR CHEMICALS LP</v>
      </c>
      <c r="D346" t="b">
        <v>0</v>
      </c>
    </row>
    <row r="347" spans="1:4" x14ac:dyDescent="0.25">
      <c r="A347" t="s">
        <v>177</v>
      </c>
      <c r="B347">
        <v>4.7</v>
      </c>
      <c r="C347" t="str">
        <f t="shared" si="5"/>
        <v>CITY OF SUGAR LAND</v>
      </c>
      <c r="D347" t="b">
        <v>0</v>
      </c>
    </row>
    <row r="348" spans="1:4" x14ac:dyDescent="0.25">
      <c r="A348" t="s">
        <v>889</v>
      </c>
      <c r="B348">
        <v>4.6900000000000004</v>
      </c>
      <c r="C348" t="str">
        <f t="shared" si="5"/>
        <v>EXXONMOBIL OIL CORP</v>
      </c>
      <c r="D348" t="b">
        <v>0</v>
      </c>
    </row>
    <row r="349" spans="1:4" x14ac:dyDescent="0.25">
      <c r="A349" t="s">
        <v>279</v>
      </c>
      <c r="B349">
        <v>4.66</v>
      </c>
      <c r="C349" t="e">
        <f t="shared" si="5"/>
        <v>#N/A</v>
      </c>
      <c r="D349" t="b">
        <v>0</v>
      </c>
    </row>
    <row r="350" spans="1:4" x14ac:dyDescent="0.25">
      <c r="A350" t="s">
        <v>1367</v>
      </c>
      <c r="B350">
        <v>4.6500000000000004</v>
      </c>
      <c r="C350" t="str">
        <f t="shared" si="5"/>
        <v>LANXESS CORP</v>
      </c>
      <c r="D350" t="b">
        <v>0</v>
      </c>
    </row>
    <row r="351" spans="1:4" x14ac:dyDescent="0.25">
      <c r="A351" t="s">
        <v>1746</v>
      </c>
      <c r="B351">
        <v>4.6500000000000004</v>
      </c>
      <c r="C351" t="str">
        <f t="shared" si="5"/>
        <v>SHELL OIL CO</v>
      </c>
      <c r="D351" t="b">
        <v>0</v>
      </c>
    </row>
    <row r="352" spans="1:4" x14ac:dyDescent="0.25">
      <c r="A352" t="s">
        <v>68</v>
      </c>
      <c r="B352">
        <v>4.6500000000000004</v>
      </c>
      <c r="C352" t="str">
        <f t="shared" si="5"/>
        <v>BELL COUNTY WCID NO 1</v>
      </c>
      <c r="D352" t="b">
        <v>0</v>
      </c>
    </row>
    <row r="353" spans="1:4" x14ac:dyDescent="0.25">
      <c r="A353" t="s">
        <v>805</v>
      </c>
      <c r="B353">
        <v>4.6050000000000004</v>
      </c>
      <c r="C353" t="str">
        <f t="shared" si="5"/>
        <v>CITY OF JACKSONVILLE</v>
      </c>
      <c r="D353" t="b">
        <v>0</v>
      </c>
    </row>
    <row r="354" spans="1:4" x14ac:dyDescent="0.25">
      <c r="A354" t="s">
        <v>1559</v>
      </c>
      <c r="B354">
        <v>4.601</v>
      </c>
      <c r="C354" t="str">
        <f t="shared" si="5"/>
        <v>CITY OF ALVIN</v>
      </c>
      <c r="D354" t="b">
        <v>0</v>
      </c>
    </row>
    <row r="355" spans="1:4" x14ac:dyDescent="0.25">
      <c r="A355" t="s">
        <v>1292</v>
      </c>
      <c r="B355">
        <v>4.5999999999999996</v>
      </c>
      <c r="C355" t="e">
        <f t="shared" si="5"/>
        <v>#N/A</v>
      </c>
      <c r="D355" t="b">
        <v>0</v>
      </c>
    </row>
    <row r="356" spans="1:4" x14ac:dyDescent="0.25">
      <c r="A356" t="s">
        <v>1826</v>
      </c>
      <c r="B356">
        <v>4.59</v>
      </c>
      <c r="C356" t="str">
        <f t="shared" si="5"/>
        <v>GREENSPORT SHIP CHANNEL PARTNERS LP</v>
      </c>
      <c r="D356" t="b">
        <v>0</v>
      </c>
    </row>
    <row r="357" spans="1:4" x14ac:dyDescent="0.25">
      <c r="A357" t="s">
        <v>164</v>
      </c>
      <c r="B357">
        <v>4.59</v>
      </c>
      <c r="C357" t="str">
        <f t="shared" si="5"/>
        <v>FORT BEND COUNTY WCID NO 2</v>
      </c>
      <c r="D357" t="b">
        <v>0</v>
      </c>
    </row>
    <row r="358" spans="1:4" x14ac:dyDescent="0.25">
      <c r="A358" t="s">
        <v>88</v>
      </c>
      <c r="B358">
        <v>4.5890000000000004</v>
      </c>
      <c r="C358" t="str">
        <f t="shared" si="5"/>
        <v>BASF CORP</v>
      </c>
      <c r="D358" t="b">
        <v>0</v>
      </c>
    </row>
    <row r="359" spans="1:4" x14ac:dyDescent="0.25">
      <c r="A359" t="s">
        <v>2214</v>
      </c>
      <c r="B359">
        <v>4.5679999999999996</v>
      </c>
      <c r="C359" t="str">
        <f t="shared" si="5"/>
        <v>CITY OF HOUSTON</v>
      </c>
      <c r="D359" t="b">
        <v>0</v>
      </c>
    </row>
    <row r="360" spans="1:4" x14ac:dyDescent="0.25">
      <c r="A360" t="s">
        <v>348</v>
      </c>
      <c r="B360">
        <v>4.5350000000000001</v>
      </c>
      <c r="C360" t="e">
        <f t="shared" si="5"/>
        <v>#N/A</v>
      </c>
      <c r="D360" t="b">
        <v>0</v>
      </c>
    </row>
    <row r="361" spans="1:4" x14ac:dyDescent="0.25">
      <c r="A361" t="s">
        <v>1780</v>
      </c>
      <c r="B361">
        <v>4.5</v>
      </c>
      <c r="C361" t="str">
        <f t="shared" si="5"/>
        <v>PL PROPYLENE LLC</v>
      </c>
      <c r="D361" t="b">
        <v>0</v>
      </c>
    </row>
    <row r="362" spans="1:4" x14ac:dyDescent="0.25">
      <c r="A362" t="s">
        <v>1800</v>
      </c>
      <c r="B362">
        <v>4.5</v>
      </c>
      <c r="C362" t="str">
        <f t="shared" si="5"/>
        <v>THE LUBRIZOL CORPORATION</v>
      </c>
      <c r="D362" t="b">
        <v>0</v>
      </c>
    </row>
    <row r="363" spans="1:4" x14ac:dyDescent="0.25">
      <c r="A363" t="s">
        <v>2541</v>
      </c>
      <c r="B363">
        <v>4.4400000000000004</v>
      </c>
      <c r="C363" t="str">
        <f t="shared" si="5"/>
        <v>CITY OF SULPHUR SPRINGS</v>
      </c>
      <c r="D363" t="b">
        <v>0</v>
      </c>
    </row>
    <row r="364" spans="1:4" x14ac:dyDescent="0.25">
      <c r="A364" t="s">
        <v>2674</v>
      </c>
      <c r="B364">
        <v>4.4340000000000002</v>
      </c>
      <c r="C364" t="str">
        <f t="shared" si="5"/>
        <v>TRINITY RIVER AUTHORITY OF TEXAS</v>
      </c>
      <c r="D364" t="b">
        <v>0</v>
      </c>
    </row>
    <row r="365" spans="1:4" x14ac:dyDescent="0.25">
      <c r="A365" t="s">
        <v>1179</v>
      </c>
      <c r="B365">
        <v>4.4169999999999998</v>
      </c>
      <c r="C365" t="str">
        <f t="shared" si="5"/>
        <v>CAMPBELL SOUP SUPPLY CO LLC</v>
      </c>
      <c r="D365" t="b">
        <v>0</v>
      </c>
    </row>
    <row r="366" spans="1:4" x14ac:dyDescent="0.25">
      <c r="A366" t="s">
        <v>1265</v>
      </c>
      <c r="B366">
        <v>4.4089999999999998</v>
      </c>
      <c r="C366" t="str">
        <f t="shared" si="5"/>
        <v>CITY OF KILGORE</v>
      </c>
      <c r="D366" t="b">
        <v>0</v>
      </c>
    </row>
    <row r="367" spans="1:4" x14ac:dyDescent="0.25">
      <c r="A367" t="s">
        <v>1812</v>
      </c>
      <c r="B367">
        <v>4.3600000000000003</v>
      </c>
      <c r="C367" t="str">
        <f t="shared" si="5"/>
        <v>MAGELLAN TERMINALS HOLDINGS LP</v>
      </c>
      <c r="D367" t="b">
        <v>0</v>
      </c>
    </row>
    <row r="368" spans="1:4" x14ac:dyDescent="0.25">
      <c r="A368" t="s">
        <v>753</v>
      </c>
      <c r="B368">
        <v>4.3</v>
      </c>
      <c r="C368" t="str">
        <f t="shared" si="5"/>
        <v>MOTIVA ENTP, FLINT HILLS RES PORT ARTHUR, AFTON CHEM ADDITIVES CORP</v>
      </c>
      <c r="D368" t="b">
        <v>0</v>
      </c>
    </row>
    <row r="369" spans="1:4" x14ac:dyDescent="0.25">
      <c r="A369" t="s">
        <v>757</v>
      </c>
      <c r="B369">
        <v>4.3</v>
      </c>
      <c r="C369" t="str">
        <f t="shared" si="5"/>
        <v>MOTIVA ENTERPRISES LLC</v>
      </c>
      <c r="D369" t="b">
        <v>0</v>
      </c>
    </row>
    <row r="370" spans="1:4" x14ac:dyDescent="0.25">
      <c r="A370" t="s">
        <v>1304</v>
      </c>
      <c r="B370">
        <v>4.3</v>
      </c>
      <c r="C370" t="e">
        <f t="shared" si="5"/>
        <v>#N/A</v>
      </c>
      <c r="D370" t="b">
        <v>0</v>
      </c>
    </row>
    <row r="371" spans="1:4" x14ac:dyDescent="0.25">
      <c r="A371" t="s">
        <v>1306</v>
      </c>
      <c r="B371">
        <v>4.3</v>
      </c>
      <c r="C371" t="e">
        <f t="shared" si="5"/>
        <v>#N/A</v>
      </c>
      <c r="D371" t="b">
        <v>0</v>
      </c>
    </row>
    <row r="372" spans="1:4" x14ac:dyDescent="0.25">
      <c r="A372" t="s">
        <v>1648</v>
      </c>
      <c r="B372">
        <v>4.3</v>
      </c>
      <c r="C372" t="str">
        <f t="shared" si="5"/>
        <v>CITY OF LA MARQUE</v>
      </c>
      <c r="D372" t="b">
        <v>0</v>
      </c>
    </row>
    <row r="373" spans="1:4" x14ac:dyDescent="0.25">
      <c r="A373" t="s">
        <v>2830</v>
      </c>
      <c r="B373">
        <v>4.2380000000000004</v>
      </c>
      <c r="C373" t="str">
        <f t="shared" si="5"/>
        <v>CITY OF CORSICANA</v>
      </c>
      <c r="D373" t="b">
        <v>0</v>
      </c>
    </row>
    <row r="374" spans="1:4" x14ac:dyDescent="0.25">
      <c r="A374" t="s">
        <v>1544</v>
      </c>
      <c r="B374">
        <v>4.13</v>
      </c>
      <c r="C374" t="str">
        <f t="shared" si="5"/>
        <v>INEOS USA LLC</v>
      </c>
      <c r="D374" t="b">
        <v>0</v>
      </c>
    </row>
    <row r="375" spans="1:4" x14ac:dyDescent="0.25">
      <c r="A375" t="s">
        <v>1919</v>
      </c>
      <c r="B375">
        <v>4.1180000000000003</v>
      </c>
      <c r="C375" t="str">
        <f t="shared" si="5"/>
        <v>CHELFORD CITY MUD</v>
      </c>
      <c r="D375" t="b">
        <v>0</v>
      </c>
    </row>
    <row r="376" spans="1:4" x14ac:dyDescent="0.25">
      <c r="A376" t="s">
        <v>1513</v>
      </c>
      <c r="B376">
        <v>4.0999999999999996</v>
      </c>
      <c r="C376" t="str">
        <f t="shared" si="5"/>
        <v>SAN ANTONIO WATER SYSTEM</v>
      </c>
      <c r="D376" t="b">
        <v>0</v>
      </c>
    </row>
    <row r="377" spans="1:4" x14ac:dyDescent="0.25">
      <c r="A377" t="s">
        <v>1688</v>
      </c>
      <c r="B377">
        <v>4.0999999999999996</v>
      </c>
      <c r="C377" t="str">
        <f t="shared" si="5"/>
        <v>THE LUBRIZOL CORP</v>
      </c>
      <c r="D377" t="b">
        <v>0</v>
      </c>
    </row>
    <row r="378" spans="1:4" x14ac:dyDescent="0.25">
      <c r="A378" t="s">
        <v>1945</v>
      </c>
      <c r="B378">
        <v>4.0250000000000004</v>
      </c>
      <c r="C378" t="str">
        <f t="shared" si="5"/>
        <v>CITY OF HOUSTON</v>
      </c>
      <c r="D378" t="b">
        <v>0</v>
      </c>
    </row>
    <row r="379" spans="1:4" x14ac:dyDescent="0.25">
      <c r="A379" t="s">
        <v>1760</v>
      </c>
      <c r="B379">
        <v>4.01</v>
      </c>
      <c r="C379" t="str">
        <f t="shared" si="5"/>
        <v>THE GOODYEAR TIRE &amp; RUBBER CO</v>
      </c>
      <c r="D379" t="b">
        <v>0</v>
      </c>
    </row>
    <row r="380" spans="1:4" x14ac:dyDescent="0.25">
      <c r="A380" t="s">
        <v>1537</v>
      </c>
      <c r="B380">
        <v>4</v>
      </c>
      <c r="C380" t="str">
        <f t="shared" si="5"/>
        <v>ASCEND PERFORMANCE MATERIALS TEXAS INC</v>
      </c>
      <c r="D380" t="b">
        <v>0</v>
      </c>
    </row>
    <row r="381" spans="1:4" x14ac:dyDescent="0.25">
      <c r="A381" t="s">
        <v>2601</v>
      </c>
      <c r="B381">
        <v>4</v>
      </c>
      <c r="C381" t="str">
        <f t="shared" si="5"/>
        <v>CHEVRON PHILLIPS CHEMICAL CO LP</v>
      </c>
      <c r="D381" t="b">
        <v>0</v>
      </c>
    </row>
    <row r="382" spans="1:4" x14ac:dyDescent="0.25">
      <c r="A382" t="s">
        <v>1817</v>
      </c>
      <c r="B382">
        <v>4</v>
      </c>
      <c r="C382" t="str">
        <f t="shared" si="5"/>
        <v>OXY VINYLS LP</v>
      </c>
      <c r="D382" t="b">
        <v>0</v>
      </c>
    </row>
    <row r="383" spans="1:4" x14ac:dyDescent="0.25">
      <c r="A383" t="s">
        <v>1317</v>
      </c>
      <c r="B383">
        <v>4</v>
      </c>
      <c r="C383" t="e">
        <f t="shared" si="5"/>
        <v>#N/A</v>
      </c>
      <c r="D383" t="b">
        <v>0</v>
      </c>
    </row>
    <row r="384" spans="1:4" x14ac:dyDescent="0.25">
      <c r="A384" t="s">
        <v>2878</v>
      </c>
      <c r="B384">
        <v>3.9409999999999998</v>
      </c>
      <c r="C384" t="str">
        <f t="shared" si="5"/>
        <v>CITY OF GRAPEVINE</v>
      </c>
      <c r="D384" t="b">
        <v>0</v>
      </c>
    </row>
    <row r="385" spans="1:4" x14ac:dyDescent="0.25">
      <c r="A385" t="s">
        <v>1864</v>
      </c>
      <c r="B385">
        <v>3.9340000000000002</v>
      </c>
      <c r="C385" t="str">
        <f t="shared" si="5"/>
        <v>CITY OF HOUSTON</v>
      </c>
      <c r="D385" t="b">
        <v>0</v>
      </c>
    </row>
    <row r="386" spans="1:4" x14ac:dyDescent="0.25">
      <c r="A386" t="s">
        <v>2413</v>
      </c>
      <c r="B386">
        <v>3.915</v>
      </c>
      <c r="C386" t="str">
        <f t="shared" ref="C386:C449" si="6">VLOOKUP(A386,PERMITTEES,2,FALSE)</f>
        <v>SAN JACINTO RIVER AUTHORITY</v>
      </c>
      <c r="D386" t="b">
        <v>0</v>
      </c>
    </row>
    <row r="387" spans="1:4" x14ac:dyDescent="0.25">
      <c r="A387" t="s">
        <v>1046</v>
      </c>
      <c r="B387">
        <v>3.9</v>
      </c>
      <c r="C387" t="str">
        <f t="shared" si="6"/>
        <v>CITGO REFINING AND CHEMICALS CO LP</v>
      </c>
      <c r="D387" t="b">
        <v>0</v>
      </c>
    </row>
    <row r="388" spans="1:4" x14ac:dyDescent="0.25">
      <c r="A388" t="s">
        <v>2790</v>
      </c>
      <c r="B388">
        <v>3.89</v>
      </c>
      <c r="C388" t="str">
        <f t="shared" si="6"/>
        <v>CITY OF TERRELL</v>
      </c>
      <c r="D388" t="b">
        <v>0</v>
      </c>
    </row>
    <row r="389" spans="1:4" x14ac:dyDescent="0.25">
      <c r="A389" t="s">
        <v>628</v>
      </c>
      <c r="B389">
        <v>3.88</v>
      </c>
      <c r="C389" t="str">
        <f t="shared" si="6"/>
        <v>CITY OF SEGUIN</v>
      </c>
      <c r="D389" t="b">
        <v>0</v>
      </c>
    </row>
    <row r="390" spans="1:4" x14ac:dyDescent="0.25">
      <c r="A390" t="s">
        <v>1911</v>
      </c>
      <c r="B390">
        <v>3.84</v>
      </c>
      <c r="C390" t="str">
        <f t="shared" si="6"/>
        <v>W &amp; P DEVELOPMENT CORP</v>
      </c>
      <c r="D390" t="b">
        <v>0</v>
      </c>
    </row>
    <row r="391" spans="1:4" x14ac:dyDescent="0.25">
      <c r="A391" t="s">
        <v>1236</v>
      </c>
      <c r="B391">
        <v>3.8180000000000001</v>
      </c>
      <c r="C391" t="str">
        <f t="shared" si="6"/>
        <v>CITY OF EAGLE PASS WATER WORKS SYSTEM</v>
      </c>
      <c r="D391" t="b">
        <v>0</v>
      </c>
    </row>
    <row r="392" spans="1:4" x14ac:dyDescent="0.25">
      <c r="A392" t="s">
        <v>2603</v>
      </c>
      <c r="B392">
        <v>3.8</v>
      </c>
      <c r="C392" t="str">
        <f t="shared" si="6"/>
        <v>CHEVRON PHILLIPS CHEMICAL CO LP</v>
      </c>
      <c r="D392" t="b">
        <v>0</v>
      </c>
    </row>
    <row r="393" spans="1:4" x14ac:dyDescent="0.25">
      <c r="A393" t="s">
        <v>621</v>
      </c>
      <c r="B393">
        <v>3.8</v>
      </c>
      <c r="C393" t="str">
        <f t="shared" si="6"/>
        <v>COLETO CREEK POWER LP</v>
      </c>
      <c r="D393" t="b">
        <v>0</v>
      </c>
    </row>
    <row r="394" spans="1:4" x14ac:dyDescent="0.25">
      <c r="A394" t="s">
        <v>2658</v>
      </c>
      <c r="B394">
        <v>3.75</v>
      </c>
      <c r="C394" t="str">
        <f t="shared" si="6"/>
        <v>CITY OF GAINESVILLE</v>
      </c>
      <c r="D394" t="b">
        <v>0</v>
      </c>
    </row>
    <row r="395" spans="1:4" x14ac:dyDescent="0.25">
      <c r="A395" t="s">
        <v>1942</v>
      </c>
      <c r="B395">
        <v>3.722</v>
      </c>
      <c r="C395" t="str">
        <f t="shared" si="6"/>
        <v>CITY OF HOUSTON</v>
      </c>
      <c r="D395" t="b">
        <v>0</v>
      </c>
    </row>
    <row r="396" spans="1:4" x14ac:dyDescent="0.25">
      <c r="A396" t="s">
        <v>2600</v>
      </c>
      <c r="B396">
        <v>3.7</v>
      </c>
      <c r="C396" t="str">
        <f t="shared" si="6"/>
        <v>CHEVRON PHILLIPS CHEMICAL CO LP</v>
      </c>
      <c r="D396" t="b">
        <v>0</v>
      </c>
    </row>
    <row r="397" spans="1:4" x14ac:dyDescent="0.25">
      <c r="A397" t="s">
        <v>1754</v>
      </c>
      <c r="B397">
        <v>3.7</v>
      </c>
      <c r="C397" t="str">
        <f t="shared" si="6"/>
        <v>TPC GROUP LLC AND JOHN EDWARD FRANTZ</v>
      </c>
      <c r="D397" t="b">
        <v>0</v>
      </c>
    </row>
    <row r="398" spans="1:4" x14ac:dyDescent="0.25">
      <c r="A398" t="s">
        <v>2636</v>
      </c>
      <c r="B398">
        <v>3.6709999999999998</v>
      </c>
      <c r="C398" t="str">
        <f t="shared" si="6"/>
        <v>CITY OF PALESTINE</v>
      </c>
      <c r="D398" t="b">
        <v>0</v>
      </c>
    </row>
    <row r="399" spans="1:4" x14ac:dyDescent="0.25">
      <c r="A399" t="s">
        <v>1673</v>
      </c>
      <c r="B399">
        <v>3.66</v>
      </c>
      <c r="C399" t="str">
        <f t="shared" si="6"/>
        <v>LYONDELL CHEMICAL CO</v>
      </c>
      <c r="D399" t="b">
        <v>0</v>
      </c>
    </row>
    <row r="400" spans="1:4" x14ac:dyDescent="0.25">
      <c r="A400" t="s">
        <v>448</v>
      </c>
      <c r="B400">
        <v>3.64</v>
      </c>
      <c r="C400" t="str">
        <f t="shared" si="6"/>
        <v>REED LAMAR BOWERS</v>
      </c>
      <c r="D400" t="b">
        <v>0</v>
      </c>
    </row>
    <row r="401" spans="1:4" x14ac:dyDescent="0.25">
      <c r="A401" t="s">
        <v>1051</v>
      </c>
      <c r="B401">
        <v>3.63</v>
      </c>
      <c r="C401" t="str">
        <f t="shared" si="6"/>
        <v>FLINT HILLS RESOURCES CORPUS CHRISTI LLC</v>
      </c>
      <c r="D401" t="b">
        <v>0</v>
      </c>
    </row>
    <row r="402" spans="1:4" x14ac:dyDescent="0.25">
      <c r="A402" t="s">
        <v>610</v>
      </c>
      <c r="B402">
        <v>3.6038999999999999</v>
      </c>
      <c r="C402" t="str">
        <f t="shared" si="6"/>
        <v>NEW BRAUNFELS UTILITIES</v>
      </c>
      <c r="D402" t="b">
        <v>0</v>
      </c>
    </row>
    <row r="403" spans="1:4" x14ac:dyDescent="0.25">
      <c r="A403" t="s">
        <v>2215</v>
      </c>
      <c r="B403">
        <v>3.6036000000000001</v>
      </c>
      <c r="C403" t="str">
        <f t="shared" si="6"/>
        <v>EQUISTAR CHEMICALS LP</v>
      </c>
      <c r="D403" t="b">
        <v>0</v>
      </c>
    </row>
    <row r="404" spans="1:4" x14ac:dyDescent="0.25">
      <c r="A404" t="s">
        <v>2828</v>
      </c>
      <c r="B404">
        <v>3.6</v>
      </c>
      <c r="C404" t="str">
        <f t="shared" si="6"/>
        <v>ARCOSA LWS LLC</v>
      </c>
      <c r="D404" t="b">
        <v>0</v>
      </c>
    </row>
    <row r="405" spans="1:4" x14ac:dyDescent="0.25">
      <c r="A405" t="s">
        <v>449</v>
      </c>
      <c r="B405">
        <v>3.59</v>
      </c>
      <c r="C405" t="str">
        <f t="shared" si="6"/>
        <v>REED LAMAR BOWERS</v>
      </c>
      <c r="D405" t="b">
        <v>0</v>
      </c>
    </row>
    <row r="406" spans="1:4" x14ac:dyDescent="0.25">
      <c r="A406" t="s">
        <v>1545</v>
      </c>
      <c r="B406">
        <v>3.58</v>
      </c>
      <c r="C406" t="str">
        <f t="shared" si="6"/>
        <v>INEOS USA LLC</v>
      </c>
      <c r="D406" t="b">
        <v>0</v>
      </c>
    </row>
    <row r="407" spans="1:4" x14ac:dyDescent="0.25">
      <c r="A407" t="s">
        <v>1307</v>
      </c>
      <c r="B407">
        <v>3.5</v>
      </c>
      <c r="C407" t="e">
        <f t="shared" si="6"/>
        <v>#N/A</v>
      </c>
      <c r="D407" t="b">
        <v>0</v>
      </c>
    </row>
    <row r="408" spans="1:4" x14ac:dyDescent="0.25">
      <c r="A408" t="s">
        <v>2788</v>
      </c>
      <c r="B408">
        <v>3.4670000000000001</v>
      </c>
      <c r="C408" t="str">
        <f t="shared" si="6"/>
        <v>CITY OF DALLAS</v>
      </c>
      <c r="D408" t="b">
        <v>0</v>
      </c>
    </row>
    <row r="409" spans="1:4" x14ac:dyDescent="0.25">
      <c r="A409" t="s">
        <v>1580</v>
      </c>
      <c r="B409">
        <v>3.4609999999999999</v>
      </c>
      <c r="C409" t="str">
        <f t="shared" si="6"/>
        <v>CITY OF PEARLAND</v>
      </c>
      <c r="D409" t="b">
        <v>0</v>
      </c>
    </row>
    <row r="410" spans="1:4" x14ac:dyDescent="0.25">
      <c r="A410" t="s">
        <v>2811</v>
      </c>
      <c r="B410">
        <v>3.4590000000000001</v>
      </c>
      <c r="C410" t="str">
        <f t="shared" si="6"/>
        <v>CITY OF LIBERTY</v>
      </c>
      <c r="D410" t="b">
        <v>0</v>
      </c>
    </row>
    <row r="411" spans="1:4" x14ac:dyDescent="0.25">
      <c r="A411" t="s">
        <v>1891</v>
      </c>
      <c r="B411">
        <v>3.4569999999999999</v>
      </c>
      <c r="C411" t="str">
        <f t="shared" si="6"/>
        <v>WYMAN-GORDON FORGINGS INC</v>
      </c>
      <c r="D411" t="b">
        <v>0</v>
      </c>
    </row>
    <row r="412" spans="1:4" x14ac:dyDescent="0.25">
      <c r="A412" t="s">
        <v>59</v>
      </c>
      <c r="B412">
        <v>3.45</v>
      </c>
      <c r="C412" t="str">
        <f t="shared" si="6"/>
        <v>CITY OF HARKER HEIGHTS</v>
      </c>
      <c r="D412" t="b">
        <v>0</v>
      </c>
    </row>
    <row r="413" spans="1:4" x14ac:dyDescent="0.25">
      <c r="A413" t="s">
        <v>2113</v>
      </c>
      <c r="B413">
        <v>3.44</v>
      </c>
      <c r="C413" t="str">
        <f t="shared" si="6"/>
        <v>EXXON MOBIL CORP</v>
      </c>
      <c r="D413" t="b">
        <v>0</v>
      </c>
    </row>
    <row r="414" spans="1:4" x14ac:dyDescent="0.25">
      <c r="A414" t="s">
        <v>1303</v>
      </c>
      <c r="B414">
        <v>3.4</v>
      </c>
      <c r="C414" t="e">
        <f t="shared" si="6"/>
        <v>#N/A</v>
      </c>
      <c r="D414" t="b">
        <v>0</v>
      </c>
    </row>
    <row r="415" spans="1:4" x14ac:dyDescent="0.25">
      <c r="A415" t="s">
        <v>1315</v>
      </c>
      <c r="B415">
        <v>3.4</v>
      </c>
      <c r="C415" t="e">
        <f t="shared" si="6"/>
        <v>#N/A</v>
      </c>
      <c r="D415" t="b">
        <v>0</v>
      </c>
    </row>
    <row r="416" spans="1:4" x14ac:dyDescent="0.25">
      <c r="A416" t="s">
        <v>89</v>
      </c>
      <c r="B416">
        <v>3.37</v>
      </c>
      <c r="C416" t="str">
        <f t="shared" si="6"/>
        <v>BASF CORP</v>
      </c>
      <c r="D416" t="b">
        <v>0</v>
      </c>
    </row>
    <row r="417" spans="1:4" x14ac:dyDescent="0.25">
      <c r="A417" t="s">
        <v>2812</v>
      </c>
      <c r="B417">
        <v>3.355</v>
      </c>
      <c r="C417" t="str">
        <f t="shared" si="6"/>
        <v>CITY OF DAYTON</v>
      </c>
      <c r="D417" t="b">
        <v>0</v>
      </c>
    </row>
    <row r="418" spans="1:4" x14ac:dyDescent="0.25">
      <c r="A418" t="s">
        <v>1748</v>
      </c>
      <c r="B418">
        <v>3.34</v>
      </c>
      <c r="C418" t="str">
        <f t="shared" si="6"/>
        <v>SHELL OIL CO</v>
      </c>
      <c r="D418" t="b">
        <v>0</v>
      </c>
    </row>
    <row r="419" spans="1:4" x14ac:dyDescent="0.25">
      <c r="A419" t="s">
        <v>2630</v>
      </c>
      <c r="B419">
        <v>3.34</v>
      </c>
      <c r="C419" t="str">
        <f t="shared" si="6"/>
        <v>CITY OF BAYTOWN</v>
      </c>
      <c r="D419" t="b">
        <v>0</v>
      </c>
    </row>
    <row r="420" spans="1:4" x14ac:dyDescent="0.25">
      <c r="A420" t="s">
        <v>1548</v>
      </c>
      <c r="B420">
        <v>3.33</v>
      </c>
      <c r="C420" t="str">
        <f t="shared" si="6"/>
        <v>INEOS USA LLC</v>
      </c>
      <c r="D420" t="b">
        <v>0</v>
      </c>
    </row>
    <row r="421" spans="1:4" x14ac:dyDescent="0.25">
      <c r="A421" t="s">
        <v>1940</v>
      </c>
      <c r="B421">
        <v>3.3260000000000001</v>
      </c>
      <c r="C421" t="str">
        <f t="shared" si="6"/>
        <v>CITY OF HOUSTON</v>
      </c>
      <c r="D421" t="b">
        <v>0</v>
      </c>
    </row>
    <row r="422" spans="1:4" x14ac:dyDescent="0.25">
      <c r="A422" t="s">
        <v>2688</v>
      </c>
      <c r="B422">
        <v>3.319</v>
      </c>
      <c r="C422" t="str">
        <f t="shared" si="6"/>
        <v>TOWN OF LITTLE ELM</v>
      </c>
      <c r="D422" t="b">
        <v>0</v>
      </c>
    </row>
    <row r="423" spans="1:4" x14ac:dyDescent="0.25">
      <c r="A423" t="s">
        <v>1782</v>
      </c>
      <c r="B423">
        <v>3.3035000000000001</v>
      </c>
      <c r="C423" t="str">
        <f t="shared" si="6"/>
        <v>ROHM AND HAAS TEXAS INC</v>
      </c>
      <c r="D423" t="b">
        <v>0</v>
      </c>
    </row>
    <row r="424" spans="1:4" x14ac:dyDescent="0.25">
      <c r="A424" t="s">
        <v>1490</v>
      </c>
      <c r="B424">
        <v>3.3</v>
      </c>
      <c r="C424" t="str">
        <f t="shared" si="6"/>
        <v>CAPITOL AGGREGATES INC</v>
      </c>
      <c r="D424" t="b">
        <v>0</v>
      </c>
    </row>
    <row r="425" spans="1:4" x14ac:dyDescent="0.25">
      <c r="A425" t="s">
        <v>470</v>
      </c>
      <c r="B425">
        <v>3.3</v>
      </c>
      <c r="C425" t="str">
        <f t="shared" si="6"/>
        <v>CITY OF BROWNWOOD</v>
      </c>
      <c r="D425" t="b">
        <v>0</v>
      </c>
    </row>
    <row r="426" spans="1:4" x14ac:dyDescent="0.25">
      <c r="A426" t="s">
        <v>1823</v>
      </c>
      <c r="B426">
        <v>3.2921999999999998</v>
      </c>
      <c r="C426" t="str">
        <f t="shared" si="6"/>
        <v>OXY VINYLS LP</v>
      </c>
      <c r="D426" t="b">
        <v>0</v>
      </c>
    </row>
    <row r="427" spans="1:4" x14ac:dyDescent="0.25">
      <c r="A427" t="s">
        <v>1386</v>
      </c>
      <c r="B427">
        <v>3.27</v>
      </c>
      <c r="C427" t="str">
        <f t="shared" si="6"/>
        <v>CITY OF CARTHAGE</v>
      </c>
      <c r="D427" t="b">
        <v>0</v>
      </c>
    </row>
    <row r="428" spans="1:4" x14ac:dyDescent="0.25">
      <c r="A428" t="s">
        <v>450</v>
      </c>
      <c r="B428">
        <v>3.27</v>
      </c>
      <c r="C428" t="str">
        <f t="shared" si="6"/>
        <v>REED LAMAR BOWERS</v>
      </c>
      <c r="D428" t="b">
        <v>0</v>
      </c>
    </row>
    <row r="429" spans="1:4" x14ac:dyDescent="0.25">
      <c r="A429" t="s">
        <v>992</v>
      </c>
      <c r="B429">
        <v>3.2559999999999998</v>
      </c>
      <c r="C429" t="str">
        <f t="shared" si="6"/>
        <v>BROWNSVILLE PUB; SOUTHMOST RWA</v>
      </c>
      <c r="D429" t="b">
        <v>0</v>
      </c>
    </row>
    <row r="430" spans="1:4" x14ac:dyDescent="0.25">
      <c r="A430" t="s">
        <v>2512</v>
      </c>
      <c r="B430">
        <v>3.25</v>
      </c>
      <c r="C430" t="str">
        <f t="shared" si="6"/>
        <v>CITY OF HUNTSVILLE</v>
      </c>
      <c r="D430" t="b">
        <v>0</v>
      </c>
    </row>
    <row r="431" spans="1:4" x14ac:dyDescent="0.25">
      <c r="A431" t="s">
        <v>91</v>
      </c>
      <c r="B431">
        <v>3.24</v>
      </c>
      <c r="C431" t="str">
        <f t="shared" si="6"/>
        <v>BASF CORP</v>
      </c>
      <c r="D431" t="b">
        <v>0</v>
      </c>
    </row>
    <row r="432" spans="1:4" x14ac:dyDescent="0.25">
      <c r="A432" t="s">
        <v>1540</v>
      </c>
      <c r="B432">
        <v>3.226</v>
      </c>
      <c r="C432" t="str">
        <f t="shared" si="6"/>
        <v>ASCEND PERFORMANCE MATERIALS TEXAS INC</v>
      </c>
      <c r="D432" t="b">
        <v>0</v>
      </c>
    </row>
    <row r="433" spans="1:4" x14ac:dyDescent="0.25">
      <c r="A433" t="s">
        <v>1565</v>
      </c>
      <c r="B433">
        <v>3.2189999999999999</v>
      </c>
      <c r="C433" t="str">
        <f t="shared" si="6"/>
        <v>CITY OF ANGLETON</v>
      </c>
      <c r="D433" t="b">
        <v>0</v>
      </c>
    </row>
    <row r="434" spans="1:4" x14ac:dyDescent="0.25">
      <c r="A434" t="s">
        <v>1516</v>
      </c>
      <c r="B434">
        <v>3.21</v>
      </c>
      <c r="C434" t="str">
        <f t="shared" si="6"/>
        <v>SAN ANTONIO RIVER AUTHORITY</v>
      </c>
      <c r="D434" t="b">
        <v>0</v>
      </c>
    </row>
    <row r="435" spans="1:4" x14ac:dyDescent="0.25">
      <c r="A435" t="s">
        <v>1722</v>
      </c>
      <c r="B435">
        <v>3.2</v>
      </c>
      <c r="C435" t="str">
        <f t="shared" si="6"/>
        <v>VALERO REFINING TEXAS LP</v>
      </c>
      <c r="D435" t="b">
        <v>0</v>
      </c>
    </row>
    <row r="436" spans="1:4" x14ac:dyDescent="0.25">
      <c r="A436" t="s">
        <v>400</v>
      </c>
      <c r="B436">
        <v>3.2</v>
      </c>
      <c r="C436" t="str">
        <f t="shared" si="6"/>
        <v>WRB REFINING LLC AND CONOCO PHILLIPS CO</v>
      </c>
      <c r="D436" t="b">
        <v>0</v>
      </c>
    </row>
    <row r="437" spans="1:4" x14ac:dyDescent="0.25">
      <c r="A437" t="s">
        <v>1326</v>
      </c>
      <c r="B437">
        <v>3.2</v>
      </c>
      <c r="C437" t="e">
        <f t="shared" si="6"/>
        <v>#N/A</v>
      </c>
      <c r="D437" t="b">
        <v>0</v>
      </c>
    </row>
    <row r="438" spans="1:4" x14ac:dyDescent="0.25">
      <c r="A438" t="s">
        <v>596</v>
      </c>
      <c r="B438">
        <v>3.181</v>
      </c>
      <c r="C438" t="str">
        <f t="shared" si="6"/>
        <v>CITY OF MOUNT PLEASANT</v>
      </c>
      <c r="D438" t="b">
        <v>0</v>
      </c>
    </row>
    <row r="439" spans="1:4" x14ac:dyDescent="0.25">
      <c r="A439" t="s">
        <v>1974</v>
      </c>
      <c r="B439">
        <v>3.169</v>
      </c>
      <c r="C439" t="str">
        <f t="shared" si="6"/>
        <v>CITY OF HOUSTON</v>
      </c>
      <c r="D439" t="b">
        <v>0</v>
      </c>
    </row>
    <row r="440" spans="1:4" x14ac:dyDescent="0.25">
      <c r="A440" t="s">
        <v>1786</v>
      </c>
      <c r="B440">
        <v>3.1669999999999998</v>
      </c>
      <c r="C440" t="str">
        <f t="shared" si="6"/>
        <v>OXY VINYLS LP</v>
      </c>
      <c r="D440" t="b">
        <v>0</v>
      </c>
    </row>
    <row r="441" spans="1:4" x14ac:dyDescent="0.25">
      <c r="A441" t="s">
        <v>932</v>
      </c>
      <c r="B441">
        <v>3.1261999999999999</v>
      </c>
      <c r="C441" t="str">
        <f t="shared" si="6"/>
        <v>GEORGIA-PACIFIC WOOD PRODUCTS SOUTH LLC</v>
      </c>
      <c r="D441" t="b">
        <v>0</v>
      </c>
    </row>
    <row r="442" spans="1:4" x14ac:dyDescent="0.25">
      <c r="A442" t="s">
        <v>1925</v>
      </c>
      <c r="B442">
        <v>3.1059999999999999</v>
      </c>
      <c r="C442" t="str">
        <f t="shared" si="6"/>
        <v>CITY OF SOUTH HOUSTON</v>
      </c>
      <c r="D442" t="b">
        <v>0</v>
      </c>
    </row>
    <row r="443" spans="1:4" x14ac:dyDescent="0.25">
      <c r="A443" t="s">
        <v>880</v>
      </c>
      <c r="B443">
        <v>3.105</v>
      </c>
      <c r="C443" t="str">
        <f t="shared" si="6"/>
        <v>CITY OF PORT NECHES</v>
      </c>
      <c r="D443" t="b">
        <v>0</v>
      </c>
    </row>
    <row r="444" spans="1:4" x14ac:dyDescent="0.25">
      <c r="A444" t="s">
        <v>1749</v>
      </c>
      <c r="B444">
        <v>3.1</v>
      </c>
      <c r="C444" t="str">
        <f t="shared" si="6"/>
        <v>SHELL OIL CO</v>
      </c>
      <c r="D444" t="b">
        <v>0</v>
      </c>
    </row>
    <row r="445" spans="1:4" x14ac:dyDescent="0.25">
      <c r="A445" t="s">
        <v>1053</v>
      </c>
      <c r="B445">
        <v>3.1</v>
      </c>
      <c r="C445" t="str">
        <f t="shared" si="6"/>
        <v>FLINT HILLS RESOURCES CORPUS CHRISTI LLC</v>
      </c>
      <c r="D445" t="b">
        <v>0</v>
      </c>
    </row>
    <row r="446" spans="1:4" x14ac:dyDescent="0.25">
      <c r="A446" t="s">
        <v>1075</v>
      </c>
      <c r="B446">
        <v>3.1</v>
      </c>
      <c r="C446" t="str">
        <f t="shared" si="6"/>
        <v>CITY OF CORPUS CHRISTI</v>
      </c>
      <c r="D446" t="b">
        <v>0</v>
      </c>
    </row>
    <row r="447" spans="1:4" x14ac:dyDescent="0.25">
      <c r="A447" t="s">
        <v>1297</v>
      </c>
      <c r="B447">
        <v>3.1</v>
      </c>
      <c r="C447" t="e">
        <f t="shared" si="6"/>
        <v>#N/A</v>
      </c>
      <c r="D447" t="b">
        <v>0</v>
      </c>
    </row>
    <row r="448" spans="1:4" x14ac:dyDescent="0.25">
      <c r="A448" t="s">
        <v>662</v>
      </c>
      <c r="B448">
        <v>3.09</v>
      </c>
      <c r="C448" t="str">
        <f t="shared" si="6"/>
        <v>UNION CARBIDE CORP</v>
      </c>
      <c r="D448" t="b">
        <v>0</v>
      </c>
    </row>
    <row r="449" spans="1:4" x14ac:dyDescent="0.25">
      <c r="A449" t="s">
        <v>1873</v>
      </c>
      <c r="B449">
        <v>3.09</v>
      </c>
      <c r="C449" t="str">
        <f t="shared" si="6"/>
        <v>KM LIQUIDS TERMINALS LLC</v>
      </c>
      <c r="D449" t="b">
        <v>0</v>
      </c>
    </row>
    <row r="450" spans="1:4" x14ac:dyDescent="0.25">
      <c r="A450" t="s">
        <v>64</v>
      </c>
      <c r="B450">
        <v>3.07</v>
      </c>
      <c r="C450" t="str">
        <f t="shared" ref="C450:C513" si="7">VLOOKUP(A450,PERMITTEES,2,FALSE)</f>
        <v>CITY OF TEMPLE</v>
      </c>
      <c r="D450" t="b">
        <v>0</v>
      </c>
    </row>
    <row r="451" spans="1:4" x14ac:dyDescent="0.25">
      <c r="A451" t="s">
        <v>924</v>
      </c>
      <c r="B451">
        <v>3.05789</v>
      </c>
      <c r="C451" t="str">
        <f t="shared" si="7"/>
        <v>JEFFERSON RAILPORT TERMINAL I (TEXAS) LLC</v>
      </c>
      <c r="D451" t="b">
        <v>0</v>
      </c>
    </row>
    <row r="452" spans="1:4" x14ac:dyDescent="0.25">
      <c r="A452" t="s">
        <v>612</v>
      </c>
      <c r="B452">
        <v>3.0489000000000002</v>
      </c>
      <c r="C452" t="str">
        <f t="shared" si="7"/>
        <v>NEW BRAUNFELS UTILITIES</v>
      </c>
      <c r="D452" t="b">
        <v>0</v>
      </c>
    </row>
    <row r="453" spans="1:4" x14ac:dyDescent="0.25">
      <c r="A453" t="s">
        <v>2671</v>
      </c>
      <c r="B453">
        <v>3.04</v>
      </c>
      <c r="C453" t="str">
        <f t="shared" si="7"/>
        <v>TRINITY RIVER AUTHORITY OF TEXAS</v>
      </c>
      <c r="D453" t="b">
        <v>0</v>
      </c>
    </row>
    <row r="454" spans="1:4" x14ac:dyDescent="0.25">
      <c r="A454" t="s">
        <v>639</v>
      </c>
      <c r="B454">
        <v>3.04</v>
      </c>
      <c r="C454" t="str">
        <f t="shared" si="7"/>
        <v>CITY OF KERRVILLE</v>
      </c>
      <c r="D454" t="b">
        <v>0</v>
      </c>
    </row>
    <row r="455" spans="1:4" x14ac:dyDescent="0.25">
      <c r="A455" t="s">
        <v>1543</v>
      </c>
      <c r="B455">
        <v>3</v>
      </c>
      <c r="C455" t="str">
        <f t="shared" si="7"/>
        <v>INEOS USA LLC</v>
      </c>
      <c r="D455" t="b">
        <v>0</v>
      </c>
    </row>
    <row r="456" spans="1:4" x14ac:dyDescent="0.25">
      <c r="A456" t="s">
        <v>561</v>
      </c>
      <c r="B456">
        <v>3</v>
      </c>
      <c r="C456" t="str">
        <f t="shared" si="7"/>
        <v>CITY OF ATLANTA</v>
      </c>
      <c r="D456" t="b">
        <v>0</v>
      </c>
    </row>
    <row r="457" spans="1:4" x14ac:dyDescent="0.25">
      <c r="A457" t="s">
        <v>2542</v>
      </c>
      <c r="B457">
        <v>3</v>
      </c>
      <c r="C457" t="str">
        <f t="shared" si="7"/>
        <v>LUMINANT MINING COMPANY LLC</v>
      </c>
      <c r="D457" t="b">
        <v>0</v>
      </c>
    </row>
    <row r="458" spans="1:4" x14ac:dyDescent="0.25">
      <c r="A458" t="s">
        <v>2240</v>
      </c>
      <c r="B458">
        <v>3</v>
      </c>
      <c r="C458" t="str">
        <f t="shared" si="7"/>
        <v>GULF COAST AUTHORITY</v>
      </c>
      <c r="D458" t="b">
        <v>0</v>
      </c>
    </row>
    <row r="459" spans="1:4" x14ac:dyDescent="0.25">
      <c r="A459" t="s">
        <v>1869</v>
      </c>
      <c r="B459">
        <v>2.9929999999999999</v>
      </c>
      <c r="C459" t="str">
        <f t="shared" si="7"/>
        <v>CITY OF HOUSTON</v>
      </c>
      <c r="D459" t="b">
        <v>0</v>
      </c>
    </row>
    <row r="460" spans="1:4" x14ac:dyDescent="0.25">
      <c r="A460" t="s">
        <v>593</v>
      </c>
      <c r="B460">
        <v>2.9750000000000001</v>
      </c>
      <c r="C460" t="str">
        <f t="shared" si="7"/>
        <v>PILGRIMS PRIDE CORPORATION</v>
      </c>
      <c r="D460" t="b">
        <v>0</v>
      </c>
    </row>
    <row r="461" spans="1:4" x14ac:dyDescent="0.25">
      <c r="A461" t="s">
        <v>2596</v>
      </c>
      <c r="B461">
        <v>2.9740000000000002</v>
      </c>
      <c r="C461" t="str">
        <f t="shared" si="7"/>
        <v>ENTERPRISE PRODUCTS OPERATING LLC</v>
      </c>
      <c r="D461" t="b">
        <v>0</v>
      </c>
    </row>
    <row r="462" spans="1:4" x14ac:dyDescent="0.25">
      <c r="A462" t="s">
        <v>936</v>
      </c>
      <c r="B462">
        <v>2.9409999999999998</v>
      </c>
      <c r="C462" t="str">
        <f t="shared" si="7"/>
        <v>CITY OF HENDERSON</v>
      </c>
      <c r="D462" t="b">
        <v>0</v>
      </c>
    </row>
    <row r="463" spans="1:4" x14ac:dyDescent="0.25">
      <c r="A463" t="s">
        <v>1778</v>
      </c>
      <c r="B463">
        <v>2.92</v>
      </c>
      <c r="C463" t="str">
        <f t="shared" si="7"/>
        <v>VALERO REFINING TEXAS LP</v>
      </c>
      <c r="D463" t="b">
        <v>0</v>
      </c>
    </row>
    <row r="464" spans="1:4" x14ac:dyDescent="0.25">
      <c r="A464" t="s">
        <v>876</v>
      </c>
      <c r="B464">
        <v>2.9043290000000002</v>
      </c>
      <c r="C464" t="str">
        <f t="shared" si="7"/>
        <v>CHEMTRADE REFINERY SERVICES INC</v>
      </c>
      <c r="D464" t="b">
        <v>0</v>
      </c>
    </row>
    <row r="465" spans="1:4" x14ac:dyDescent="0.25">
      <c r="A465" t="s">
        <v>771</v>
      </c>
      <c r="B465">
        <v>2.9040300000000001</v>
      </c>
      <c r="C465" t="str">
        <f t="shared" si="7"/>
        <v>VEOLIA ES TECHNICAL SOLUTIONS LLC</v>
      </c>
      <c r="D465" t="b">
        <v>0</v>
      </c>
    </row>
    <row r="466" spans="1:4" x14ac:dyDescent="0.25">
      <c r="A466" t="s">
        <v>2229</v>
      </c>
      <c r="B466">
        <v>2.9</v>
      </c>
      <c r="C466" t="str">
        <f t="shared" si="7"/>
        <v>KINDER MORGAN PETCOKE LP</v>
      </c>
      <c r="D466" t="b">
        <v>0</v>
      </c>
    </row>
    <row r="467" spans="1:4" x14ac:dyDescent="0.25">
      <c r="A467" t="s">
        <v>823</v>
      </c>
      <c r="B467">
        <v>2.8881000000000001</v>
      </c>
      <c r="C467" t="str">
        <f t="shared" si="7"/>
        <v>LUMBERTON MUD</v>
      </c>
      <c r="D467" t="b">
        <v>0</v>
      </c>
    </row>
    <row r="468" spans="1:4" x14ac:dyDescent="0.25">
      <c r="A468" t="s">
        <v>1918</v>
      </c>
      <c r="B468">
        <v>2.8740000000000001</v>
      </c>
      <c r="C468" t="str">
        <f t="shared" si="7"/>
        <v>CITY OF HOUSTON</v>
      </c>
      <c r="D468" t="b">
        <v>0</v>
      </c>
    </row>
    <row r="469" spans="1:4" x14ac:dyDescent="0.25">
      <c r="A469" t="s">
        <v>815</v>
      </c>
      <c r="B469">
        <v>2.867489</v>
      </c>
      <c r="C469" t="str">
        <f t="shared" si="7"/>
        <v>SOUTH HAMPTON RESOURCES INC</v>
      </c>
      <c r="D469" t="b">
        <v>0</v>
      </c>
    </row>
    <row r="470" spans="1:4" x14ac:dyDescent="0.25">
      <c r="A470" t="s">
        <v>1469</v>
      </c>
      <c r="B470">
        <v>2.867</v>
      </c>
      <c r="C470" t="str">
        <f t="shared" si="7"/>
        <v>THE CHEMOURS CO FC LLC</v>
      </c>
      <c r="D470" t="b">
        <v>0</v>
      </c>
    </row>
    <row r="471" spans="1:4" x14ac:dyDescent="0.25">
      <c r="A471" t="s">
        <v>1926</v>
      </c>
      <c r="B471">
        <v>2.86</v>
      </c>
      <c r="C471" t="str">
        <f t="shared" si="7"/>
        <v>CITY OF HOUSTON</v>
      </c>
      <c r="D471" t="b">
        <v>0</v>
      </c>
    </row>
    <row r="472" spans="1:4" x14ac:dyDescent="0.25">
      <c r="A472" t="s">
        <v>1995</v>
      </c>
      <c r="B472">
        <v>2.859</v>
      </c>
      <c r="C472" t="str">
        <f t="shared" si="7"/>
        <v>GEORGIA GULF CHEMICALS &amp; VINYL LLC</v>
      </c>
      <c r="D472" t="b">
        <v>0</v>
      </c>
    </row>
    <row r="473" spans="1:4" x14ac:dyDescent="0.25">
      <c r="A473" t="s">
        <v>1562</v>
      </c>
      <c r="B473">
        <v>2.8380000000000001</v>
      </c>
      <c r="C473" t="str">
        <f t="shared" si="7"/>
        <v>CITY OF PEARLAND</v>
      </c>
      <c r="D473" t="b">
        <v>0</v>
      </c>
    </row>
    <row r="474" spans="1:4" x14ac:dyDescent="0.25">
      <c r="A474" t="s">
        <v>1675</v>
      </c>
      <c r="B474">
        <v>2.831</v>
      </c>
      <c r="C474" t="str">
        <f t="shared" si="7"/>
        <v>LYONDELL CHEMICAL CO</v>
      </c>
      <c r="D474" t="b">
        <v>0</v>
      </c>
    </row>
    <row r="475" spans="1:4" x14ac:dyDescent="0.25">
      <c r="A475" t="s">
        <v>253</v>
      </c>
      <c r="B475">
        <v>2.8039999999999998</v>
      </c>
      <c r="C475" t="str">
        <f t="shared" si="7"/>
        <v>CITY OF ABILENE</v>
      </c>
      <c r="D475" t="b">
        <v>0</v>
      </c>
    </row>
    <row r="476" spans="1:4" x14ac:dyDescent="0.25">
      <c r="A476" t="s">
        <v>1704</v>
      </c>
      <c r="B476">
        <v>2.8</v>
      </c>
      <c r="C476" t="str">
        <f t="shared" si="7"/>
        <v>CINCO MUD NO 1</v>
      </c>
      <c r="D476" t="b">
        <v>0</v>
      </c>
    </row>
    <row r="477" spans="1:4" x14ac:dyDescent="0.25">
      <c r="A477" t="s">
        <v>2525</v>
      </c>
      <c r="B477">
        <v>2.8</v>
      </c>
      <c r="C477" t="str">
        <f t="shared" si="7"/>
        <v>CITY OF TEXARKANA</v>
      </c>
      <c r="D477" t="b">
        <v>0</v>
      </c>
    </row>
    <row r="478" spans="1:4" x14ac:dyDescent="0.25">
      <c r="A478" t="s">
        <v>1195</v>
      </c>
      <c r="B478">
        <v>2.7959999999999998</v>
      </c>
      <c r="C478" t="str">
        <f t="shared" si="7"/>
        <v>CITY OF WICHITA FALLS</v>
      </c>
      <c r="D478" t="b">
        <v>0</v>
      </c>
    </row>
    <row r="479" spans="1:4" x14ac:dyDescent="0.25">
      <c r="A479" t="s">
        <v>1631</v>
      </c>
      <c r="B479">
        <v>2.7913230000000002</v>
      </c>
      <c r="C479" t="str">
        <f t="shared" si="7"/>
        <v>CITY OF HITCHCOCK</v>
      </c>
      <c r="D479" t="b">
        <v>0</v>
      </c>
    </row>
    <row r="480" spans="1:4" x14ac:dyDescent="0.25">
      <c r="A480" t="s">
        <v>1901</v>
      </c>
      <c r="B480">
        <v>2.77711</v>
      </c>
      <c r="C480" t="str">
        <f t="shared" si="7"/>
        <v>PONDEROSA JOINT POWERS AGENCY</v>
      </c>
      <c r="D480" t="b">
        <v>0</v>
      </c>
    </row>
    <row r="481" spans="1:4" x14ac:dyDescent="0.25">
      <c r="A481" t="s">
        <v>1459</v>
      </c>
      <c r="B481">
        <v>2.71</v>
      </c>
      <c r="C481" t="str">
        <f t="shared" si="7"/>
        <v>CITY OF BEEVILLE</v>
      </c>
      <c r="D481" t="b">
        <v>0</v>
      </c>
    </row>
    <row r="482" spans="1:4" x14ac:dyDescent="0.25">
      <c r="A482" t="s">
        <v>1687</v>
      </c>
      <c r="B482">
        <v>2.7</v>
      </c>
      <c r="C482" t="str">
        <f t="shared" si="7"/>
        <v>ODFJELL TERMINALS (HOUSTON) INC</v>
      </c>
      <c r="D482" t="b">
        <v>0</v>
      </c>
    </row>
    <row r="483" spans="1:4" x14ac:dyDescent="0.25">
      <c r="A483" t="s">
        <v>1486</v>
      </c>
      <c r="B483">
        <v>2.7</v>
      </c>
      <c r="C483" t="str">
        <f t="shared" si="7"/>
        <v>VOESTALPINE TEXAS LLC</v>
      </c>
      <c r="D483" t="b">
        <v>0</v>
      </c>
    </row>
    <row r="484" spans="1:4" x14ac:dyDescent="0.25">
      <c r="A484" t="s">
        <v>374</v>
      </c>
      <c r="B484">
        <v>2.69</v>
      </c>
      <c r="C484" t="str">
        <f t="shared" si="7"/>
        <v>CITY OF TAYLOR</v>
      </c>
      <c r="D484" t="b">
        <v>0</v>
      </c>
    </row>
    <row r="485" spans="1:4" x14ac:dyDescent="0.25">
      <c r="A485" t="s">
        <v>1885</v>
      </c>
      <c r="B485">
        <v>2.6890000000000001</v>
      </c>
      <c r="C485" t="str">
        <f t="shared" si="7"/>
        <v>CITY OF HOUSTON</v>
      </c>
      <c r="D485" t="b">
        <v>0</v>
      </c>
    </row>
    <row r="486" spans="1:4" x14ac:dyDescent="0.25">
      <c r="A486" t="s">
        <v>29</v>
      </c>
      <c r="B486">
        <v>2.6709999999999998</v>
      </c>
      <c r="C486" t="str">
        <f t="shared" si="7"/>
        <v>CITY OF BAY CITY</v>
      </c>
      <c r="D486" t="b">
        <v>0</v>
      </c>
    </row>
    <row r="487" spans="1:4" x14ac:dyDescent="0.25">
      <c r="A487" t="s">
        <v>867</v>
      </c>
      <c r="B487">
        <v>2.67</v>
      </c>
      <c r="C487" t="str">
        <f t="shared" si="7"/>
        <v>HUNTSMAN(H) PETROCHEM;H INTRNTL FUELS;H PROPY OXIDE;BLUEHALL;TPC GROUP</v>
      </c>
      <c r="D487" t="b">
        <v>0</v>
      </c>
    </row>
    <row r="488" spans="1:4" x14ac:dyDescent="0.25">
      <c r="A488" t="s">
        <v>2841</v>
      </c>
      <c r="B488">
        <v>2.66899</v>
      </c>
      <c r="C488" t="str">
        <f t="shared" si="7"/>
        <v>CITY OF WEATHERFORD</v>
      </c>
      <c r="D488" t="b">
        <v>0</v>
      </c>
    </row>
    <row r="489" spans="1:4" x14ac:dyDescent="0.25">
      <c r="A489" t="s">
        <v>1843</v>
      </c>
      <c r="B489">
        <v>2.64</v>
      </c>
      <c r="C489" t="str">
        <f t="shared" si="7"/>
        <v>WEST MEMORIAL MUD</v>
      </c>
      <c r="D489" t="b">
        <v>0</v>
      </c>
    </row>
    <row r="490" spans="1:4" x14ac:dyDescent="0.25">
      <c r="A490" t="s">
        <v>380</v>
      </c>
      <c r="B490">
        <v>2.6379999999999999</v>
      </c>
      <c r="C490" t="str">
        <f t="shared" si="7"/>
        <v>CITY OF CEDAR PARK</v>
      </c>
      <c r="D490" t="b">
        <v>0</v>
      </c>
    </row>
    <row r="491" spans="1:4" x14ac:dyDescent="0.25">
      <c r="A491" t="s">
        <v>2430</v>
      </c>
      <c r="B491">
        <v>2.6081289999999999</v>
      </c>
      <c r="C491" t="str">
        <f t="shared" si="7"/>
        <v>PORTER MUD</v>
      </c>
      <c r="D491" t="b">
        <v>0</v>
      </c>
    </row>
    <row r="492" spans="1:4" x14ac:dyDescent="0.25">
      <c r="A492" t="s">
        <v>402</v>
      </c>
      <c r="B492">
        <v>2.6</v>
      </c>
      <c r="C492" t="str">
        <f t="shared" si="7"/>
        <v>WRB REFINING LLC AND CONOCO PHILLIPS CO</v>
      </c>
      <c r="D492" t="b">
        <v>0</v>
      </c>
    </row>
    <row r="493" spans="1:4" x14ac:dyDescent="0.25">
      <c r="A493" t="s">
        <v>371</v>
      </c>
      <c r="B493">
        <v>2.6</v>
      </c>
      <c r="C493" t="str">
        <f t="shared" si="7"/>
        <v>CITY OF BRENHAM</v>
      </c>
      <c r="D493" t="b">
        <v>0</v>
      </c>
    </row>
    <row r="494" spans="1:4" x14ac:dyDescent="0.25">
      <c r="A494" t="s">
        <v>2711</v>
      </c>
      <c r="B494">
        <v>2.6</v>
      </c>
      <c r="C494" t="str">
        <f t="shared" si="7"/>
        <v>CITY OF ENNIS</v>
      </c>
      <c r="D494" t="b">
        <v>0</v>
      </c>
    </row>
    <row r="495" spans="1:4" x14ac:dyDescent="0.25">
      <c r="A495" t="s">
        <v>1674</v>
      </c>
      <c r="B495">
        <v>2.6</v>
      </c>
      <c r="C495" t="str">
        <f t="shared" si="7"/>
        <v>LYONDELL CHEMICAL CO</v>
      </c>
      <c r="D495" t="b">
        <v>0</v>
      </c>
    </row>
    <row r="496" spans="1:4" x14ac:dyDescent="0.25">
      <c r="A496" t="s">
        <v>1893</v>
      </c>
      <c r="B496">
        <v>2.59</v>
      </c>
      <c r="C496" t="str">
        <f t="shared" si="7"/>
        <v>JACKRABBIT ROAD PUD</v>
      </c>
      <c r="D496" t="b">
        <v>0</v>
      </c>
    </row>
    <row r="497" spans="1:4" x14ac:dyDescent="0.25">
      <c r="A497" t="s">
        <v>1903</v>
      </c>
      <c r="B497">
        <v>2.5880000000000001</v>
      </c>
      <c r="C497" t="str">
        <f t="shared" si="7"/>
        <v>KLEINWOOD JOINT POWERS BOARD</v>
      </c>
      <c r="D497" t="b">
        <v>0</v>
      </c>
    </row>
    <row r="498" spans="1:4" x14ac:dyDescent="0.25">
      <c r="A498" t="s">
        <v>1646</v>
      </c>
      <c r="B498">
        <v>2.5640000000000001</v>
      </c>
      <c r="C498" t="str">
        <f t="shared" si="7"/>
        <v>OXBOW ENERGY SOLUTIONS LLC</v>
      </c>
      <c r="D498" t="b">
        <v>0</v>
      </c>
    </row>
    <row r="499" spans="1:4" x14ac:dyDescent="0.25">
      <c r="A499" t="s">
        <v>1561</v>
      </c>
      <c r="B499">
        <v>2.5590000000000002</v>
      </c>
      <c r="C499" t="str">
        <f t="shared" si="7"/>
        <v>CITY OF PEARLAND</v>
      </c>
      <c r="D499" t="b">
        <v>0</v>
      </c>
    </row>
    <row r="500" spans="1:4" x14ac:dyDescent="0.25">
      <c r="A500" t="s">
        <v>165</v>
      </c>
      <c r="B500">
        <v>2.5510000000000002</v>
      </c>
      <c r="C500" t="str">
        <f t="shared" si="7"/>
        <v>CITY OF ROSENBERG</v>
      </c>
      <c r="D500" t="b">
        <v>0</v>
      </c>
    </row>
    <row r="501" spans="1:4" x14ac:dyDescent="0.25">
      <c r="A501" t="s">
        <v>2232</v>
      </c>
      <c r="B501">
        <v>2.5299999999999998</v>
      </c>
      <c r="C501" t="str">
        <f t="shared" si="7"/>
        <v>PHILLIPS 66 PIPELINE LLC AND PHILLIPS 66 CARRIER LLC</v>
      </c>
      <c r="D501" t="b">
        <v>0</v>
      </c>
    </row>
    <row r="502" spans="1:4" x14ac:dyDescent="0.25">
      <c r="A502" t="s">
        <v>375</v>
      </c>
      <c r="B502">
        <v>2.5259</v>
      </c>
      <c r="C502" t="str">
        <f t="shared" si="7"/>
        <v>CITY OF GEORGETOWN</v>
      </c>
      <c r="D502" t="b">
        <v>0</v>
      </c>
    </row>
    <row r="503" spans="1:4" x14ac:dyDescent="0.25">
      <c r="A503" t="s">
        <v>2703</v>
      </c>
      <c r="B503">
        <v>2.5099999999999998</v>
      </c>
      <c r="C503" t="str">
        <f t="shared" si="7"/>
        <v>UPPER TRINITY REGIONAL WATER DISTRICT</v>
      </c>
      <c r="D503" t="b">
        <v>0</v>
      </c>
    </row>
    <row r="504" spans="1:4" x14ac:dyDescent="0.25">
      <c r="A504" t="s">
        <v>144</v>
      </c>
      <c r="B504">
        <v>2.5089999999999999</v>
      </c>
      <c r="C504" t="str">
        <f t="shared" si="7"/>
        <v>CITY OF COPPERAS COVE</v>
      </c>
      <c r="D504" t="b">
        <v>0</v>
      </c>
    </row>
    <row r="505" spans="1:4" x14ac:dyDescent="0.25">
      <c r="A505" t="s">
        <v>2789</v>
      </c>
      <c r="B505">
        <v>2.5</v>
      </c>
      <c r="C505" t="str">
        <f t="shared" si="7"/>
        <v>CITY OF DALLAS</v>
      </c>
      <c r="D505" t="b">
        <v>0</v>
      </c>
    </row>
    <row r="506" spans="1:4" x14ac:dyDescent="0.25">
      <c r="A506" t="s">
        <v>1044</v>
      </c>
      <c r="B506">
        <v>2.5</v>
      </c>
      <c r="C506" t="str">
        <f t="shared" si="7"/>
        <v>CITGO REFINING AND CHEMICALS CO LP</v>
      </c>
      <c r="D506" t="b">
        <v>0</v>
      </c>
    </row>
    <row r="507" spans="1:4" x14ac:dyDescent="0.25">
      <c r="A507" t="s">
        <v>115</v>
      </c>
      <c r="B507">
        <v>2.5</v>
      </c>
      <c r="C507" t="str">
        <f t="shared" si="7"/>
        <v>CITY OF BRYAN</v>
      </c>
      <c r="D507" t="b">
        <v>0</v>
      </c>
    </row>
    <row r="508" spans="1:4" x14ac:dyDescent="0.25">
      <c r="A508" t="s">
        <v>1008</v>
      </c>
      <c r="B508">
        <v>2.5</v>
      </c>
      <c r="C508" t="str">
        <f t="shared" si="7"/>
        <v>CITY OF WESLACO</v>
      </c>
      <c r="D508" t="b">
        <v>0</v>
      </c>
    </row>
    <row r="509" spans="1:4" x14ac:dyDescent="0.25">
      <c r="A509" t="s">
        <v>916</v>
      </c>
      <c r="B509">
        <v>2.4750000000000001</v>
      </c>
      <c r="C509" t="str">
        <f t="shared" si="7"/>
        <v>ORANGE COUNTY WCID 1</v>
      </c>
      <c r="D509" t="b">
        <v>0</v>
      </c>
    </row>
    <row r="510" spans="1:4" x14ac:dyDescent="0.25">
      <c r="A510" t="s">
        <v>1738</v>
      </c>
      <c r="B510">
        <v>2.4700000000000002</v>
      </c>
      <c r="C510" t="str">
        <f t="shared" si="7"/>
        <v>ALBEMARLE CORP</v>
      </c>
      <c r="D510" t="b">
        <v>0</v>
      </c>
    </row>
    <row r="511" spans="1:4" x14ac:dyDescent="0.25">
      <c r="A511" t="s">
        <v>1247</v>
      </c>
      <c r="B511">
        <v>2.4700000000000002</v>
      </c>
      <c r="C511" t="str">
        <f t="shared" si="7"/>
        <v>CITY OF DEL RIO</v>
      </c>
      <c r="D511" t="b">
        <v>0</v>
      </c>
    </row>
    <row r="512" spans="1:4" x14ac:dyDescent="0.25">
      <c r="A512" t="s">
        <v>1833</v>
      </c>
      <c r="B512">
        <v>2.4677419999999999</v>
      </c>
      <c r="C512" t="str">
        <f t="shared" si="7"/>
        <v>HARRIS COUNTY WCID 133</v>
      </c>
      <c r="D512" t="b">
        <v>0</v>
      </c>
    </row>
    <row r="513" spans="1:4" x14ac:dyDescent="0.25">
      <c r="A513" t="s">
        <v>504</v>
      </c>
      <c r="B513">
        <v>2.44</v>
      </c>
      <c r="C513" t="str">
        <f t="shared" si="7"/>
        <v>CITY OF BIG SPRING</v>
      </c>
      <c r="D513" t="b">
        <v>0</v>
      </c>
    </row>
    <row r="514" spans="1:4" x14ac:dyDescent="0.25">
      <c r="A514" t="s">
        <v>2594</v>
      </c>
      <c r="B514">
        <v>2.4340000000000002</v>
      </c>
      <c r="C514" t="str">
        <f t="shared" ref="C514:C577" si="8">VLOOKUP(A514,PERMITTEES,2,FALSE)</f>
        <v>ENTERPRISE PRODUCTS OPERATING LLC</v>
      </c>
      <c r="D514" t="b">
        <v>0</v>
      </c>
    </row>
    <row r="515" spans="1:4" x14ac:dyDescent="0.25">
      <c r="A515" t="s">
        <v>412</v>
      </c>
      <c r="B515">
        <v>2.4300000000000002</v>
      </c>
      <c r="C515" t="str">
        <f t="shared" si="8"/>
        <v>ALCOA WORLD ALUMINA LLC</v>
      </c>
      <c r="D515" t="b">
        <v>0</v>
      </c>
    </row>
    <row r="516" spans="1:4" x14ac:dyDescent="0.25">
      <c r="A516" t="s">
        <v>1849</v>
      </c>
      <c r="B516">
        <v>2.4072</v>
      </c>
      <c r="C516" t="str">
        <f t="shared" si="8"/>
        <v>HARRIS COUNTY WCID NO 1</v>
      </c>
      <c r="D516" t="b">
        <v>0</v>
      </c>
    </row>
    <row r="517" spans="1:4" x14ac:dyDescent="0.25">
      <c r="A517" t="s">
        <v>1497</v>
      </c>
      <c r="B517">
        <v>2.3759999999999999</v>
      </c>
      <c r="C517" t="str">
        <f t="shared" si="8"/>
        <v>CITY PUBLIC SERVICE OF SAN ANTONIO</v>
      </c>
      <c r="D517" t="b">
        <v>0</v>
      </c>
    </row>
    <row r="518" spans="1:4" x14ac:dyDescent="0.25">
      <c r="A518" t="s">
        <v>1077</v>
      </c>
      <c r="B518">
        <v>2.37</v>
      </c>
      <c r="C518" t="str">
        <f t="shared" si="8"/>
        <v>CITY OF CORPUS CHRISTI</v>
      </c>
      <c r="D518" t="b">
        <v>0</v>
      </c>
    </row>
    <row r="519" spans="1:4" x14ac:dyDescent="0.25">
      <c r="A519" t="s">
        <v>2139</v>
      </c>
      <c r="B519">
        <v>2.3639999999999999</v>
      </c>
      <c r="C519" t="str">
        <f t="shared" si="8"/>
        <v>HARRIS COUNTY FWSD 61</v>
      </c>
      <c r="D519" t="b">
        <v>0</v>
      </c>
    </row>
    <row r="520" spans="1:4" x14ac:dyDescent="0.25">
      <c r="A520" t="s">
        <v>2097</v>
      </c>
      <c r="B520">
        <v>2.36</v>
      </c>
      <c r="C520" t="str">
        <f t="shared" si="8"/>
        <v>EQUISTAR CHEMICALS LP</v>
      </c>
      <c r="D520" t="b">
        <v>0</v>
      </c>
    </row>
    <row r="521" spans="1:4" x14ac:dyDescent="0.25">
      <c r="A521" t="s">
        <v>1977</v>
      </c>
      <c r="B521">
        <v>2.3570000000000002</v>
      </c>
      <c r="C521" t="str">
        <f t="shared" si="8"/>
        <v>OXY VINYLS LP</v>
      </c>
      <c r="D521" t="b">
        <v>0</v>
      </c>
    </row>
    <row r="522" spans="1:4" x14ac:dyDescent="0.25">
      <c r="A522" t="s">
        <v>1076</v>
      </c>
      <c r="B522">
        <v>2.35</v>
      </c>
      <c r="C522" t="str">
        <f t="shared" si="8"/>
        <v>CITY OF CORPUS CHRISTI</v>
      </c>
      <c r="D522" t="b">
        <v>0</v>
      </c>
    </row>
    <row r="523" spans="1:4" x14ac:dyDescent="0.25">
      <c r="A523" t="s">
        <v>51</v>
      </c>
      <c r="B523">
        <v>2.35</v>
      </c>
      <c r="C523" t="str">
        <f t="shared" si="8"/>
        <v>VULCAN CONSTRUCTION MATERIALS LLC</v>
      </c>
      <c r="D523" t="b">
        <v>0</v>
      </c>
    </row>
    <row r="524" spans="1:4" x14ac:dyDescent="0.25">
      <c r="A524" t="s">
        <v>147</v>
      </c>
      <c r="B524">
        <v>2.3479999999999999</v>
      </c>
      <c r="C524" t="str">
        <f t="shared" si="8"/>
        <v>CITY OF GATESVILLE</v>
      </c>
      <c r="D524" t="b">
        <v>0</v>
      </c>
    </row>
    <row r="525" spans="1:4" x14ac:dyDescent="0.25">
      <c r="A525" t="s">
        <v>1697</v>
      </c>
      <c r="B525">
        <v>2.347</v>
      </c>
      <c r="C525" t="str">
        <f t="shared" si="8"/>
        <v>CITY OF KATY</v>
      </c>
      <c r="D525" t="b">
        <v>0</v>
      </c>
    </row>
    <row r="526" spans="1:4" x14ac:dyDescent="0.25">
      <c r="A526" t="s">
        <v>1682</v>
      </c>
      <c r="B526">
        <v>2.3403</v>
      </c>
      <c r="C526" t="str">
        <f t="shared" si="8"/>
        <v>LBC HOUSTON LP</v>
      </c>
      <c r="D526" t="b">
        <v>0</v>
      </c>
    </row>
    <row r="527" spans="1:4" x14ac:dyDescent="0.25">
      <c r="A527" t="s">
        <v>86</v>
      </c>
      <c r="B527">
        <v>2.339</v>
      </c>
      <c r="C527" t="str">
        <f t="shared" si="8"/>
        <v>VENCOREX US INC</v>
      </c>
      <c r="D527" t="b">
        <v>0</v>
      </c>
    </row>
    <row r="528" spans="1:4" x14ac:dyDescent="0.25">
      <c r="A528" t="s">
        <v>1499</v>
      </c>
      <c r="B528">
        <v>2.3130999999999999</v>
      </c>
      <c r="C528" t="str">
        <f t="shared" si="8"/>
        <v>CITY PUBLIC SERVICE OF SAN ANTONIO</v>
      </c>
      <c r="D528" t="b">
        <v>0</v>
      </c>
    </row>
    <row r="529" spans="1:4" x14ac:dyDescent="0.25">
      <c r="A529" t="s">
        <v>1009</v>
      </c>
      <c r="B529">
        <v>2.306</v>
      </c>
      <c r="C529" t="str">
        <f t="shared" si="8"/>
        <v>CITY OF SAN JUAN</v>
      </c>
      <c r="D529" t="b">
        <v>0</v>
      </c>
    </row>
    <row r="530" spans="1:4" x14ac:dyDescent="0.25">
      <c r="A530" t="s">
        <v>1907</v>
      </c>
      <c r="B530">
        <v>2.3039999999999998</v>
      </c>
      <c r="C530" t="str">
        <f t="shared" si="8"/>
        <v>MEMORIAL VILLAGES WATER AUTHORITY</v>
      </c>
      <c r="D530" t="b">
        <v>0</v>
      </c>
    </row>
    <row r="531" spans="1:4" x14ac:dyDescent="0.25">
      <c r="A531" t="s">
        <v>129</v>
      </c>
      <c r="B531">
        <v>2.2999999999999998</v>
      </c>
      <c r="C531" t="str">
        <f t="shared" si="8"/>
        <v>TEXAS A&amp;M UNIVERSITY</v>
      </c>
      <c r="D531" t="b">
        <v>0</v>
      </c>
    </row>
    <row r="532" spans="1:4" x14ac:dyDescent="0.25">
      <c r="A532" t="s">
        <v>384</v>
      </c>
      <c r="B532">
        <v>2.29</v>
      </c>
      <c r="C532" t="str">
        <f t="shared" si="8"/>
        <v>CITY OF GEORGETOWN</v>
      </c>
      <c r="D532" t="b">
        <v>0</v>
      </c>
    </row>
    <row r="533" spans="1:4" x14ac:dyDescent="0.25">
      <c r="A533" t="s">
        <v>872</v>
      </c>
      <c r="B533">
        <v>2.2892999999999999</v>
      </c>
      <c r="C533" t="str">
        <f t="shared" si="8"/>
        <v>SUNOCO PARTNERS MARKETING &amp; TERMINAL LP</v>
      </c>
      <c r="D533" t="b">
        <v>0</v>
      </c>
    </row>
    <row r="534" spans="1:4" x14ac:dyDescent="0.25">
      <c r="A534" t="s">
        <v>2522</v>
      </c>
      <c r="B534">
        <v>2.2829999999999999</v>
      </c>
      <c r="C534" t="str">
        <f t="shared" si="8"/>
        <v>CITY OF NEW BOSTON</v>
      </c>
      <c r="D534" t="b">
        <v>0</v>
      </c>
    </row>
    <row r="535" spans="1:4" x14ac:dyDescent="0.25">
      <c r="A535" t="s">
        <v>631</v>
      </c>
      <c r="B535">
        <v>2.2799999999999998</v>
      </c>
      <c r="C535" t="str">
        <f t="shared" si="8"/>
        <v>CITY OF SEGUIN</v>
      </c>
      <c r="D535" t="b">
        <v>0</v>
      </c>
    </row>
    <row r="536" spans="1:4" x14ac:dyDescent="0.25">
      <c r="A536" t="s">
        <v>2700</v>
      </c>
      <c r="B536">
        <v>2.2799999999999998</v>
      </c>
      <c r="C536" t="str">
        <f t="shared" si="8"/>
        <v>UPPER TRINITY REGIONAL WATER DISTRICT</v>
      </c>
      <c r="D536" t="b">
        <v>0</v>
      </c>
    </row>
    <row r="537" spans="1:4" x14ac:dyDescent="0.25">
      <c r="A537" t="s">
        <v>2865</v>
      </c>
      <c r="B537">
        <v>2.2519999999999998</v>
      </c>
      <c r="C537" t="str">
        <f t="shared" si="8"/>
        <v>NORTH TEXAS MUNICIPAL WATER DISTRICT</v>
      </c>
      <c r="D537" t="b">
        <v>0</v>
      </c>
    </row>
    <row r="538" spans="1:4" x14ac:dyDescent="0.25">
      <c r="A538" t="s">
        <v>1156</v>
      </c>
      <c r="B538">
        <v>2.2509999999999999</v>
      </c>
      <c r="C538" t="str">
        <f t="shared" si="8"/>
        <v>CITY OF BONHAM</v>
      </c>
      <c r="D538" t="b">
        <v>0</v>
      </c>
    </row>
    <row r="539" spans="1:4" x14ac:dyDescent="0.25">
      <c r="A539" t="s">
        <v>1480</v>
      </c>
      <c r="B539">
        <v>2.25</v>
      </c>
      <c r="C539" t="str">
        <f t="shared" si="8"/>
        <v>OCCIDENTAL CHEMICAL CORP</v>
      </c>
      <c r="D539" t="b">
        <v>0</v>
      </c>
    </row>
    <row r="540" spans="1:4" x14ac:dyDescent="0.25">
      <c r="A540" t="s">
        <v>760</v>
      </c>
      <c r="B540">
        <v>2.2400000000000002</v>
      </c>
      <c r="C540" t="str">
        <f t="shared" si="8"/>
        <v>GULFCO FORGE CO LLC</v>
      </c>
      <c r="D540" t="b">
        <v>0</v>
      </c>
    </row>
    <row r="541" spans="1:4" x14ac:dyDescent="0.25">
      <c r="A541" t="s">
        <v>1810</v>
      </c>
      <c r="B541">
        <v>2.2399</v>
      </c>
      <c r="C541" t="str">
        <f t="shared" si="8"/>
        <v>MAGELLAN TERMINALS HOLDINGS LP</v>
      </c>
      <c r="D541" t="b">
        <v>0</v>
      </c>
    </row>
    <row r="542" spans="1:4" x14ac:dyDescent="0.25">
      <c r="A542" t="s">
        <v>283</v>
      </c>
      <c r="B542">
        <v>2.2349999999999999</v>
      </c>
      <c r="C542" t="str">
        <f t="shared" si="8"/>
        <v>CITY OF LUBBOCK</v>
      </c>
      <c r="D542" t="b">
        <v>0</v>
      </c>
    </row>
    <row r="543" spans="1:4" x14ac:dyDescent="0.25">
      <c r="A543" t="s">
        <v>104</v>
      </c>
      <c r="B543">
        <v>2.21</v>
      </c>
      <c r="C543" t="str">
        <f t="shared" si="8"/>
        <v>SHINTECH INC</v>
      </c>
      <c r="D543" t="b">
        <v>0</v>
      </c>
    </row>
    <row r="544" spans="1:4" x14ac:dyDescent="0.25">
      <c r="A544" t="s">
        <v>1721</v>
      </c>
      <c r="B544">
        <v>2.2000000000000002</v>
      </c>
      <c r="C544" t="str">
        <f t="shared" si="8"/>
        <v>VALERO REFINING TEXAS LP</v>
      </c>
      <c r="D544" t="b">
        <v>0</v>
      </c>
    </row>
    <row r="545" spans="1:4" x14ac:dyDescent="0.25">
      <c r="A545" t="s">
        <v>2284</v>
      </c>
      <c r="B545">
        <v>2.2000000000000002</v>
      </c>
      <c r="C545" t="str">
        <f t="shared" si="8"/>
        <v>EQUISTAR CHEMICALS LP AND LYONDELLBASELL ACETYLS LLC</v>
      </c>
      <c r="D545" t="b">
        <v>0</v>
      </c>
    </row>
    <row r="546" spans="1:4" x14ac:dyDescent="0.25">
      <c r="A546" t="s">
        <v>155</v>
      </c>
      <c r="B546">
        <v>2.1840000000000002</v>
      </c>
      <c r="C546" t="str">
        <f t="shared" si="8"/>
        <v>CITY OF STEPHENVILLE</v>
      </c>
      <c r="D546" t="b">
        <v>0</v>
      </c>
    </row>
    <row r="547" spans="1:4" x14ac:dyDescent="0.25">
      <c r="A547" t="s">
        <v>1593</v>
      </c>
      <c r="B547">
        <v>2.1819999999999999</v>
      </c>
      <c r="C547" t="str">
        <f t="shared" si="8"/>
        <v>CITY OF MISSOURI CITY</v>
      </c>
      <c r="D547" t="b">
        <v>0</v>
      </c>
    </row>
    <row r="548" spans="1:4" x14ac:dyDescent="0.25">
      <c r="A548" t="s">
        <v>742</v>
      </c>
      <c r="B548">
        <v>2.17</v>
      </c>
      <c r="C548" t="str">
        <f t="shared" si="8"/>
        <v>GULF WEST LANDFILL TX LP</v>
      </c>
      <c r="D548" t="b">
        <v>0</v>
      </c>
    </row>
    <row r="549" spans="1:4" x14ac:dyDescent="0.25">
      <c r="A549" t="s">
        <v>1489</v>
      </c>
      <c r="B549">
        <v>2.1509999999999998</v>
      </c>
      <c r="C549" t="str">
        <f t="shared" si="8"/>
        <v>SAN ANTONIO RIVER AUTHORITY</v>
      </c>
      <c r="D549" t="b">
        <v>0</v>
      </c>
    </row>
    <row r="550" spans="1:4" x14ac:dyDescent="0.25">
      <c r="A550" t="s">
        <v>1495</v>
      </c>
      <c r="B550">
        <v>2.1379999999999999</v>
      </c>
      <c r="C550" t="str">
        <f t="shared" si="8"/>
        <v>CITY PUBLIC SERVICE OF SAN ANTONIO</v>
      </c>
      <c r="D550" t="b">
        <v>0</v>
      </c>
    </row>
    <row r="551" spans="1:4" x14ac:dyDescent="0.25">
      <c r="A551" t="s">
        <v>1554</v>
      </c>
      <c r="B551">
        <v>2.13</v>
      </c>
      <c r="C551" t="str">
        <f t="shared" si="8"/>
        <v>PHILLIPS 66 CO</v>
      </c>
      <c r="D551" t="b">
        <v>0</v>
      </c>
    </row>
    <row r="552" spans="1:4" x14ac:dyDescent="0.25">
      <c r="A552" t="s">
        <v>1353</v>
      </c>
      <c r="B552">
        <v>2.1158220000000001</v>
      </c>
      <c r="C552" t="str">
        <f t="shared" si="8"/>
        <v>JP ENERGY CADDO LLC</v>
      </c>
      <c r="D552" t="b">
        <v>0</v>
      </c>
    </row>
    <row r="553" spans="1:4" x14ac:dyDescent="0.25">
      <c r="A553" t="s">
        <v>2604</v>
      </c>
      <c r="B553">
        <v>2.1</v>
      </c>
      <c r="C553" t="str">
        <f t="shared" si="8"/>
        <v>CHEVRON PHILLIPS CHEMICAL CO LP</v>
      </c>
      <c r="D553" t="b">
        <v>0</v>
      </c>
    </row>
    <row r="554" spans="1:4" x14ac:dyDescent="0.25">
      <c r="A554" t="s">
        <v>185</v>
      </c>
      <c r="B554">
        <v>2.0960000000000001</v>
      </c>
      <c r="C554" t="str">
        <f t="shared" si="8"/>
        <v>CITY OF RICHMOND</v>
      </c>
      <c r="D554" t="b">
        <v>0</v>
      </c>
    </row>
    <row r="555" spans="1:4" x14ac:dyDescent="0.25">
      <c r="A555" t="s">
        <v>1732</v>
      </c>
      <c r="B555">
        <v>2.09</v>
      </c>
      <c r="C555" t="str">
        <f t="shared" si="8"/>
        <v>THE GOODYEAR TIRE &amp; RUBBER CO</v>
      </c>
      <c r="D555" t="b">
        <v>0</v>
      </c>
    </row>
    <row r="556" spans="1:4" x14ac:dyDescent="0.25">
      <c r="A556" t="s">
        <v>345</v>
      </c>
      <c r="B556">
        <v>2.0880000000000001</v>
      </c>
      <c r="C556" t="str">
        <f t="shared" si="8"/>
        <v>KT MINING LLC</v>
      </c>
      <c r="D556" t="b">
        <v>0</v>
      </c>
    </row>
    <row r="557" spans="1:4" x14ac:dyDescent="0.25">
      <c r="A557" t="s">
        <v>1252</v>
      </c>
      <c r="B557">
        <v>2.081</v>
      </c>
      <c r="C557" t="str">
        <f t="shared" si="8"/>
        <v>CITY OF LAREDO</v>
      </c>
      <c r="D557" t="b">
        <v>0</v>
      </c>
    </row>
    <row r="558" spans="1:4" x14ac:dyDescent="0.25">
      <c r="A558" t="s">
        <v>1822</v>
      </c>
      <c r="B558">
        <v>2.08</v>
      </c>
      <c r="C558" t="str">
        <f t="shared" si="8"/>
        <v>OXY VINYLS LP</v>
      </c>
      <c r="D558" t="b">
        <v>0</v>
      </c>
    </row>
    <row r="559" spans="1:4" x14ac:dyDescent="0.25">
      <c r="A559" t="s">
        <v>294</v>
      </c>
      <c r="B559">
        <v>2.06</v>
      </c>
      <c r="C559" t="str">
        <f t="shared" si="8"/>
        <v>SANDY CREEK ENERGY ASSOCIATES LP AND SANDY CREEK SERVICES LLC</v>
      </c>
      <c r="D559" t="b">
        <v>0</v>
      </c>
    </row>
    <row r="560" spans="1:4" x14ac:dyDescent="0.25">
      <c r="A560" t="s">
        <v>1992</v>
      </c>
      <c r="B560">
        <v>2.0590000000000002</v>
      </c>
      <c r="C560" t="str">
        <f t="shared" si="8"/>
        <v>GEORGIA GULF CHEMICALS &amp; VINYL LLC</v>
      </c>
      <c r="D560" t="b">
        <v>0</v>
      </c>
    </row>
    <row r="561" spans="1:4" x14ac:dyDescent="0.25">
      <c r="A561" t="s">
        <v>2024</v>
      </c>
      <c r="B561">
        <v>2.0470000000000002</v>
      </c>
      <c r="C561" t="str">
        <f t="shared" si="8"/>
        <v>HARRIS COUNTY MUD 208</v>
      </c>
      <c r="D561" t="b">
        <v>0</v>
      </c>
    </row>
    <row r="562" spans="1:4" x14ac:dyDescent="0.25">
      <c r="A562" t="s">
        <v>267</v>
      </c>
      <c r="B562">
        <v>2.02</v>
      </c>
      <c r="C562" t="str">
        <f t="shared" si="8"/>
        <v>US SILICA CO</v>
      </c>
      <c r="D562" t="b">
        <v>0</v>
      </c>
    </row>
    <row r="563" spans="1:4" x14ac:dyDescent="0.25">
      <c r="A563" t="s">
        <v>1248</v>
      </c>
      <c r="B563">
        <v>2.0169999999999999</v>
      </c>
      <c r="C563" t="str">
        <f t="shared" si="8"/>
        <v>CITY OF DEL RIO</v>
      </c>
      <c r="D563" t="b">
        <v>0</v>
      </c>
    </row>
    <row r="564" spans="1:4" x14ac:dyDescent="0.25">
      <c r="A564" t="s">
        <v>1883</v>
      </c>
      <c r="B564">
        <v>2.016</v>
      </c>
      <c r="C564" t="str">
        <f t="shared" si="8"/>
        <v>HARRIS COUNTY WCID NO 109</v>
      </c>
      <c r="D564" t="b">
        <v>0</v>
      </c>
    </row>
    <row r="565" spans="1:4" x14ac:dyDescent="0.25">
      <c r="A565" t="s">
        <v>1617</v>
      </c>
      <c r="B565">
        <v>2.0099999999999998</v>
      </c>
      <c r="C565" t="str">
        <f t="shared" si="8"/>
        <v>EASTMAN CHEMICAL TEXAS CITY INC</v>
      </c>
      <c r="D565" t="b">
        <v>0</v>
      </c>
    </row>
    <row r="566" spans="1:4" x14ac:dyDescent="0.25">
      <c r="A566" t="s">
        <v>1831</v>
      </c>
      <c r="B566">
        <v>2.0070000000000001</v>
      </c>
      <c r="C566" t="str">
        <f t="shared" si="8"/>
        <v>CITY OF HOUSTON</v>
      </c>
      <c r="D566" t="b">
        <v>0</v>
      </c>
    </row>
    <row r="567" spans="1:4" x14ac:dyDescent="0.25">
      <c r="A567" t="s">
        <v>94</v>
      </c>
      <c r="B567">
        <v>2.0049999999999999</v>
      </c>
      <c r="C567" t="str">
        <f t="shared" si="8"/>
        <v>CITY OF WEST COLUMBIA</v>
      </c>
      <c r="D567" t="b">
        <v>0</v>
      </c>
    </row>
    <row r="568" spans="1:4" x14ac:dyDescent="0.25">
      <c r="A568" t="s">
        <v>2705</v>
      </c>
      <c r="B568">
        <v>2</v>
      </c>
      <c r="C568" t="str">
        <f t="shared" si="8"/>
        <v>CITY OF MILFORD</v>
      </c>
      <c r="D568" t="b">
        <v>0</v>
      </c>
    </row>
    <row r="569" spans="1:4" x14ac:dyDescent="0.25">
      <c r="A569" t="s">
        <v>2727</v>
      </c>
      <c r="B569">
        <v>2</v>
      </c>
      <c r="C569" t="e">
        <f t="shared" si="8"/>
        <v>#N/A</v>
      </c>
      <c r="D569" t="b">
        <v>0</v>
      </c>
    </row>
    <row r="570" spans="1:4" x14ac:dyDescent="0.25">
      <c r="A570" t="s">
        <v>1298</v>
      </c>
      <c r="B570">
        <v>2</v>
      </c>
      <c r="C570" t="e">
        <f t="shared" si="8"/>
        <v>#N/A</v>
      </c>
      <c r="D570" t="b">
        <v>0</v>
      </c>
    </row>
    <row r="571" spans="1:4" x14ac:dyDescent="0.25">
      <c r="A571" t="s">
        <v>1313</v>
      </c>
      <c r="B571">
        <v>2</v>
      </c>
      <c r="C571" t="e">
        <f t="shared" si="8"/>
        <v>#N/A</v>
      </c>
      <c r="D571" t="b">
        <v>0</v>
      </c>
    </row>
    <row r="572" spans="1:4" x14ac:dyDescent="0.25">
      <c r="A572" t="s">
        <v>176</v>
      </c>
      <c r="B572">
        <v>2</v>
      </c>
      <c r="C572" t="str">
        <f t="shared" si="8"/>
        <v>LAMAR CONSOLIDATED ISD</v>
      </c>
      <c r="D572" t="b">
        <v>0</v>
      </c>
    </row>
    <row r="573" spans="1:4" x14ac:dyDescent="0.25">
      <c r="A573" t="s">
        <v>181</v>
      </c>
      <c r="B573">
        <v>2</v>
      </c>
      <c r="C573" t="str">
        <f t="shared" si="8"/>
        <v>LONE STAR GROWERS LP</v>
      </c>
      <c r="D573" t="b">
        <v>0</v>
      </c>
    </row>
    <row r="574" spans="1:4" x14ac:dyDescent="0.25">
      <c r="A574" t="s">
        <v>496</v>
      </c>
      <c r="B574">
        <v>2</v>
      </c>
      <c r="C574" t="str">
        <f t="shared" si="8"/>
        <v>COOPER NATURAL RESOURCES INC</v>
      </c>
      <c r="D574" t="b">
        <v>0</v>
      </c>
    </row>
    <row r="575" spans="1:4" x14ac:dyDescent="0.25">
      <c r="A575" t="s">
        <v>2797</v>
      </c>
      <c r="B575">
        <v>2</v>
      </c>
      <c r="C575" t="str">
        <f t="shared" si="8"/>
        <v>FPLE FORNEY LLC</v>
      </c>
      <c r="D575" t="b">
        <v>0</v>
      </c>
    </row>
    <row r="576" spans="1:4" x14ac:dyDescent="0.25">
      <c r="A576" t="s">
        <v>321</v>
      </c>
      <c r="B576">
        <v>2</v>
      </c>
      <c r="C576" t="str">
        <f t="shared" si="8"/>
        <v>METROPLEX QUARRYS INC</v>
      </c>
      <c r="D576" t="b">
        <v>0</v>
      </c>
    </row>
    <row r="577" spans="1:4" x14ac:dyDescent="0.25">
      <c r="A577" t="s">
        <v>322</v>
      </c>
      <c r="B577">
        <v>2</v>
      </c>
      <c r="C577" t="str">
        <f t="shared" si="8"/>
        <v>METROPLES QUARRYS INC</v>
      </c>
      <c r="D577" t="b">
        <v>0</v>
      </c>
    </row>
    <row r="578" spans="1:4" x14ac:dyDescent="0.25">
      <c r="A578" t="s">
        <v>323</v>
      </c>
      <c r="B578">
        <v>2</v>
      </c>
      <c r="C578" t="str">
        <f t="shared" ref="C578:C641" si="9">VLOOKUP(A578,PERMITTEES,2,FALSE)</f>
        <v>METROPLEX QUARRYS INC</v>
      </c>
      <c r="D578" t="b">
        <v>0</v>
      </c>
    </row>
    <row r="579" spans="1:4" x14ac:dyDescent="0.25">
      <c r="A579" t="s">
        <v>324</v>
      </c>
      <c r="B579">
        <v>2</v>
      </c>
      <c r="C579" t="str">
        <f t="shared" si="9"/>
        <v>METROPLEX QUARRYS INC</v>
      </c>
      <c r="D579" t="b">
        <v>0</v>
      </c>
    </row>
    <row r="580" spans="1:4" x14ac:dyDescent="0.25">
      <c r="A580" t="s">
        <v>325</v>
      </c>
      <c r="B580">
        <v>2</v>
      </c>
      <c r="C580" t="str">
        <f t="shared" si="9"/>
        <v>METROPLEX QUARRYS INC</v>
      </c>
      <c r="D580" t="b">
        <v>0</v>
      </c>
    </row>
    <row r="581" spans="1:4" x14ac:dyDescent="0.25">
      <c r="A581" t="s">
        <v>326</v>
      </c>
      <c r="B581">
        <v>2</v>
      </c>
      <c r="C581" t="str">
        <f t="shared" si="9"/>
        <v>METROPLEX QUARRYS INC</v>
      </c>
      <c r="D581" t="b">
        <v>0</v>
      </c>
    </row>
    <row r="582" spans="1:4" x14ac:dyDescent="0.25">
      <c r="A582" t="s">
        <v>327</v>
      </c>
      <c r="B582">
        <v>2</v>
      </c>
      <c r="C582" t="str">
        <f t="shared" si="9"/>
        <v>METROPLEX QUARRYS INC</v>
      </c>
      <c r="D582" t="b">
        <v>0</v>
      </c>
    </row>
    <row r="583" spans="1:4" x14ac:dyDescent="0.25">
      <c r="A583" t="s">
        <v>328</v>
      </c>
      <c r="B583">
        <v>2</v>
      </c>
      <c r="C583" t="str">
        <f t="shared" si="9"/>
        <v>METROPLEX QUARRYS INC</v>
      </c>
      <c r="D583" t="b">
        <v>0</v>
      </c>
    </row>
    <row r="584" spans="1:4" x14ac:dyDescent="0.25">
      <c r="A584" t="s">
        <v>2345</v>
      </c>
      <c r="B584">
        <v>2</v>
      </c>
      <c r="C584" t="str">
        <f t="shared" si="9"/>
        <v>JMH HOMES-HOUSTON LLC</v>
      </c>
      <c r="D584" t="b">
        <v>0</v>
      </c>
    </row>
    <row r="585" spans="1:4" x14ac:dyDescent="0.25">
      <c r="A585" t="s">
        <v>500</v>
      </c>
      <c r="B585">
        <v>2</v>
      </c>
      <c r="C585" t="str">
        <f t="shared" si="9"/>
        <v>GAINES COUNTY WATER COMPANY LLC</v>
      </c>
      <c r="D585" t="b">
        <v>0</v>
      </c>
    </row>
    <row r="586" spans="1:4" x14ac:dyDescent="0.25">
      <c r="A586" t="s">
        <v>382</v>
      </c>
      <c r="B586">
        <v>1.9910000000000001</v>
      </c>
      <c r="C586" t="str">
        <f t="shared" si="9"/>
        <v>CITY OF GEORGETOWN</v>
      </c>
      <c r="D586" t="b">
        <v>0</v>
      </c>
    </row>
    <row r="587" spans="1:4" x14ac:dyDescent="0.25">
      <c r="A587" t="s">
        <v>1949</v>
      </c>
      <c r="B587">
        <v>1.99</v>
      </c>
      <c r="C587" t="str">
        <f t="shared" si="9"/>
        <v>VALERO REFINING TEXAS LP</v>
      </c>
      <c r="D587" t="b">
        <v>0</v>
      </c>
    </row>
    <row r="588" spans="1:4" x14ac:dyDescent="0.25">
      <c r="A588" t="s">
        <v>1771</v>
      </c>
      <c r="B588">
        <v>1.9830000000000001</v>
      </c>
      <c r="C588" t="str">
        <f t="shared" si="9"/>
        <v>CLEAN HARBORS DEER PARK LP</v>
      </c>
      <c r="D588" t="b">
        <v>0</v>
      </c>
    </row>
    <row r="589" spans="1:4" x14ac:dyDescent="0.25">
      <c r="A589" t="s">
        <v>535</v>
      </c>
      <c r="B589">
        <v>1.9670000000000001</v>
      </c>
      <c r="C589" t="str">
        <f t="shared" si="9"/>
        <v>CITY OF SNYDER</v>
      </c>
      <c r="D589" t="b">
        <v>0</v>
      </c>
    </row>
    <row r="590" spans="1:4" x14ac:dyDescent="0.25">
      <c r="A590" t="s">
        <v>166</v>
      </c>
      <c r="B590">
        <v>1.962</v>
      </c>
      <c r="C590" t="str">
        <f t="shared" si="9"/>
        <v>QUAIL VALLEY UD</v>
      </c>
      <c r="D590" t="b">
        <v>0</v>
      </c>
    </row>
    <row r="591" spans="1:4" x14ac:dyDescent="0.25">
      <c r="A591" t="s">
        <v>1654</v>
      </c>
      <c r="B591">
        <v>1.9550000000000001</v>
      </c>
      <c r="C591" t="str">
        <f t="shared" si="9"/>
        <v>CITY OF LEAGUE CITY</v>
      </c>
      <c r="D591" t="b">
        <v>0</v>
      </c>
    </row>
    <row r="592" spans="1:4" x14ac:dyDescent="0.25">
      <c r="A592" t="s">
        <v>1665</v>
      </c>
      <c r="B592">
        <v>1.95</v>
      </c>
      <c r="C592" t="str">
        <f t="shared" si="9"/>
        <v>CITY OF SEABROOK</v>
      </c>
      <c r="D592" t="b">
        <v>0</v>
      </c>
    </row>
    <row r="593" spans="1:4" x14ac:dyDescent="0.25">
      <c r="A593" t="s">
        <v>773</v>
      </c>
      <c r="B593">
        <v>1.95</v>
      </c>
      <c r="C593" t="str">
        <f t="shared" si="9"/>
        <v>FLINT HILLS RESOURCES PORT ARTHUR LLC</v>
      </c>
      <c r="D593" t="b">
        <v>0</v>
      </c>
    </row>
    <row r="594" spans="1:4" x14ac:dyDescent="0.25">
      <c r="A594" t="s">
        <v>2265</v>
      </c>
      <c r="B594">
        <v>1.9340599999999999</v>
      </c>
      <c r="C594" t="str">
        <f t="shared" si="9"/>
        <v>CHEVRON USA INC</v>
      </c>
      <c r="D594" t="b">
        <v>0</v>
      </c>
    </row>
    <row r="595" spans="1:4" x14ac:dyDescent="0.25">
      <c r="A595" t="s">
        <v>1725</v>
      </c>
      <c r="B595">
        <v>1.9</v>
      </c>
      <c r="C595" t="str">
        <f t="shared" si="9"/>
        <v>VALERO REFINING TEXAS LP</v>
      </c>
      <c r="D595" t="b">
        <v>0</v>
      </c>
    </row>
    <row r="596" spans="1:4" x14ac:dyDescent="0.25">
      <c r="A596" t="s">
        <v>1314</v>
      </c>
      <c r="B596">
        <v>1.9</v>
      </c>
      <c r="C596" t="e">
        <f t="shared" si="9"/>
        <v>#N/A</v>
      </c>
      <c r="D596" t="b">
        <v>0</v>
      </c>
    </row>
    <row r="597" spans="1:4" x14ac:dyDescent="0.25">
      <c r="A597" t="s">
        <v>647</v>
      </c>
      <c r="B597">
        <v>1.9</v>
      </c>
      <c r="C597" t="str">
        <f t="shared" si="9"/>
        <v>CITY OF VICTORIA</v>
      </c>
      <c r="D597" t="b">
        <v>0</v>
      </c>
    </row>
    <row r="598" spans="1:4" x14ac:dyDescent="0.25">
      <c r="A598" t="s">
        <v>2862</v>
      </c>
      <c r="B598">
        <v>1.891</v>
      </c>
      <c r="C598" t="str">
        <f t="shared" si="9"/>
        <v>NORTH TEXAS MUNICIPAL WATER DISTRICT</v>
      </c>
      <c r="D598" t="b">
        <v>0</v>
      </c>
    </row>
    <row r="599" spans="1:4" x14ac:dyDescent="0.25">
      <c r="A599" t="s">
        <v>1952</v>
      </c>
      <c r="B599">
        <v>1.88</v>
      </c>
      <c r="C599" t="str">
        <f t="shared" si="9"/>
        <v>VALERO REFINING TEXAS LP</v>
      </c>
      <c r="D599" t="b">
        <v>0</v>
      </c>
    </row>
    <row r="600" spans="1:4" x14ac:dyDescent="0.25">
      <c r="A600" t="s">
        <v>2014</v>
      </c>
      <c r="B600">
        <v>1.853</v>
      </c>
      <c r="C600" t="str">
        <f t="shared" si="9"/>
        <v>HARRIS COUNTY MUD NO 157</v>
      </c>
      <c r="D600" t="b">
        <v>0</v>
      </c>
    </row>
    <row r="601" spans="1:4" x14ac:dyDescent="0.25">
      <c r="A601" t="s">
        <v>1063</v>
      </c>
      <c r="B601">
        <v>1.85</v>
      </c>
      <c r="C601" t="str">
        <f t="shared" si="9"/>
        <v>VALERO REFININGTEXAS LP</v>
      </c>
      <c r="D601" t="b">
        <v>0</v>
      </c>
    </row>
    <row r="602" spans="1:4" x14ac:dyDescent="0.25">
      <c r="A602" t="s">
        <v>92</v>
      </c>
      <c r="B602">
        <v>1.84</v>
      </c>
      <c r="C602" t="str">
        <f t="shared" si="9"/>
        <v>BASF CORP</v>
      </c>
      <c r="D602" t="b">
        <v>0</v>
      </c>
    </row>
    <row r="603" spans="1:4" x14ac:dyDescent="0.25">
      <c r="A603" t="s">
        <v>622</v>
      </c>
      <c r="B603">
        <v>1.84</v>
      </c>
      <c r="C603" t="str">
        <f t="shared" si="9"/>
        <v>CITY OF GONZALES</v>
      </c>
      <c r="D603" t="b">
        <v>0</v>
      </c>
    </row>
    <row r="604" spans="1:4" x14ac:dyDescent="0.25">
      <c r="A604" t="s">
        <v>1213</v>
      </c>
      <c r="B604">
        <v>1.84</v>
      </c>
      <c r="C604" t="str">
        <f t="shared" si="9"/>
        <v>HORIZON REGIONAL MUD</v>
      </c>
      <c r="D604" t="b">
        <v>0</v>
      </c>
    </row>
    <row r="605" spans="1:4" x14ac:dyDescent="0.25">
      <c r="A605" t="s">
        <v>218</v>
      </c>
      <c r="B605">
        <v>1.83</v>
      </c>
      <c r="C605" t="str">
        <f t="shared" si="9"/>
        <v>TEXAS MUNICIPAL POWER AGENCY</v>
      </c>
      <c r="D605" t="b">
        <v>0</v>
      </c>
    </row>
    <row r="606" spans="1:4" x14ac:dyDescent="0.25">
      <c r="A606" t="s">
        <v>2846</v>
      </c>
      <c r="B606">
        <v>1.8260000000000001</v>
      </c>
      <c r="C606" t="str">
        <f t="shared" si="9"/>
        <v>CITY OF LIVINGSTON</v>
      </c>
      <c r="D606" t="b">
        <v>0</v>
      </c>
    </row>
    <row r="607" spans="1:4" x14ac:dyDescent="0.25">
      <c r="A607" t="s">
        <v>834</v>
      </c>
      <c r="B607">
        <v>1.82</v>
      </c>
      <c r="C607" t="str">
        <f t="shared" si="9"/>
        <v>CITY OF JASPER</v>
      </c>
      <c r="D607" t="b">
        <v>0</v>
      </c>
    </row>
    <row r="608" spans="1:4" x14ac:dyDescent="0.25">
      <c r="A608" t="s">
        <v>1978</v>
      </c>
      <c r="B608">
        <v>1.82</v>
      </c>
      <c r="C608" t="str">
        <f t="shared" si="9"/>
        <v>OXY VINYLS LP</v>
      </c>
      <c r="D608" t="b">
        <v>0</v>
      </c>
    </row>
    <row r="609" spans="1:4" x14ac:dyDescent="0.25">
      <c r="A609" t="s">
        <v>738</v>
      </c>
      <c r="B609">
        <v>1.81</v>
      </c>
      <c r="C609" t="str">
        <f t="shared" si="9"/>
        <v>TRINITY BAY CONSERVATION DISTRICT</v>
      </c>
      <c r="D609" t="b">
        <v>0</v>
      </c>
    </row>
    <row r="610" spans="1:4" x14ac:dyDescent="0.25">
      <c r="A610" t="s">
        <v>1680</v>
      </c>
      <c r="B610">
        <v>1.8092999999999999</v>
      </c>
      <c r="C610" t="str">
        <f t="shared" si="9"/>
        <v>LBC HOUSTON LP</v>
      </c>
      <c r="D610" t="b">
        <v>0</v>
      </c>
    </row>
    <row r="611" spans="1:4" x14ac:dyDescent="0.25">
      <c r="A611" t="s">
        <v>541</v>
      </c>
      <c r="B611">
        <v>1.8069999999999999</v>
      </c>
      <c r="C611" t="str">
        <f t="shared" si="9"/>
        <v>SWWC UTILITIES INC</v>
      </c>
      <c r="D611" t="b">
        <v>0</v>
      </c>
    </row>
    <row r="612" spans="1:4" x14ac:dyDescent="0.25">
      <c r="A612" t="s">
        <v>183</v>
      </c>
      <c r="B612">
        <v>1.8049999999999999</v>
      </c>
      <c r="C612" t="str">
        <f t="shared" si="9"/>
        <v>CITY OF SUGAR LAND</v>
      </c>
      <c r="D612" t="b">
        <v>0</v>
      </c>
    </row>
    <row r="613" spans="1:4" x14ac:dyDescent="0.25">
      <c r="A613" t="s">
        <v>1001</v>
      </c>
      <c r="B613">
        <v>1.8009999999999999</v>
      </c>
      <c r="C613" t="str">
        <f t="shared" si="9"/>
        <v>CITY OF SAN BENITO</v>
      </c>
      <c r="D613" t="b">
        <v>0</v>
      </c>
    </row>
    <row r="614" spans="1:4" x14ac:dyDescent="0.25">
      <c r="A614" t="s">
        <v>759</v>
      </c>
      <c r="B614">
        <v>1.8</v>
      </c>
      <c r="C614" t="str">
        <f t="shared" si="9"/>
        <v>MOTIVA ENTERPRISES LLC</v>
      </c>
      <c r="D614" t="b">
        <v>0</v>
      </c>
    </row>
    <row r="615" spans="1:4" x14ac:dyDescent="0.25">
      <c r="A615" t="s">
        <v>2606</v>
      </c>
      <c r="B615">
        <v>1.8</v>
      </c>
      <c r="C615" t="str">
        <f t="shared" si="9"/>
        <v>CHEVRON PHILLIPS CHEMICAL CO LP</v>
      </c>
      <c r="D615" t="b">
        <v>0</v>
      </c>
    </row>
    <row r="616" spans="1:4" x14ac:dyDescent="0.25">
      <c r="A616" t="s">
        <v>376</v>
      </c>
      <c r="B616">
        <v>1.8</v>
      </c>
      <c r="C616" t="str">
        <f t="shared" si="9"/>
        <v>CITY OF HUTTO</v>
      </c>
      <c r="D616" t="b">
        <v>0</v>
      </c>
    </row>
    <row r="617" spans="1:4" x14ac:dyDescent="0.25">
      <c r="A617" t="s">
        <v>1953</v>
      </c>
      <c r="B617">
        <v>1.8</v>
      </c>
      <c r="C617" t="str">
        <f t="shared" si="9"/>
        <v>VALERO REFINING TEXAS LP</v>
      </c>
      <c r="D617" t="b">
        <v>0</v>
      </c>
    </row>
    <row r="618" spans="1:4" x14ac:dyDescent="0.25">
      <c r="A618" t="s">
        <v>863</v>
      </c>
      <c r="B618">
        <v>1.79</v>
      </c>
      <c r="C618" t="str">
        <f t="shared" si="9"/>
        <v>HUNTSMAN(H) PETROCHEM;H INTRNTL FUELS;H PROPY OXIDE;BLUEHALL;TPC GROUP</v>
      </c>
      <c r="D618" t="b">
        <v>0</v>
      </c>
    </row>
    <row r="619" spans="1:4" x14ac:dyDescent="0.25">
      <c r="A619" t="s">
        <v>1785</v>
      </c>
      <c r="B619">
        <v>1.79</v>
      </c>
      <c r="C619" t="str">
        <f t="shared" si="9"/>
        <v>EXXON MOBIL CORP</v>
      </c>
      <c r="D619" t="b">
        <v>0</v>
      </c>
    </row>
    <row r="620" spans="1:4" x14ac:dyDescent="0.25">
      <c r="A620" t="s">
        <v>1475</v>
      </c>
      <c r="B620">
        <v>1.78627</v>
      </c>
      <c r="C620" t="str">
        <f t="shared" si="9"/>
        <v>CITY OF PORTLAND</v>
      </c>
      <c r="D620" t="b">
        <v>0</v>
      </c>
    </row>
    <row r="621" spans="1:4" x14ac:dyDescent="0.25">
      <c r="A621" t="s">
        <v>1416</v>
      </c>
      <c r="B621">
        <v>1.7819</v>
      </c>
      <c r="C621" t="str">
        <f t="shared" si="9"/>
        <v>CITY OF CENTER</v>
      </c>
      <c r="D621" t="b">
        <v>0</v>
      </c>
    </row>
    <row r="622" spans="1:4" x14ac:dyDescent="0.25">
      <c r="A622" t="s">
        <v>1278</v>
      </c>
      <c r="B622">
        <v>1.78</v>
      </c>
      <c r="C622" t="str">
        <f t="shared" si="9"/>
        <v>NORIT AMERICAS INC</v>
      </c>
      <c r="D622" t="b">
        <v>0</v>
      </c>
    </row>
    <row r="623" spans="1:4" x14ac:dyDescent="0.25">
      <c r="A623" t="s">
        <v>1005</v>
      </c>
      <c r="B623">
        <v>1.78</v>
      </c>
      <c r="C623" t="str">
        <f t="shared" si="9"/>
        <v>CITY OF MERCEDES</v>
      </c>
      <c r="D623" t="b">
        <v>0</v>
      </c>
    </row>
    <row r="624" spans="1:4" x14ac:dyDescent="0.25">
      <c r="A624" t="s">
        <v>341</v>
      </c>
      <c r="B624">
        <v>1.7769999999999999</v>
      </c>
      <c r="C624" t="str">
        <f t="shared" si="9"/>
        <v>MAJOR OAK POWER LLC</v>
      </c>
      <c r="D624" t="b">
        <v>0</v>
      </c>
    </row>
    <row r="625" spans="1:4" x14ac:dyDescent="0.25">
      <c r="A625" t="s">
        <v>5</v>
      </c>
      <c r="B625">
        <v>1.756</v>
      </c>
      <c r="C625" t="str">
        <f t="shared" si="9"/>
        <v>TEXAS DEPT OF CRIMINAL JUSTICE</v>
      </c>
      <c r="D625" t="b">
        <v>0</v>
      </c>
    </row>
    <row r="626" spans="1:4" x14ac:dyDescent="0.25">
      <c r="A626" t="s">
        <v>1776</v>
      </c>
      <c r="B626">
        <v>1.74</v>
      </c>
      <c r="C626" t="str">
        <f t="shared" si="9"/>
        <v>VALERO REFINING TEXAS LP</v>
      </c>
      <c r="D626" t="b">
        <v>0</v>
      </c>
    </row>
    <row r="627" spans="1:4" x14ac:dyDescent="0.25">
      <c r="A627" t="s">
        <v>1036</v>
      </c>
      <c r="B627">
        <v>1.74</v>
      </c>
      <c r="C627" t="str">
        <f t="shared" si="9"/>
        <v>CITY OF KINGSVILLE</v>
      </c>
      <c r="D627" t="b">
        <v>0</v>
      </c>
    </row>
    <row r="628" spans="1:4" x14ac:dyDescent="0.25">
      <c r="A628" t="s">
        <v>2549</v>
      </c>
      <c r="B628">
        <v>1.737986</v>
      </c>
      <c r="C628" t="str">
        <f t="shared" si="9"/>
        <v>KIMBERLY CLARK CORP</v>
      </c>
      <c r="D628" t="b">
        <v>0</v>
      </c>
    </row>
    <row r="629" spans="1:4" x14ac:dyDescent="0.25">
      <c r="A629" t="s">
        <v>1832</v>
      </c>
      <c r="B629">
        <v>1.734</v>
      </c>
      <c r="C629" t="str">
        <f t="shared" si="9"/>
        <v>CITY OF BELLAIRE</v>
      </c>
      <c r="D629" t="b">
        <v>0</v>
      </c>
    </row>
    <row r="630" spans="1:4" x14ac:dyDescent="0.25">
      <c r="A630" t="s">
        <v>20</v>
      </c>
      <c r="B630">
        <v>1.7310000000000001</v>
      </c>
      <c r="C630" t="str">
        <f t="shared" si="9"/>
        <v>TEXAS DEPT OF CRIMINAL JUSTICE</v>
      </c>
      <c r="D630" t="b">
        <v>0</v>
      </c>
    </row>
    <row r="631" spans="1:4" x14ac:dyDescent="0.25">
      <c r="A631" t="s">
        <v>1777</v>
      </c>
      <c r="B631">
        <v>1.73</v>
      </c>
      <c r="C631" t="str">
        <f t="shared" si="9"/>
        <v>VALERO REFINING TEXAS LP</v>
      </c>
      <c r="D631" t="b">
        <v>0</v>
      </c>
    </row>
    <row r="632" spans="1:4" x14ac:dyDescent="0.25">
      <c r="A632" t="s">
        <v>2263</v>
      </c>
      <c r="B632">
        <v>1.73</v>
      </c>
      <c r="C632" t="str">
        <f t="shared" si="9"/>
        <v>CHEVRON USA INC</v>
      </c>
      <c r="D632" t="b">
        <v>0</v>
      </c>
    </row>
    <row r="633" spans="1:4" x14ac:dyDescent="0.25">
      <c r="A633" t="s">
        <v>1415</v>
      </c>
      <c r="B633">
        <v>1.722</v>
      </c>
      <c r="C633" t="str">
        <f t="shared" si="9"/>
        <v>TYSON FARMS INC</v>
      </c>
      <c r="D633" t="b">
        <v>0</v>
      </c>
    </row>
    <row r="634" spans="1:4" x14ac:dyDescent="0.25">
      <c r="A634" t="s">
        <v>2608</v>
      </c>
      <c r="B634">
        <v>1.7210000000000001</v>
      </c>
      <c r="C634" t="str">
        <f t="shared" si="9"/>
        <v>CHEVRON PHILLIPS CHEMICAL CO LP</v>
      </c>
      <c r="D634" t="b">
        <v>0</v>
      </c>
    </row>
    <row r="635" spans="1:4" x14ac:dyDescent="0.25">
      <c r="A635" t="s">
        <v>1735</v>
      </c>
      <c r="B635">
        <v>1.72</v>
      </c>
      <c r="C635" t="str">
        <f t="shared" si="9"/>
        <v>PASADENA REFINING SYSTEM INC</v>
      </c>
      <c r="D635" t="b">
        <v>0</v>
      </c>
    </row>
    <row r="636" spans="1:4" x14ac:dyDescent="0.25">
      <c r="A636" t="s">
        <v>2514</v>
      </c>
      <c r="B636">
        <v>1.72</v>
      </c>
      <c r="C636" t="str">
        <f t="shared" si="9"/>
        <v>CITY OF HUNTSVILLE</v>
      </c>
      <c r="D636" t="b">
        <v>0</v>
      </c>
    </row>
    <row r="637" spans="1:4" x14ac:dyDescent="0.25">
      <c r="A637" t="s">
        <v>2543</v>
      </c>
      <c r="B637">
        <v>1.7190000000000001</v>
      </c>
      <c r="C637" t="str">
        <f t="shared" si="9"/>
        <v>CITY OF COMMERCE</v>
      </c>
      <c r="D637" t="b">
        <v>0</v>
      </c>
    </row>
    <row r="638" spans="1:4" x14ac:dyDescent="0.25">
      <c r="A638" t="s">
        <v>178</v>
      </c>
      <c r="B638">
        <v>1.714</v>
      </c>
      <c r="C638" t="str">
        <f t="shared" si="9"/>
        <v>CITY OF ROSENBERG</v>
      </c>
      <c r="D638" t="b">
        <v>0</v>
      </c>
    </row>
    <row r="639" spans="1:4" x14ac:dyDescent="0.25">
      <c r="A639" t="s">
        <v>330</v>
      </c>
      <c r="B639">
        <v>1.712</v>
      </c>
      <c r="C639" t="str">
        <f t="shared" si="9"/>
        <v>CITY OF MINERAL WELLS</v>
      </c>
      <c r="D639" t="b">
        <v>0</v>
      </c>
    </row>
    <row r="640" spans="1:4" x14ac:dyDescent="0.25">
      <c r="A640" t="s">
        <v>786</v>
      </c>
      <c r="B640">
        <v>1.71</v>
      </c>
      <c r="C640" t="str">
        <f t="shared" si="9"/>
        <v>GEORGIA-PACIFIC PANEL PRODUCTS &amp; GEORGIA-PACIFIC WOOD PRODUCTS SOUTH</v>
      </c>
      <c r="D640" t="b">
        <v>0</v>
      </c>
    </row>
    <row r="641" spans="1:4" x14ac:dyDescent="0.25">
      <c r="A641" t="s">
        <v>2602</v>
      </c>
      <c r="B641">
        <v>1.71</v>
      </c>
      <c r="C641" t="str">
        <f t="shared" si="9"/>
        <v>CHEVRON PHILLIPS CHEMICAL CO LP</v>
      </c>
      <c r="D641" t="b">
        <v>0</v>
      </c>
    </row>
    <row r="642" spans="1:4" x14ac:dyDescent="0.25">
      <c r="A642" t="s">
        <v>1546</v>
      </c>
      <c r="B642">
        <v>1.7</v>
      </c>
      <c r="C642" t="str">
        <f t="shared" ref="C642:C705" si="10">VLOOKUP(A642,PERMITTEES,2,FALSE)</f>
        <v>INEOS USA LLC</v>
      </c>
      <c r="D642" t="b">
        <v>0</v>
      </c>
    </row>
    <row r="643" spans="1:4" x14ac:dyDescent="0.25">
      <c r="A643" t="s">
        <v>1676</v>
      </c>
      <c r="B643">
        <v>1.7</v>
      </c>
      <c r="C643" t="str">
        <f t="shared" si="10"/>
        <v>LYONDELL CHEMICAL CO</v>
      </c>
      <c r="D643" t="b">
        <v>0</v>
      </c>
    </row>
    <row r="644" spans="1:4" x14ac:dyDescent="0.25">
      <c r="A644" t="s">
        <v>378</v>
      </c>
      <c r="B644">
        <v>1.7</v>
      </c>
      <c r="C644" t="str">
        <f t="shared" si="10"/>
        <v>CITY OF ROUND ROCK CITY OF CEDAR PARK AND CITY OF AUSTIN</v>
      </c>
      <c r="D644" t="b">
        <v>0</v>
      </c>
    </row>
    <row r="645" spans="1:4" x14ac:dyDescent="0.25">
      <c r="A645" t="s">
        <v>1027</v>
      </c>
      <c r="B645">
        <v>1.7</v>
      </c>
      <c r="C645" t="str">
        <f t="shared" si="10"/>
        <v>CITY OF DONNA</v>
      </c>
      <c r="D645" t="b">
        <v>0</v>
      </c>
    </row>
    <row r="646" spans="1:4" x14ac:dyDescent="0.25">
      <c r="A646" t="s">
        <v>1070</v>
      </c>
      <c r="B646">
        <v>1.6990000000000001</v>
      </c>
      <c r="C646" t="str">
        <f t="shared" si="10"/>
        <v>NUECES COUNTY WCID NO 4</v>
      </c>
      <c r="D646" t="b">
        <v>0</v>
      </c>
    </row>
    <row r="647" spans="1:4" x14ac:dyDescent="0.25">
      <c r="A647" t="s">
        <v>1019</v>
      </c>
      <c r="B647">
        <v>1.6870000000000001</v>
      </c>
      <c r="C647" t="str">
        <f t="shared" si="10"/>
        <v>CITY OF WESLACO</v>
      </c>
      <c r="D647" t="b">
        <v>0</v>
      </c>
    </row>
    <row r="648" spans="1:4" x14ac:dyDescent="0.25">
      <c r="A648" t="s">
        <v>901</v>
      </c>
      <c r="B648">
        <v>1.6759999999999999</v>
      </c>
      <c r="C648" t="str">
        <f t="shared" si="10"/>
        <v>NATGASOLINE LLC</v>
      </c>
      <c r="D648" t="b">
        <v>0</v>
      </c>
    </row>
    <row r="649" spans="1:4" x14ac:dyDescent="0.25">
      <c r="A649" t="s">
        <v>1456</v>
      </c>
      <c r="B649">
        <v>1.6739999999999999</v>
      </c>
      <c r="C649" t="str">
        <f t="shared" si="10"/>
        <v>CITY OF ROCKPORT</v>
      </c>
      <c r="D649" t="b">
        <v>0</v>
      </c>
    </row>
    <row r="650" spans="1:4" x14ac:dyDescent="0.25">
      <c r="A650" t="s">
        <v>1048</v>
      </c>
      <c r="B650">
        <v>1.67</v>
      </c>
      <c r="C650" t="str">
        <f t="shared" si="10"/>
        <v>CITGO REFINING AND CHEMICALS CO LP</v>
      </c>
      <c r="D650" t="b">
        <v>0</v>
      </c>
    </row>
    <row r="651" spans="1:4" x14ac:dyDescent="0.25">
      <c r="A651" t="s">
        <v>819</v>
      </c>
      <c r="B651">
        <v>1.6619999999999999</v>
      </c>
      <c r="C651" t="str">
        <f t="shared" si="10"/>
        <v>CITY OF SILSBEE</v>
      </c>
      <c r="D651" t="b">
        <v>0</v>
      </c>
    </row>
    <row r="652" spans="1:4" x14ac:dyDescent="0.25">
      <c r="A652" t="s">
        <v>1737</v>
      </c>
      <c r="B652">
        <v>1.657</v>
      </c>
      <c r="C652" t="str">
        <f t="shared" si="10"/>
        <v>PASADENA REFINING SYSTEM INC</v>
      </c>
      <c r="D652" t="b">
        <v>0</v>
      </c>
    </row>
    <row r="653" spans="1:4" x14ac:dyDescent="0.25">
      <c r="A653" t="s">
        <v>1993</v>
      </c>
      <c r="B653">
        <v>1.655</v>
      </c>
      <c r="C653" t="str">
        <f t="shared" si="10"/>
        <v>GEORGIA GULF CHEMICALS &amp; VINYLLLC</v>
      </c>
      <c r="D653" t="b">
        <v>0</v>
      </c>
    </row>
    <row r="654" spans="1:4" x14ac:dyDescent="0.25">
      <c r="A654" t="s">
        <v>1542</v>
      </c>
      <c r="B654">
        <v>1.6539999999999999</v>
      </c>
      <c r="C654" t="str">
        <f t="shared" si="10"/>
        <v>ASCEND PERFORMANCE MATERIALS TEXAS INC</v>
      </c>
      <c r="D654" t="b">
        <v>0</v>
      </c>
    </row>
    <row r="655" spans="1:4" x14ac:dyDescent="0.25">
      <c r="A655" t="s">
        <v>1904</v>
      </c>
      <c r="B655">
        <v>1.651</v>
      </c>
      <c r="C655" t="str">
        <f t="shared" si="10"/>
        <v>LAKE FOREST PLANT ADVISORY COUNCIL</v>
      </c>
      <c r="D655" t="b">
        <v>0</v>
      </c>
    </row>
    <row r="656" spans="1:4" x14ac:dyDescent="0.25">
      <c r="A656" t="s">
        <v>1752</v>
      </c>
      <c r="B656">
        <v>1.65</v>
      </c>
      <c r="C656" t="str">
        <f t="shared" si="10"/>
        <v>SHELL OIL CO</v>
      </c>
      <c r="D656" t="b">
        <v>0</v>
      </c>
    </row>
    <row r="657" spans="1:4" x14ac:dyDescent="0.25">
      <c r="A657" t="s">
        <v>414</v>
      </c>
      <c r="B657">
        <v>1.649</v>
      </c>
      <c r="C657" t="str">
        <f t="shared" si="10"/>
        <v>ALCOA WORLD ALUMINA LLC</v>
      </c>
      <c r="D657" t="b">
        <v>0</v>
      </c>
    </row>
    <row r="658" spans="1:4" x14ac:dyDescent="0.25">
      <c r="A658" t="s">
        <v>1347</v>
      </c>
      <c r="B658">
        <v>1.6415999999999999</v>
      </c>
      <c r="C658" t="str">
        <f t="shared" si="10"/>
        <v>EXPLORER PIPELINE CO</v>
      </c>
      <c r="D658" t="b">
        <v>0</v>
      </c>
    </row>
    <row r="659" spans="1:4" x14ac:dyDescent="0.25">
      <c r="A659" t="s">
        <v>1813</v>
      </c>
      <c r="B659">
        <v>1.6415599999999999</v>
      </c>
      <c r="C659" t="str">
        <f t="shared" si="10"/>
        <v>PCI NITROGEN LLC</v>
      </c>
      <c r="D659" t="b">
        <v>0</v>
      </c>
    </row>
    <row r="660" spans="1:4" x14ac:dyDescent="0.25">
      <c r="A660" t="s">
        <v>848</v>
      </c>
      <c r="B660">
        <v>1.631</v>
      </c>
      <c r="C660" t="str">
        <f t="shared" si="10"/>
        <v>TOTAL PETROCHEMICALS &amp; REFINING USA INC</v>
      </c>
      <c r="D660" t="b">
        <v>0</v>
      </c>
    </row>
    <row r="661" spans="1:4" x14ac:dyDescent="0.25">
      <c r="A661" t="s">
        <v>1431</v>
      </c>
      <c r="B661">
        <v>1.629</v>
      </c>
      <c r="C661" t="str">
        <f t="shared" si="10"/>
        <v>CITY OF GLADEWATER</v>
      </c>
      <c r="D661" t="b">
        <v>0</v>
      </c>
    </row>
    <row r="662" spans="1:4" x14ac:dyDescent="0.25">
      <c r="A662" t="s">
        <v>55</v>
      </c>
      <c r="B662">
        <v>1.62</v>
      </c>
      <c r="C662" t="str">
        <f t="shared" si="10"/>
        <v>US DEPT OF THE ARMY</v>
      </c>
      <c r="D662" t="b">
        <v>0</v>
      </c>
    </row>
    <row r="663" spans="1:4" x14ac:dyDescent="0.25">
      <c r="A663" t="s">
        <v>1600</v>
      </c>
      <c r="B663">
        <v>1.61</v>
      </c>
      <c r="C663" t="str">
        <f t="shared" si="10"/>
        <v>MARATHON PETROLEUM CO LP</v>
      </c>
      <c r="D663" t="b">
        <v>0</v>
      </c>
    </row>
    <row r="664" spans="1:4" x14ac:dyDescent="0.25">
      <c r="A664" t="s">
        <v>900</v>
      </c>
      <c r="B664">
        <v>1.61</v>
      </c>
      <c r="C664" t="str">
        <f t="shared" si="10"/>
        <v>NATGASOLINE LLC</v>
      </c>
      <c r="D664" t="b">
        <v>0</v>
      </c>
    </row>
    <row r="665" spans="1:4" x14ac:dyDescent="0.25">
      <c r="A665" t="s">
        <v>2033</v>
      </c>
      <c r="B665">
        <v>1.6</v>
      </c>
      <c r="C665" t="str">
        <f t="shared" si="10"/>
        <v>EQUISTAR CHEMICALS LP</v>
      </c>
      <c r="D665" t="b">
        <v>0</v>
      </c>
    </row>
    <row r="666" spans="1:4" x14ac:dyDescent="0.25">
      <c r="A666" t="s">
        <v>1022</v>
      </c>
      <c r="B666">
        <v>1.6</v>
      </c>
      <c r="C666" t="str">
        <f t="shared" si="10"/>
        <v>FRONTERA GENERATION LP</v>
      </c>
      <c r="D666" t="b">
        <v>0</v>
      </c>
    </row>
    <row r="667" spans="1:4" x14ac:dyDescent="0.25">
      <c r="A667" t="s">
        <v>343</v>
      </c>
      <c r="B667">
        <v>1.5960000000000001</v>
      </c>
      <c r="C667" t="str">
        <f t="shared" si="10"/>
        <v>KT MINING LLC</v>
      </c>
      <c r="D667" t="b">
        <v>0</v>
      </c>
    </row>
    <row r="668" spans="1:4" x14ac:dyDescent="0.25">
      <c r="A668" t="s">
        <v>160</v>
      </c>
      <c r="B668">
        <v>1.5920000000000001</v>
      </c>
      <c r="C668" t="str">
        <f t="shared" si="10"/>
        <v>CITY OF MARLIN</v>
      </c>
      <c r="D668" t="b">
        <v>0</v>
      </c>
    </row>
    <row r="669" spans="1:4" x14ac:dyDescent="0.25">
      <c r="A669" t="s">
        <v>661</v>
      </c>
      <c r="B669">
        <v>1.59</v>
      </c>
      <c r="C669" t="str">
        <f t="shared" si="10"/>
        <v>UNION CARBIDE CORP</v>
      </c>
      <c r="D669" t="b">
        <v>0</v>
      </c>
    </row>
    <row r="670" spans="1:4" x14ac:dyDescent="0.25">
      <c r="A670" t="s">
        <v>1126</v>
      </c>
      <c r="B670">
        <v>1.59</v>
      </c>
      <c r="C670" t="str">
        <f t="shared" si="10"/>
        <v>DIAMOND SHAMROCK REFINING CO LP</v>
      </c>
      <c r="D670" t="b">
        <v>0</v>
      </c>
    </row>
    <row r="671" spans="1:4" x14ac:dyDescent="0.25">
      <c r="A671" t="s">
        <v>2002</v>
      </c>
      <c r="B671">
        <v>1.585</v>
      </c>
      <c r="C671" t="str">
        <f t="shared" si="10"/>
        <v>MEMORIAL MUD</v>
      </c>
      <c r="D671" t="b">
        <v>0</v>
      </c>
    </row>
    <row r="672" spans="1:4" x14ac:dyDescent="0.25">
      <c r="A672" t="s">
        <v>394</v>
      </c>
      <c r="B672">
        <v>1.5840000000000001</v>
      </c>
      <c r="C672" t="str">
        <f t="shared" si="10"/>
        <v>CITY OF PAMPA</v>
      </c>
      <c r="D672" t="b">
        <v>0</v>
      </c>
    </row>
    <row r="673" spans="1:4" x14ac:dyDescent="0.25">
      <c r="A673" t="s">
        <v>1853</v>
      </c>
      <c r="B673">
        <v>1.5640000000000001</v>
      </c>
      <c r="C673" t="str">
        <f t="shared" si="10"/>
        <v>CITY OF WEST UNIVERSITY PLACE</v>
      </c>
      <c r="D673" t="b">
        <v>0</v>
      </c>
    </row>
    <row r="674" spans="1:4" x14ac:dyDescent="0.25">
      <c r="A674" t="s">
        <v>665</v>
      </c>
      <c r="B674">
        <v>1.56</v>
      </c>
      <c r="C674" t="str">
        <f t="shared" si="10"/>
        <v>CITY OF PORT LAVACA</v>
      </c>
      <c r="D674" t="b">
        <v>0</v>
      </c>
    </row>
    <row r="675" spans="1:4" x14ac:dyDescent="0.25">
      <c r="A675" t="s">
        <v>1636</v>
      </c>
      <c r="B675">
        <v>1.56</v>
      </c>
      <c r="C675" t="str">
        <f t="shared" si="10"/>
        <v>NUSTAR TERMINALS PARTNERS TX LP</v>
      </c>
      <c r="D675" t="b">
        <v>0</v>
      </c>
    </row>
    <row r="676" spans="1:4" x14ac:dyDescent="0.25">
      <c r="A676" t="s">
        <v>1382</v>
      </c>
      <c r="B676">
        <v>1.56</v>
      </c>
      <c r="C676" t="str">
        <f t="shared" si="10"/>
        <v>COTTONWOOD ENERGY CO LP</v>
      </c>
      <c r="D676" t="b">
        <v>0</v>
      </c>
    </row>
    <row r="677" spans="1:4" x14ac:dyDescent="0.25">
      <c r="A677" t="s">
        <v>453</v>
      </c>
      <c r="B677">
        <v>1.5569999999999999</v>
      </c>
      <c r="C677" t="str">
        <f t="shared" si="10"/>
        <v>CITY OF EL CAMPO</v>
      </c>
      <c r="D677" t="b">
        <v>0</v>
      </c>
    </row>
    <row r="678" spans="1:4" x14ac:dyDescent="0.25">
      <c r="A678" t="s">
        <v>847</v>
      </c>
      <c r="B678">
        <v>1.5509999999999999</v>
      </c>
      <c r="C678" t="str">
        <f t="shared" si="10"/>
        <v>TOTAL PETROCHEMICALS &amp; REFINING USA INC</v>
      </c>
      <c r="D678" t="b">
        <v>0</v>
      </c>
    </row>
    <row r="679" spans="1:4" x14ac:dyDescent="0.25">
      <c r="A679" t="s">
        <v>1443</v>
      </c>
      <c r="B679">
        <v>1.546</v>
      </c>
      <c r="C679" t="str">
        <f t="shared" si="10"/>
        <v>CITY OF WINNSBORO</v>
      </c>
      <c r="D679" t="b">
        <v>0</v>
      </c>
    </row>
    <row r="680" spans="1:4" x14ac:dyDescent="0.25">
      <c r="A680" t="s">
        <v>968</v>
      </c>
      <c r="B680">
        <v>1.5419</v>
      </c>
      <c r="C680" t="str">
        <f t="shared" si="10"/>
        <v>CITY OF WOODVILLE</v>
      </c>
      <c r="D680" t="b">
        <v>0</v>
      </c>
    </row>
    <row r="681" spans="1:4" x14ac:dyDescent="0.25">
      <c r="A681" t="s">
        <v>950</v>
      </c>
      <c r="B681">
        <v>1.54</v>
      </c>
      <c r="C681" t="str">
        <f t="shared" si="10"/>
        <v>DELEK REFINING LTD</v>
      </c>
      <c r="D681" t="b">
        <v>0</v>
      </c>
    </row>
    <row r="682" spans="1:4" x14ac:dyDescent="0.25">
      <c r="A682" t="s">
        <v>816</v>
      </c>
      <c r="B682">
        <v>1.536581</v>
      </c>
      <c r="C682" t="str">
        <f t="shared" si="10"/>
        <v>SOUTH HAMPTON RESOURCES INC</v>
      </c>
      <c r="D682" t="b">
        <v>0</v>
      </c>
    </row>
    <row r="683" spans="1:4" x14ac:dyDescent="0.25">
      <c r="A683" t="s">
        <v>1669</v>
      </c>
      <c r="B683">
        <v>1.53</v>
      </c>
      <c r="C683" t="str">
        <f t="shared" si="10"/>
        <v>CITY OF WEBSTER</v>
      </c>
      <c r="D683" t="b">
        <v>0</v>
      </c>
    </row>
    <row r="684" spans="1:4" x14ac:dyDescent="0.25">
      <c r="A684" t="s">
        <v>1700</v>
      </c>
      <c r="B684">
        <v>1.53</v>
      </c>
      <c r="C684" t="str">
        <f t="shared" si="10"/>
        <v>RENN ROAD MUD</v>
      </c>
      <c r="D684" t="b">
        <v>0</v>
      </c>
    </row>
    <row r="685" spans="1:4" x14ac:dyDescent="0.25">
      <c r="A685" t="s">
        <v>381</v>
      </c>
      <c r="B685">
        <v>1.5289999999999999</v>
      </c>
      <c r="C685" t="str">
        <f t="shared" si="10"/>
        <v>CITY OF LEANDER</v>
      </c>
      <c r="D685" t="b">
        <v>0</v>
      </c>
    </row>
    <row r="686" spans="1:4" x14ac:dyDescent="0.25">
      <c r="A686" t="s">
        <v>82</v>
      </c>
      <c r="B686">
        <v>1.526</v>
      </c>
      <c r="C686" t="str">
        <f t="shared" si="10"/>
        <v>CALPINE BOSQUE ENERGY CENTER LLC AND CALPINE OPERATING SERVICES CO INC</v>
      </c>
      <c r="D686" t="b">
        <v>0</v>
      </c>
    </row>
    <row r="687" spans="1:4" x14ac:dyDescent="0.25">
      <c r="A687" t="s">
        <v>1012</v>
      </c>
      <c r="B687">
        <v>1.524</v>
      </c>
      <c r="C687" t="str">
        <f t="shared" si="10"/>
        <v>CITY OF ALAMO</v>
      </c>
      <c r="D687" t="b">
        <v>0</v>
      </c>
    </row>
    <row r="688" spans="1:4" x14ac:dyDescent="0.25">
      <c r="A688" t="s">
        <v>1989</v>
      </c>
      <c r="B688">
        <v>1.514</v>
      </c>
      <c r="C688" t="str">
        <f t="shared" si="10"/>
        <v>BRIDGESTONE MUD</v>
      </c>
      <c r="D688" t="b">
        <v>0</v>
      </c>
    </row>
    <row r="689" spans="1:4" x14ac:dyDescent="0.25">
      <c r="A689" t="s">
        <v>878</v>
      </c>
      <c r="B689">
        <v>1.51</v>
      </c>
      <c r="C689" t="str">
        <f t="shared" si="10"/>
        <v>TOTAL PETROCHEMICALS &amp; REFINING USA INC</v>
      </c>
      <c r="D689" t="b">
        <v>0</v>
      </c>
    </row>
    <row r="690" spans="1:4" x14ac:dyDescent="0.25">
      <c r="A690" t="s">
        <v>1847</v>
      </c>
      <c r="B690">
        <v>1.51</v>
      </c>
      <c r="C690" t="str">
        <f t="shared" si="10"/>
        <v>HARRIS COUNTY FWSD 61</v>
      </c>
      <c r="D690" t="b">
        <v>0</v>
      </c>
    </row>
    <row r="691" spans="1:4" x14ac:dyDescent="0.25">
      <c r="A691" t="s">
        <v>1724</v>
      </c>
      <c r="B691">
        <v>1.5</v>
      </c>
      <c r="C691" t="str">
        <f t="shared" si="10"/>
        <v>VALERO REFINING TEXAS LP</v>
      </c>
      <c r="D691" t="b">
        <v>0</v>
      </c>
    </row>
    <row r="692" spans="1:4" x14ac:dyDescent="0.25">
      <c r="A692" t="s">
        <v>1068</v>
      </c>
      <c r="B692">
        <v>1.5</v>
      </c>
      <c r="C692" t="str">
        <f t="shared" si="10"/>
        <v>CITY OF ROBSTOWN</v>
      </c>
      <c r="D692" t="b">
        <v>0</v>
      </c>
    </row>
    <row r="693" spans="1:4" x14ac:dyDescent="0.25">
      <c r="A693" t="s">
        <v>1492</v>
      </c>
      <c r="B693">
        <v>1.5</v>
      </c>
      <c r="C693" t="str">
        <f t="shared" si="10"/>
        <v>SAN ANTONIO WATER SYSTEM</v>
      </c>
      <c r="D693" t="b">
        <v>0</v>
      </c>
    </row>
    <row r="694" spans="1:4" x14ac:dyDescent="0.25">
      <c r="A694" t="s">
        <v>1316</v>
      </c>
      <c r="B694">
        <v>1.5</v>
      </c>
      <c r="C694" t="e">
        <f t="shared" si="10"/>
        <v>#N/A</v>
      </c>
      <c r="D694" t="b">
        <v>0</v>
      </c>
    </row>
    <row r="695" spans="1:4" x14ac:dyDescent="0.25">
      <c r="A695" t="s">
        <v>1414</v>
      </c>
      <c r="B695">
        <v>1.4990000000000001</v>
      </c>
      <c r="C695" t="str">
        <f t="shared" si="10"/>
        <v>TYSON FARMS INC</v>
      </c>
      <c r="D695" t="b">
        <v>0</v>
      </c>
    </row>
    <row r="696" spans="1:4" x14ac:dyDescent="0.25">
      <c r="A696" t="s">
        <v>523</v>
      </c>
      <c r="B696">
        <v>1.494</v>
      </c>
      <c r="C696" t="str">
        <f t="shared" si="10"/>
        <v>OXEA CORP</v>
      </c>
      <c r="D696" t="b">
        <v>0</v>
      </c>
    </row>
    <row r="697" spans="1:4" x14ac:dyDescent="0.25">
      <c r="A697" t="s">
        <v>1624</v>
      </c>
      <c r="B697">
        <v>1.492</v>
      </c>
      <c r="C697" t="str">
        <f t="shared" si="10"/>
        <v>BACLIFF MUD</v>
      </c>
      <c r="D697" t="b">
        <v>0</v>
      </c>
    </row>
    <row r="698" spans="1:4" x14ac:dyDescent="0.25">
      <c r="A698" t="s">
        <v>2667</v>
      </c>
      <c r="B698">
        <v>1.49</v>
      </c>
      <c r="C698" t="str">
        <f t="shared" si="10"/>
        <v>MOUNTAIN CREEK POWER LLC</v>
      </c>
      <c r="D698" t="b">
        <v>0</v>
      </c>
    </row>
    <row r="699" spans="1:4" x14ac:dyDescent="0.25">
      <c r="A699" t="s">
        <v>421</v>
      </c>
      <c r="B699">
        <v>1.484623</v>
      </c>
      <c r="C699" t="str">
        <f t="shared" si="10"/>
        <v>ALCOA WORLD ALUMINA LLC</v>
      </c>
      <c r="D699" t="b">
        <v>0</v>
      </c>
    </row>
    <row r="700" spans="1:4" x14ac:dyDescent="0.25">
      <c r="A700" t="s">
        <v>1640</v>
      </c>
      <c r="B700">
        <v>1.48</v>
      </c>
      <c r="C700" t="str">
        <f t="shared" si="10"/>
        <v>NUSTAR TERMINALS PARTNERS TX LP</v>
      </c>
      <c r="D700" t="b">
        <v>0</v>
      </c>
    </row>
    <row r="701" spans="1:4" x14ac:dyDescent="0.25">
      <c r="A701" t="s">
        <v>2282</v>
      </c>
      <c r="B701">
        <v>1.48</v>
      </c>
      <c r="C701" t="str">
        <f t="shared" si="10"/>
        <v>EQUISTAR CHEMICALS LP AND LYONDELLBASELL ACETYLS LLC</v>
      </c>
      <c r="D701" t="b">
        <v>0</v>
      </c>
    </row>
    <row r="702" spans="1:4" x14ac:dyDescent="0.25">
      <c r="A702" t="s">
        <v>296</v>
      </c>
      <c r="B702">
        <v>1.474</v>
      </c>
      <c r="C702" t="str">
        <f t="shared" si="10"/>
        <v>CITIES OF WACO, WOODWAY, BELLMEAD, LORENA, HEWITT, ROBINSON, LACY LAKE</v>
      </c>
      <c r="D702" t="b">
        <v>0</v>
      </c>
    </row>
    <row r="703" spans="1:4" x14ac:dyDescent="0.25">
      <c r="A703" t="s">
        <v>802</v>
      </c>
      <c r="B703">
        <v>1.47</v>
      </c>
      <c r="C703" t="str">
        <f t="shared" si="10"/>
        <v>CITY OF RUSK</v>
      </c>
      <c r="D703" t="b">
        <v>0</v>
      </c>
    </row>
    <row r="704" spans="1:4" x14ac:dyDescent="0.25">
      <c r="A704" t="s">
        <v>1111</v>
      </c>
      <c r="B704">
        <v>1.47</v>
      </c>
      <c r="C704" t="str">
        <f t="shared" si="10"/>
        <v>SAN MIGUEL ELECTRIC COOP INC</v>
      </c>
      <c r="D704" t="b">
        <v>0</v>
      </c>
    </row>
    <row r="705" spans="1:4" x14ac:dyDescent="0.25">
      <c r="A705" t="s">
        <v>1526</v>
      </c>
      <c r="B705">
        <v>1.466</v>
      </c>
      <c r="C705" t="str">
        <f t="shared" si="10"/>
        <v>CITY OF KENEDY</v>
      </c>
      <c r="D705" t="b">
        <v>0</v>
      </c>
    </row>
    <row r="706" spans="1:4" x14ac:dyDescent="0.25">
      <c r="A706" t="s">
        <v>781</v>
      </c>
      <c r="B706">
        <v>1.4599</v>
      </c>
      <c r="C706" t="str">
        <f t="shared" ref="C706:C769" si="11">VLOOKUP(A706,PERMITTEES,2,FALSE)</f>
        <v>PI DOCK FACILITIES LLC</v>
      </c>
      <c r="D706" t="b">
        <v>0</v>
      </c>
    </row>
    <row r="707" spans="1:4" x14ac:dyDescent="0.25">
      <c r="A707" t="s">
        <v>2280</v>
      </c>
      <c r="B707">
        <v>1.458</v>
      </c>
      <c r="C707" t="str">
        <f t="shared" si="11"/>
        <v>EQUISTAR CHEMICALS LP AND LYONDELLBASELL ACETYLS LLC</v>
      </c>
      <c r="D707" t="b">
        <v>0</v>
      </c>
    </row>
    <row r="708" spans="1:4" x14ac:dyDescent="0.25">
      <c r="A708" t="s">
        <v>286</v>
      </c>
      <c r="B708">
        <v>1.4510000000000001</v>
      </c>
      <c r="C708" t="str">
        <f t="shared" si="11"/>
        <v>CITY OF MCGREGOR</v>
      </c>
      <c r="D708" t="b">
        <v>0</v>
      </c>
    </row>
    <row r="709" spans="1:4" x14ac:dyDescent="0.25">
      <c r="A709" t="s">
        <v>2599</v>
      </c>
      <c r="B709">
        <v>1.45</v>
      </c>
      <c r="C709" t="str">
        <f t="shared" si="11"/>
        <v>NILOK CHEMICALS INC</v>
      </c>
      <c r="D709" t="b">
        <v>0</v>
      </c>
    </row>
    <row r="710" spans="1:4" x14ac:dyDescent="0.25">
      <c r="A710" t="s">
        <v>1627</v>
      </c>
      <c r="B710">
        <v>1.45</v>
      </c>
      <c r="C710" t="str">
        <f t="shared" si="11"/>
        <v>GALVESTON COUNTY WCID NO 8</v>
      </c>
      <c r="D710" t="b">
        <v>0</v>
      </c>
    </row>
    <row r="711" spans="1:4" x14ac:dyDescent="0.25">
      <c r="A711" t="s">
        <v>927</v>
      </c>
      <c r="B711">
        <v>1.4450000000000001</v>
      </c>
      <c r="C711" t="str">
        <f t="shared" si="11"/>
        <v>GEORGIA-PACIFIC WOOD PRODUCTS LLC</v>
      </c>
      <c r="D711" t="b">
        <v>0</v>
      </c>
    </row>
    <row r="712" spans="1:4" x14ac:dyDescent="0.25">
      <c r="A712" t="s">
        <v>344</v>
      </c>
      <c r="B712">
        <v>1.44</v>
      </c>
      <c r="C712" t="str">
        <f t="shared" si="11"/>
        <v>KT MINING LLC</v>
      </c>
      <c r="D712" t="b">
        <v>0</v>
      </c>
    </row>
    <row r="713" spans="1:4" x14ac:dyDescent="0.25">
      <c r="A713" t="s">
        <v>2315</v>
      </c>
      <c r="B713">
        <v>1.44</v>
      </c>
      <c r="C713" t="str">
        <f t="shared" si="11"/>
        <v>US STEEL OILWELL SERVICES LLC</v>
      </c>
      <c r="D713" t="b">
        <v>0</v>
      </c>
    </row>
    <row r="714" spans="1:4" x14ac:dyDescent="0.25">
      <c r="A714" t="s">
        <v>127</v>
      </c>
      <c r="B714">
        <v>1.435846</v>
      </c>
      <c r="C714" t="str">
        <f t="shared" si="11"/>
        <v>CITY OF COLLEGE STATION</v>
      </c>
      <c r="D714" t="b">
        <v>0</v>
      </c>
    </row>
    <row r="715" spans="1:4" x14ac:dyDescent="0.25">
      <c r="A715" t="s">
        <v>2222</v>
      </c>
      <c r="B715">
        <v>1.43</v>
      </c>
      <c r="C715" t="str">
        <f t="shared" si="11"/>
        <v>HARRIS COUNTY MUD 358</v>
      </c>
      <c r="D715" t="b">
        <v>0</v>
      </c>
    </row>
    <row r="716" spans="1:4" x14ac:dyDescent="0.25">
      <c r="A716" t="s">
        <v>1034</v>
      </c>
      <c r="B716">
        <v>1.429</v>
      </c>
      <c r="C716" t="str">
        <f t="shared" si="11"/>
        <v>CITY OF ALICE</v>
      </c>
      <c r="D716" t="b">
        <v>0</v>
      </c>
    </row>
    <row r="717" spans="1:4" x14ac:dyDescent="0.25">
      <c r="A717" t="s">
        <v>295</v>
      </c>
      <c r="B717">
        <v>1.4219999999999999</v>
      </c>
      <c r="C717" t="str">
        <f t="shared" si="11"/>
        <v>SANDERSON FARMS INC (PROCESSING DIVISION)</v>
      </c>
      <c r="D717" t="b">
        <v>0</v>
      </c>
    </row>
    <row r="718" spans="1:4" x14ac:dyDescent="0.25">
      <c r="A718" t="s">
        <v>145</v>
      </c>
      <c r="B718">
        <v>1.421</v>
      </c>
      <c r="C718" t="str">
        <f t="shared" si="11"/>
        <v>CITY OF COPPERAS COVE</v>
      </c>
      <c r="D718" t="b">
        <v>0</v>
      </c>
    </row>
    <row r="719" spans="1:4" x14ac:dyDescent="0.25">
      <c r="A719" t="s">
        <v>96</v>
      </c>
      <c r="B719">
        <v>1.413</v>
      </c>
      <c r="C719" t="str">
        <f t="shared" si="11"/>
        <v>CITY OF FREEPORT</v>
      </c>
      <c r="D719" t="b">
        <v>0</v>
      </c>
    </row>
    <row r="720" spans="1:4" x14ac:dyDescent="0.25">
      <c r="A720" t="s">
        <v>230</v>
      </c>
      <c r="B720">
        <v>1.41</v>
      </c>
      <c r="C720" t="str">
        <f t="shared" si="11"/>
        <v>CITY OF HILLSBORO</v>
      </c>
      <c r="D720" t="b">
        <v>0</v>
      </c>
    </row>
    <row r="721" spans="1:4" x14ac:dyDescent="0.25">
      <c r="A721" t="s">
        <v>224</v>
      </c>
      <c r="B721">
        <v>1.4</v>
      </c>
      <c r="C721" t="str">
        <f t="shared" si="11"/>
        <v>CITY OF PLAINVIEW</v>
      </c>
      <c r="D721" t="b">
        <v>0</v>
      </c>
    </row>
    <row r="722" spans="1:4" x14ac:dyDescent="0.25">
      <c r="A722" t="s">
        <v>1773</v>
      </c>
      <c r="B722">
        <v>1.39</v>
      </c>
      <c r="C722" t="str">
        <f t="shared" si="11"/>
        <v>CLEAN HARBORS DEER PARK LP</v>
      </c>
      <c r="D722" t="b">
        <v>0</v>
      </c>
    </row>
    <row r="723" spans="1:4" x14ac:dyDescent="0.25">
      <c r="A723" t="s">
        <v>1439</v>
      </c>
      <c r="B723">
        <v>1.39</v>
      </c>
      <c r="C723" t="str">
        <f t="shared" si="11"/>
        <v>CITY OF MINEOLA</v>
      </c>
      <c r="D723" t="b">
        <v>0</v>
      </c>
    </row>
    <row r="724" spans="1:4" x14ac:dyDescent="0.25">
      <c r="A724" t="s">
        <v>1685</v>
      </c>
      <c r="B724">
        <v>1.39</v>
      </c>
      <c r="C724" t="str">
        <f t="shared" si="11"/>
        <v>AIR PRODUCTS LLC</v>
      </c>
      <c r="D724" t="b">
        <v>0</v>
      </c>
    </row>
    <row r="725" spans="1:4" x14ac:dyDescent="0.25">
      <c r="A725" t="s">
        <v>613</v>
      </c>
      <c r="B725">
        <v>1.39</v>
      </c>
      <c r="C725" t="str">
        <f t="shared" si="11"/>
        <v>NEW BRAUNFELS UTILITIES</v>
      </c>
      <c r="D725" t="b">
        <v>0</v>
      </c>
    </row>
    <row r="726" spans="1:4" x14ac:dyDescent="0.25">
      <c r="A726" t="s">
        <v>1240</v>
      </c>
      <c r="B726">
        <v>1.381</v>
      </c>
      <c r="C726" t="str">
        <f t="shared" si="11"/>
        <v>CITY OF RIO GRANDE CITY</v>
      </c>
      <c r="D726" t="b">
        <v>0</v>
      </c>
    </row>
    <row r="727" spans="1:4" x14ac:dyDescent="0.25">
      <c r="A727" t="s">
        <v>581</v>
      </c>
      <c r="B727">
        <v>1.38</v>
      </c>
      <c r="C727" t="e">
        <f t="shared" si="11"/>
        <v>#N/A</v>
      </c>
      <c r="D727" t="b">
        <v>0</v>
      </c>
    </row>
    <row r="728" spans="1:4" x14ac:dyDescent="0.25">
      <c r="A728" t="s">
        <v>1057</v>
      </c>
      <c r="B728">
        <v>1.38</v>
      </c>
      <c r="C728" t="str">
        <f t="shared" si="11"/>
        <v>FLINT HILLS RESOURCES CORPUS CHRISTI LLC</v>
      </c>
      <c r="D728" t="b">
        <v>0</v>
      </c>
    </row>
    <row r="729" spans="1:4" x14ac:dyDescent="0.25">
      <c r="A729" t="s">
        <v>1710</v>
      </c>
      <c r="B729">
        <v>1.38</v>
      </c>
      <c r="C729" t="str">
        <f t="shared" si="11"/>
        <v>CINCO SOUTHWEST MUD NO 1</v>
      </c>
      <c r="D729" t="b">
        <v>0</v>
      </c>
    </row>
    <row r="730" spans="1:4" x14ac:dyDescent="0.25">
      <c r="A730" t="s">
        <v>556</v>
      </c>
      <c r="B730">
        <v>1.3759999999999999</v>
      </c>
      <c r="C730" t="str">
        <f t="shared" si="11"/>
        <v>CITY OF WHARTON</v>
      </c>
      <c r="D730" t="b">
        <v>0</v>
      </c>
    </row>
    <row r="731" spans="1:4" x14ac:dyDescent="0.25">
      <c r="A731" t="s">
        <v>1473</v>
      </c>
      <c r="B731">
        <v>1.375</v>
      </c>
      <c r="C731" t="str">
        <f t="shared" si="11"/>
        <v>CITY OF ARANSAS PASS</v>
      </c>
      <c r="D731" t="b">
        <v>0</v>
      </c>
    </row>
    <row r="732" spans="1:4" x14ac:dyDescent="0.25">
      <c r="A732" t="s">
        <v>1924</v>
      </c>
      <c r="B732">
        <v>1.3740000000000001</v>
      </c>
      <c r="C732" t="str">
        <f t="shared" si="11"/>
        <v>CITY OF GALENA PARK</v>
      </c>
      <c r="D732" t="b">
        <v>0</v>
      </c>
    </row>
    <row r="733" spans="1:4" x14ac:dyDescent="0.25">
      <c r="A733" t="s">
        <v>2774</v>
      </c>
      <c r="B733">
        <v>1.3724000000000001</v>
      </c>
      <c r="C733" t="str">
        <f t="shared" si="11"/>
        <v>CITY OF CROCKETT</v>
      </c>
      <c r="D733" t="b">
        <v>0</v>
      </c>
    </row>
    <row r="734" spans="1:4" x14ac:dyDescent="0.25">
      <c r="A734" t="s">
        <v>1745</v>
      </c>
      <c r="B734">
        <v>1.37</v>
      </c>
      <c r="C734" t="str">
        <f t="shared" si="11"/>
        <v>SHELL OIL CO</v>
      </c>
      <c r="D734" t="b">
        <v>0</v>
      </c>
    </row>
    <row r="735" spans="1:4" x14ac:dyDescent="0.25">
      <c r="A735" t="s">
        <v>1744</v>
      </c>
      <c r="B735">
        <v>1.3640000000000001</v>
      </c>
      <c r="C735" t="str">
        <f t="shared" si="11"/>
        <v>SHELL CHEMICAL LP</v>
      </c>
      <c r="D735" t="b">
        <v>0</v>
      </c>
    </row>
    <row r="736" spans="1:4" x14ac:dyDescent="0.25">
      <c r="A736" t="s">
        <v>1917</v>
      </c>
      <c r="B736">
        <v>1.36</v>
      </c>
      <c r="C736" t="str">
        <f t="shared" si="11"/>
        <v>CNP UTILITY DISTRICT</v>
      </c>
      <c r="D736" t="b">
        <v>0</v>
      </c>
    </row>
    <row r="737" spans="1:4" x14ac:dyDescent="0.25">
      <c r="A737" t="s">
        <v>1484</v>
      </c>
      <c r="B737">
        <v>1.36</v>
      </c>
      <c r="C737" t="str">
        <f t="shared" si="11"/>
        <v>CORPUS CHRISTI ALUMINA LLC</v>
      </c>
      <c r="D737" t="b">
        <v>0</v>
      </c>
    </row>
    <row r="738" spans="1:4" x14ac:dyDescent="0.25">
      <c r="A738" t="s">
        <v>559</v>
      </c>
      <c r="B738">
        <v>1.359</v>
      </c>
      <c r="C738" t="str">
        <f t="shared" si="11"/>
        <v>CITY OF PITTSBURG</v>
      </c>
      <c r="D738" t="b">
        <v>0</v>
      </c>
    </row>
    <row r="739" spans="1:4" x14ac:dyDescent="0.25">
      <c r="A739" t="s">
        <v>2551</v>
      </c>
      <c r="B739">
        <v>1.357802</v>
      </c>
      <c r="C739" t="str">
        <f t="shared" si="11"/>
        <v>KIMBERLY CLARK CORP</v>
      </c>
      <c r="D739" t="b">
        <v>0</v>
      </c>
    </row>
    <row r="740" spans="1:4" x14ac:dyDescent="0.25">
      <c r="A740" t="s">
        <v>2258</v>
      </c>
      <c r="B740">
        <v>1.3480000000000001</v>
      </c>
      <c r="C740" t="str">
        <f t="shared" si="11"/>
        <v>CITY OF TOMBALL</v>
      </c>
      <c r="D740" t="b">
        <v>0</v>
      </c>
    </row>
    <row r="741" spans="1:4" x14ac:dyDescent="0.25">
      <c r="A741" t="s">
        <v>2723</v>
      </c>
      <c r="B741">
        <v>1.3412999999999999</v>
      </c>
      <c r="C741" t="str">
        <f t="shared" si="11"/>
        <v>BIG BROWN POWER CO LLC AND LUMINANT GENERATION CO LLC</v>
      </c>
      <c r="D741" t="b">
        <v>0</v>
      </c>
    </row>
    <row r="742" spans="1:4" x14ac:dyDescent="0.25">
      <c r="A742" t="s">
        <v>2726</v>
      </c>
      <c r="B742">
        <v>1.34</v>
      </c>
      <c r="C742" t="str">
        <f t="shared" si="11"/>
        <v>LUMINANT MINING CO LLC</v>
      </c>
      <c r="D742" t="b">
        <v>0</v>
      </c>
    </row>
    <row r="743" spans="1:4" x14ac:dyDescent="0.25">
      <c r="A743" t="s">
        <v>2244</v>
      </c>
      <c r="B743">
        <v>1.34</v>
      </c>
      <c r="C743" t="str">
        <f t="shared" si="11"/>
        <v>CITY OF HOUSTON</v>
      </c>
      <c r="D743" t="b">
        <v>0</v>
      </c>
    </row>
    <row r="744" spans="1:4" x14ac:dyDescent="0.25">
      <c r="A744" t="s">
        <v>2431</v>
      </c>
      <c r="B744">
        <v>1.339</v>
      </c>
      <c r="C744" t="str">
        <f t="shared" si="11"/>
        <v>NEW CANEY MUD</v>
      </c>
      <c r="D744" t="b">
        <v>0</v>
      </c>
    </row>
    <row r="745" spans="1:4" x14ac:dyDescent="0.25">
      <c r="A745" t="s">
        <v>1134</v>
      </c>
      <c r="B745">
        <v>1.3360000000000001</v>
      </c>
      <c r="C745" t="str">
        <f t="shared" si="11"/>
        <v>CITY OF HONDO</v>
      </c>
      <c r="D745" t="b">
        <v>0</v>
      </c>
    </row>
    <row r="746" spans="1:4" x14ac:dyDescent="0.25">
      <c r="A746" t="s">
        <v>2568</v>
      </c>
      <c r="B746">
        <v>1.3320000000000001</v>
      </c>
      <c r="C746" t="str">
        <f t="shared" si="11"/>
        <v>CITY OF MONT BELVIEU</v>
      </c>
      <c r="D746" t="b">
        <v>0</v>
      </c>
    </row>
    <row r="747" spans="1:4" x14ac:dyDescent="0.25">
      <c r="A747" t="s">
        <v>1381</v>
      </c>
      <c r="B747">
        <v>1.33</v>
      </c>
      <c r="C747" t="str">
        <f t="shared" si="11"/>
        <v>MAURICEVILLE MUD</v>
      </c>
      <c r="D747" t="b">
        <v>0</v>
      </c>
    </row>
    <row r="748" spans="1:4" x14ac:dyDescent="0.25">
      <c r="A748" t="s">
        <v>1894</v>
      </c>
      <c r="B748">
        <v>1.329</v>
      </c>
      <c r="C748" t="str">
        <f t="shared" si="11"/>
        <v>BAMMEL UD</v>
      </c>
      <c r="D748" t="b">
        <v>0</v>
      </c>
    </row>
    <row r="749" spans="1:4" x14ac:dyDescent="0.25">
      <c r="A749" t="s">
        <v>617</v>
      </c>
      <c r="B749">
        <v>1.321</v>
      </c>
      <c r="C749" t="str">
        <f t="shared" si="11"/>
        <v>CITY OF CUERO</v>
      </c>
      <c r="D749" t="b">
        <v>0</v>
      </c>
    </row>
    <row r="750" spans="1:4" x14ac:dyDescent="0.25">
      <c r="A750" t="s">
        <v>1809</v>
      </c>
      <c r="B750">
        <v>1.32</v>
      </c>
      <c r="C750" t="str">
        <f t="shared" si="11"/>
        <v>ECO SERVICES OPERATIONS CORP</v>
      </c>
      <c r="D750" t="b">
        <v>0</v>
      </c>
    </row>
    <row r="751" spans="1:4" x14ac:dyDescent="0.25">
      <c r="A751" t="s">
        <v>3</v>
      </c>
      <c r="B751">
        <v>1.3129999999999999</v>
      </c>
      <c r="C751" t="str">
        <f t="shared" si="11"/>
        <v>CITY OF BRAZORIA</v>
      </c>
      <c r="D751" t="b">
        <v>0</v>
      </c>
    </row>
    <row r="752" spans="1:4" x14ac:dyDescent="0.25">
      <c r="A752" t="s">
        <v>1097</v>
      </c>
      <c r="B752">
        <v>1.3089999999999999</v>
      </c>
      <c r="C752" t="str">
        <f t="shared" si="11"/>
        <v>CITY OF RAYMONDVILLE</v>
      </c>
      <c r="D752" t="b">
        <v>0</v>
      </c>
    </row>
    <row r="753" spans="1:4" x14ac:dyDescent="0.25">
      <c r="A753" t="s">
        <v>1899</v>
      </c>
      <c r="B753">
        <v>1.3089999999999999</v>
      </c>
      <c r="C753" t="str">
        <f t="shared" si="11"/>
        <v>TRESCHWIG JOINT POWERS BOARD</v>
      </c>
      <c r="D753" t="b">
        <v>0</v>
      </c>
    </row>
    <row r="754" spans="1:4" x14ac:dyDescent="0.25">
      <c r="A754" t="s">
        <v>1376</v>
      </c>
      <c r="B754">
        <v>1.306</v>
      </c>
      <c r="C754" t="str">
        <f t="shared" si="11"/>
        <v>ORANGE COUNTY WCID NO 2</v>
      </c>
      <c r="D754" t="b">
        <v>0</v>
      </c>
    </row>
    <row r="755" spans="1:4" x14ac:dyDescent="0.25">
      <c r="A755" t="s">
        <v>1352</v>
      </c>
      <c r="B755">
        <v>1.30575</v>
      </c>
      <c r="C755" t="str">
        <f t="shared" si="11"/>
        <v>JP ENERGY CADDO LLC</v>
      </c>
      <c r="D755" t="b">
        <v>0</v>
      </c>
    </row>
    <row r="756" spans="1:4" x14ac:dyDescent="0.25">
      <c r="A756" t="s">
        <v>132</v>
      </c>
      <c r="B756">
        <v>1.304</v>
      </c>
      <c r="C756" t="str">
        <f t="shared" si="11"/>
        <v>SANDERSON FARMS INC PROCESSING DIVISION</v>
      </c>
      <c r="D756" t="b">
        <v>0</v>
      </c>
    </row>
    <row r="757" spans="1:4" x14ac:dyDescent="0.25">
      <c r="A757" t="s">
        <v>2022</v>
      </c>
      <c r="B757">
        <v>1.302</v>
      </c>
      <c r="C757" t="str">
        <f t="shared" si="11"/>
        <v>NORTHWEST HARRIS COUNTY MUD NO 15</v>
      </c>
      <c r="D757" t="b">
        <v>0</v>
      </c>
    </row>
    <row r="758" spans="1:4" x14ac:dyDescent="0.25">
      <c r="A758" t="s">
        <v>1726</v>
      </c>
      <c r="B758">
        <v>1.3</v>
      </c>
      <c r="C758" t="str">
        <f t="shared" si="11"/>
        <v>VALERO REFINING TEXAS LP</v>
      </c>
      <c r="D758" t="b">
        <v>0</v>
      </c>
    </row>
    <row r="759" spans="1:4" x14ac:dyDescent="0.25">
      <c r="A759" t="s">
        <v>1783</v>
      </c>
      <c r="B759">
        <v>1.3</v>
      </c>
      <c r="C759" t="str">
        <f t="shared" si="11"/>
        <v>ROHM AND HAAS TEXAS INC</v>
      </c>
      <c r="D759" t="b">
        <v>0</v>
      </c>
    </row>
    <row r="760" spans="1:4" x14ac:dyDescent="0.25">
      <c r="A760" t="s">
        <v>1819</v>
      </c>
      <c r="B760">
        <v>1.3</v>
      </c>
      <c r="C760" t="str">
        <f t="shared" si="11"/>
        <v>OXY VINYLS LP</v>
      </c>
      <c r="D760" t="b">
        <v>0</v>
      </c>
    </row>
    <row r="761" spans="1:4" x14ac:dyDescent="0.25">
      <c r="A761" t="s">
        <v>1572</v>
      </c>
      <c r="B761">
        <v>1.2949999999999999</v>
      </c>
      <c r="C761" t="str">
        <f t="shared" si="11"/>
        <v>BRAZORIA COUNTY MUD NO 3</v>
      </c>
      <c r="D761" t="b">
        <v>0</v>
      </c>
    </row>
    <row r="762" spans="1:4" x14ac:dyDescent="0.25">
      <c r="A762" t="s">
        <v>141</v>
      </c>
      <c r="B762">
        <v>1.2889999999999999</v>
      </c>
      <c r="C762" t="str">
        <f t="shared" si="11"/>
        <v>CITY OF GATESVILLE</v>
      </c>
      <c r="D762" t="b">
        <v>0</v>
      </c>
    </row>
    <row r="763" spans="1:4" x14ac:dyDescent="0.25">
      <c r="A763" t="s">
        <v>944</v>
      </c>
      <c r="B763">
        <v>1.2837419999999999</v>
      </c>
      <c r="C763" t="str">
        <f t="shared" si="11"/>
        <v>CITY OF SAN AUGUSTINE</v>
      </c>
      <c r="D763" t="b">
        <v>0</v>
      </c>
    </row>
    <row r="764" spans="1:4" x14ac:dyDescent="0.25">
      <c r="A764" t="s">
        <v>1125</v>
      </c>
      <c r="B764">
        <v>1.28</v>
      </c>
      <c r="C764" t="str">
        <f t="shared" si="11"/>
        <v>DIAMOND SHAMROCK REFINING CO LP</v>
      </c>
      <c r="D764" t="b">
        <v>0</v>
      </c>
    </row>
    <row r="765" spans="1:4" x14ac:dyDescent="0.25">
      <c r="A765" t="s">
        <v>1127</v>
      </c>
      <c r="B765">
        <v>1.28</v>
      </c>
      <c r="C765" t="str">
        <f t="shared" si="11"/>
        <v>DIAMOND SHAMROCK REFINING CO LP</v>
      </c>
      <c r="D765" t="b">
        <v>0</v>
      </c>
    </row>
    <row r="766" spans="1:4" x14ac:dyDescent="0.25">
      <c r="A766" t="s">
        <v>614</v>
      </c>
      <c r="B766">
        <v>1.28</v>
      </c>
      <c r="C766" t="str">
        <f t="shared" si="11"/>
        <v>NEW BRAUNFELS UTILITIES</v>
      </c>
      <c r="D766" t="b">
        <v>0</v>
      </c>
    </row>
    <row r="767" spans="1:4" x14ac:dyDescent="0.25">
      <c r="A767" t="s">
        <v>1634</v>
      </c>
      <c r="B767">
        <v>1.2789999999999999</v>
      </c>
      <c r="C767" t="str">
        <f t="shared" si="11"/>
        <v>SAN LEON MUD</v>
      </c>
      <c r="D767" t="b">
        <v>0</v>
      </c>
    </row>
    <row r="768" spans="1:4" x14ac:dyDescent="0.25">
      <c r="A768" t="s">
        <v>2</v>
      </c>
      <c r="B768">
        <v>1.276</v>
      </c>
      <c r="C768" t="str">
        <f t="shared" si="11"/>
        <v>CITY OF SWEENY</v>
      </c>
      <c r="D768" t="b">
        <v>0</v>
      </c>
    </row>
    <row r="769" spans="1:4" x14ac:dyDescent="0.25">
      <c r="A769" t="s">
        <v>1914</v>
      </c>
      <c r="B769">
        <v>1.274</v>
      </c>
      <c r="C769" t="str">
        <f t="shared" si="11"/>
        <v>CITY OF MEADOWS PLACE</v>
      </c>
      <c r="D769" t="b">
        <v>0</v>
      </c>
    </row>
    <row r="770" spans="1:4" x14ac:dyDescent="0.25">
      <c r="A770" t="s">
        <v>926</v>
      </c>
      <c r="B770">
        <v>1.2725</v>
      </c>
      <c r="C770" t="str">
        <f t="shared" ref="C770:C833" si="12">VLOOKUP(A770,PERMITTEES,2,FALSE)</f>
        <v>GEORGIA-PACIFIC WOOD PRODUCTS LLC</v>
      </c>
      <c r="D770" t="b">
        <v>0</v>
      </c>
    </row>
    <row r="771" spans="1:4" x14ac:dyDescent="0.25">
      <c r="A771" t="s">
        <v>1922</v>
      </c>
      <c r="B771">
        <v>1.2703329999999999</v>
      </c>
      <c r="C771" t="str">
        <f t="shared" si="12"/>
        <v>WHITE OAK BAYOU JOINT POWERS BOARD</v>
      </c>
      <c r="D771" t="b">
        <v>0</v>
      </c>
    </row>
    <row r="772" spans="1:4" x14ac:dyDescent="0.25">
      <c r="A772" t="s">
        <v>570</v>
      </c>
      <c r="B772">
        <v>1.2701899999999999</v>
      </c>
      <c r="C772" t="str">
        <f t="shared" si="12"/>
        <v>SNIDER INDUSTRIES LLP</v>
      </c>
      <c r="D772" t="b">
        <v>0</v>
      </c>
    </row>
    <row r="773" spans="1:4" x14ac:dyDescent="0.25">
      <c r="A773" t="s">
        <v>1116</v>
      </c>
      <c r="B773">
        <v>1.27</v>
      </c>
      <c r="C773" t="str">
        <f t="shared" si="12"/>
        <v>CITY OF PEARSALL</v>
      </c>
      <c r="D773" t="b">
        <v>0</v>
      </c>
    </row>
    <row r="774" spans="1:4" x14ac:dyDescent="0.25">
      <c r="A774" t="s">
        <v>303</v>
      </c>
      <c r="B774">
        <v>1.27</v>
      </c>
      <c r="C774" t="str">
        <f t="shared" si="12"/>
        <v>CITY OF CAMERON</v>
      </c>
      <c r="D774" t="b">
        <v>0</v>
      </c>
    </row>
    <row r="775" spans="1:4" x14ac:dyDescent="0.25">
      <c r="A775" t="s">
        <v>1437</v>
      </c>
      <c r="B775">
        <v>1.2689999999999999</v>
      </c>
      <c r="C775" t="e">
        <f t="shared" si="12"/>
        <v>#N/A</v>
      </c>
      <c r="D775" t="b">
        <v>0</v>
      </c>
    </row>
    <row r="776" spans="1:4" x14ac:dyDescent="0.25">
      <c r="A776" t="s">
        <v>243</v>
      </c>
      <c r="B776">
        <v>1.2669999999999999</v>
      </c>
      <c r="C776" t="str">
        <f t="shared" si="12"/>
        <v>WOLF HOLLOW SERVICES LLC</v>
      </c>
      <c r="D776" t="b">
        <v>0</v>
      </c>
    </row>
    <row r="777" spans="1:4" x14ac:dyDescent="0.25">
      <c r="A777" t="s">
        <v>874</v>
      </c>
      <c r="B777">
        <v>1.2633000000000001</v>
      </c>
      <c r="C777" t="e">
        <f t="shared" si="12"/>
        <v>#N/A</v>
      </c>
      <c r="D777" t="b">
        <v>0</v>
      </c>
    </row>
    <row r="778" spans="1:4" x14ac:dyDescent="0.25">
      <c r="A778" t="s">
        <v>1370</v>
      </c>
      <c r="B778">
        <v>1.25</v>
      </c>
      <c r="C778" t="str">
        <f t="shared" si="12"/>
        <v>HONEYWELL INTERNATIONAL INC</v>
      </c>
      <c r="D778" t="b">
        <v>0</v>
      </c>
    </row>
    <row r="779" spans="1:4" x14ac:dyDescent="0.25">
      <c r="A779" t="s">
        <v>1672</v>
      </c>
      <c r="B779">
        <v>1.24</v>
      </c>
      <c r="C779" t="str">
        <f t="shared" si="12"/>
        <v>LYONDELL CHEMICAL CO</v>
      </c>
      <c r="D779" t="b">
        <v>0</v>
      </c>
    </row>
    <row r="780" spans="1:4" x14ac:dyDescent="0.25">
      <c r="A780" t="s">
        <v>403</v>
      </c>
      <c r="B780">
        <v>1.24</v>
      </c>
      <c r="C780" t="str">
        <f t="shared" si="12"/>
        <v>CITY OF BORGER</v>
      </c>
      <c r="D780" t="b">
        <v>0</v>
      </c>
    </row>
    <row r="781" spans="1:4" x14ac:dyDescent="0.25">
      <c r="A781" t="s">
        <v>521</v>
      </c>
      <c r="B781">
        <v>1.24</v>
      </c>
      <c r="C781" t="str">
        <f t="shared" si="12"/>
        <v>LOWER COLORADO RIVER AUTHORITY</v>
      </c>
      <c r="D781" t="b">
        <v>0</v>
      </c>
    </row>
    <row r="782" spans="1:4" x14ac:dyDescent="0.25">
      <c r="A782" t="s">
        <v>130</v>
      </c>
      <c r="B782">
        <v>1.2250000000000001</v>
      </c>
      <c r="C782" t="str">
        <f t="shared" si="12"/>
        <v>SANDERSON FARMS INC PROCESSING DIVISION</v>
      </c>
      <c r="D782" t="b">
        <v>0</v>
      </c>
    </row>
    <row r="783" spans="1:4" x14ac:dyDescent="0.25">
      <c r="A783" t="s">
        <v>2507</v>
      </c>
      <c r="B783">
        <v>1.22</v>
      </c>
      <c r="C783" t="str">
        <f t="shared" si="12"/>
        <v>CITY OF HUNTSVILLE</v>
      </c>
      <c r="D783" t="b">
        <v>0</v>
      </c>
    </row>
    <row r="784" spans="1:4" x14ac:dyDescent="0.25">
      <c r="A784" t="s">
        <v>503</v>
      </c>
      <c r="B784">
        <v>1.22</v>
      </c>
      <c r="C784" t="str">
        <f t="shared" si="12"/>
        <v>CITY OF FREDERICKSBURG</v>
      </c>
      <c r="D784" t="b">
        <v>0</v>
      </c>
    </row>
    <row r="785" spans="1:4" x14ac:dyDescent="0.25">
      <c r="A785" t="s">
        <v>2213</v>
      </c>
      <c r="B785">
        <v>1.216</v>
      </c>
      <c r="C785" t="str">
        <f t="shared" si="12"/>
        <v>CITY OF HOUSTON</v>
      </c>
      <c r="D785" t="b">
        <v>0</v>
      </c>
    </row>
    <row r="786" spans="1:4" x14ac:dyDescent="0.25">
      <c r="A786" t="s">
        <v>2837</v>
      </c>
      <c r="B786">
        <v>1.214</v>
      </c>
      <c r="C786" t="str">
        <f t="shared" si="12"/>
        <v>CITY OF AZLE</v>
      </c>
      <c r="D786" t="b">
        <v>0</v>
      </c>
    </row>
    <row r="787" spans="1:4" x14ac:dyDescent="0.25">
      <c r="A787" t="s">
        <v>1976</v>
      </c>
      <c r="B787">
        <v>1.21</v>
      </c>
      <c r="C787" t="str">
        <f t="shared" si="12"/>
        <v>OXY VINYLS LP</v>
      </c>
      <c r="D787" t="b">
        <v>0</v>
      </c>
    </row>
    <row r="788" spans="1:4" x14ac:dyDescent="0.25">
      <c r="A788" t="s">
        <v>406</v>
      </c>
      <c r="B788">
        <v>1.2090000000000001</v>
      </c>
      <c r="C788" t="str">
        <f t="shared" si="12"/>
        <v>CITY OF DUMAS</v>
      </c>
      <c r="D788" t="b">
        <v>0</v>
      </c>
    </row>
    <row r="789" spans="1:4" x14ac:dyDescent="0.25">
      <c r="A789" t="s">
        <v>269</v>
      </c>
      <c r="B789">
        <v>1.2050000000000001</v>
      </c>
      <c r="C789" t="str">
        <f t="shared" si="12"/>
        <v>CITY OF MEXIA</v>
      </c>
      <c r="D789" t="b">
        <v>0</v>
      </c>
    </row>
    <row r="790" spans="1:4" x14ac:dyDescent="0.25">
      <c r="A790" t="s">
        <v>1916</v>
      </c>
      <c r="B790">
        <v>1.2050000000000001</v>
      </c>
      <c r="C790" t="str">
        <f t="shared" si="12"/>
        <v>CROSBY MUD</v>
      </c>
      <c r="D790" t="b">
        <v>0</v>
      </c>
    </row>
    <row r="791" spans="1:4" x14ac:dyDescent="0.25">
      <c r="A791" t="s">
        <v>1641</v>
      </c>
      <c r="B791">
        <v>1.2</v>
      </c>
      <c r="C791" t="str">
        <f t="shared" si="12"/>
        <v>NUSTAR TERMINALS PARTNERS TX LP</v>
      </c>
      <c r="D791" t="b">
        <v>0</v>
      </c>
    </row>
    <row r="792" spans="1:4" x14ac:dyDescent="0.25">
      <c r="A792" t="s">
        <v>1920</v>
      </c>
      <c r="B792">
        <v>1.193516</v>
      </c>
      <c r="C792" t="str">
        <f t="shared" si="12"/>
        <v>HARRIS COUNTY MUD NO 26</v>
      </c>
      <c r="D792" t="b">
        <v>0</v>
      </c>
    </row>
    <row r="793" spans="1:4" x14ac:dyDescent="0.25">
      <c r="A793" t="s">
        <v>1815</v>
      </c>
      <c r="B793">
        <v>1.19</v>
      </c>
      <c r="C793" t="str">
        <f t="shared" si="12"/>
        <v>PCI NITROGEN LLC</v>
      </c>
      <c r="D793" t="b">
        <v>0</v>
      </c>
    </row>
    <row r="794" spans="1:4" x14ac:dyDescent="0.25">
      <c r="A794" t="s">
        <v>1013</v>
      </c>
      <c r="B794">
        <v>1.1879999999999999</v>
      </c>
      <c r="C794" t="str">
        <f t="shared" si="12"/>
        <v>CITY OF HIDALGO</v>
      </c>
      <c r="D794" t="b">
        <v>0</v>
      </c>
    </row>
    <row r="795" spans="1:4" x14ac:dyDescent="0.25">
      <c r="A795" t="s">
        <v>1848</v>
      </c>
      <c r="B795">
        <v>1.1870000000000001</v>
      </c>
      <c r="C795" t="str">
        <f t="shared" si="12"/>
        <v>NEWPORT MUD</v>
      </c>
      <c r="D795" t="b">
        <v>0</v>
      </c>
    </row>
    <row r="796" spans="1:4" x14ac:dyDescent="0.25">
      <c r="A796" t="s">
        <v>172</v>
      </c>
      <c r="B796">
        <v>1.1859999999999999</v>
      </c>
      <c r="C796" t="str">
        <f t="shared" si="12"/>
        <v>FORT BEND COUNTY MUD 25</v>
      </c>
      <c r="D796" t="b">
        <v>0</v>
      </c>
    </row>
    <row r="797" spans="1:4" x14ac:dyDescent="0.25">
      <c r="A797" t="s">
        <v>297</v>
      </c>
      <c r="B797">
        <v>1.1739999999999999</v>
      </c>
      <c r="C797" t="str">
        <f t="shared" si="12"/>
        <v>SANDERSON FARMS INC (PROCESSING DIVISION)</v>
      </c>
      <c r="D797" t="b">
        <v>0</v>
      </c>
    </row>
    <row r="798" spans="1:4" x14ac:dyDescent="0.25">
      <c r="A798" t="s">
        <v>1264</v>
      </c>
      <c r="B798">
        <v>1.1717</v>
      </c>
      <c r="C798" t="str">
        <f t="shared" si="12"/>
        <v>CITY OF WHITE OAK</v>
      </c>
      <c r="D798" t="b">
        <v>0</v>
      </c>
    </row>
    <row r="799" spans="1:4" x14ac:dyDescent="0.25">
      <c r="A799" t="s">
        <v>1529</v>
      </c>
      <c r="B799">
        <v>1.1667000000000001</v>
      </c>
      <c r="C799" t="str">
        <f t="shared" si="12"/>
        <v>CITY OF BOERNE</v>
      </c>
      <c r="D799" t="b">
        <v>0</v>
      </c>
    </row>
    <row r="800" spans="1:4" x14ac:dyDescent="0.25">
      <c r="A800" t="s">
        <v>931</v>
      </c>
      <c r="B800">
        <v>1.161235</v>
      </c>
      <c r="C800" t="str">
        <f t="shared" si="12"/>
        <v>GEORGIA-PACIFIC WOOD PRODUCTS LLC</v>
      </c>
      <c r="D800" t="b">
        <v>0</v>
      </c>
    </row>
    <row r="801" spans="1:4" x14ac:dyDescent="0.25">
      <c r="A801" t="s">
        <v>1052</v>
      </c>
      <c r="B801">
        <v>1.1599999999999999</v>
      </c>
      <c r="C801" t="str">
        <f t="shared" si="12"/>
        <v>FLINT HILLS RESOURCES CORPUS CHRISTI LLC</v>
      </c>
      <c r="D801" t="b">
        <v>0</v>
      </c>
    </row>
    <row r="802" spans="1:4" x14ac:dyDescent="0.25">
      <c r="A802" t="s">
        <v>1889</v>
      </c>
      <c r="B802">
        <v>1.159</v>
      </c>
      <c r="C802" t="str">
        <f t="shared" si="12"/>
        <v>CITY OF HOUSTON</v>
      </c>
      <c r="D802" t="b">
        <v>0</v>
      </c>
    </row>
    <row r="803" spans="1:4" x14ac:dyDescent="0.25">
      <c r="A803" t="s">
        <v>2406</v>
      </c>
      <c r="B803">
        <v>1.1559999999999999</v>
      </c>
      <c r="C803" t="str">
        <f t="shared" si="12"/>
        <v>SOUTHERN MONTGOMERY COUNTY MUD</v>
      </c>
      <c r="D803" t="b">
        <v>0</v>
      </c>
    </row>
    <row r="804" spans="1:4" x14ac:dyDescent="0.25">
      <c r="A804" t="s">
        <v>2003</v>
      </c>
      <c r="B804">
        <v>1.155</v>
      </c>
      <c r="C804" t="str">
        <f t="shared" si="12"/>
        <v>TRAIL OF THE LAKES MUD</v>
      </c>
      <c r="D804" t="b">
        <v>0</v>
      </c>
    </row>
    <row r="805" spans="1:4" x14ac:dyDescent="0.25">
      <c r="A805" t="s">
        <v>2276</v>
      </c>
      <c r="B805">
        <v>1.1519999999999999</v>
      </c>
      <c r="C805" t="str">
        <f t="shared" si="12"/>
        <v>MCCARTY ROAD LANDFILL TX LP</v>
      </c>
      <c r="D805" t="b">
        <v>0</v>
      </c>
    </row>
    <row r="806" spans="1:4" x14ac:dyDescent="0.25">
      <c r="A806" t="s">
        <v>309</v>
      </c>
      <c r="B806">
        <v>1.1499999999999999</v>
      </c>
      <c r="C806" t="str">
        <f t="shared" si="12"/>
        <v>CITY OF SWEETWATER</v>
      </c>
      <c r="D806" t="b">
        <v>0</v>
      </c>
    </row>
    <row r="807" spans="1:4" x14ac:dyDescent="0.25">
      <c r="A807" t="s">
        <v>2858</v>
      </c>
      <c r="B807">
        <v>1.1479999999999999</v>
      </c>
      <c r="C807" t="str">
        <f t="shared" si="12"/>
        <v>NORTH TEXAS MUNICIPAL WATER DISTRICT</v>
      </c>
      <c r="D807" t="b">
        <v>0</v>
      </c>
    </row>
    <row r="808" spans="1:4" x14ac:dyDescent="0.25">
      <c r="A808" t="s">
        <v>180</v>
      </c>
      <c r="B808">
        <v>1.141</v>
      </c>
      <c r="C808" t="str">
        <f t="shared" si="12"/>
        <v>CITY OF SUGAR LAND</v>
      </c>
      <c r="D808" t="b">
        <v>0</v>
      </c>
    </row>
    <row r="809" spans="1:4" x14ac:dyDescent="0.25">
      <c r="A809" t="s">
        <v>2907</v>
      </c>
      <c r="B809">
        <v>1.1399999999999999</v>
      </c>
      <c r="C809" t="str">
        <f t="shared" si="12"/>
        <v>CITY OF DECATUR</v>
      </c>
      <c r="D809" t="b">
        <v>0</v>
      </c>
    </row>
    <row r="810" spans="1:4" x14ac:dyDescent="0.25">
      <c r="A810" t="s">
        <v>598</v>
      </c>
      <c r="B810">
        <v>1.1399999999999999</v>
      </c>
      <c r="C810" t="str">
        <f t="shared" si="12"/>
        <v>CITY OF GILMER</v>
      </c>
      <c r="D810" t="b">
        <v>0</v>
      </c>
    </row>
    <row r="811" spans="1:4" x14ac:dyDescent="0.25">
      <c r="A811" t="s">
        <v>170</v>
      </c>
      <c r="B811">
        <v>1.1399999999999999</v>
      </c>
      <c r="C811" t="str">
        <f t="shared" si="12"/>
        <v>FORT BEND COUNTY MUD NO 23</v>
      </c>
      <c r="D811" t="b">
        <v>0</v>
      </c>
    </row>
    <row r="812" spans="1:4" x14ac:dyDescent="0.25">
      <c r="A812" t="s">
        <v>1514</v>
      </c>
      <c r="B812">
        <v>1.1399999999999999</v>
      </c>
      <c r="C812" t="str">
        <f t="shared" si="12"/>
        <v>SAN ANTONIO WATER SYSTEM</v>
      </c>
      <c r="D812" t="b">
        <v>0</v>
      </c>
    </row>
    <row r="813" spans="1:4" x14ac:dyDescent="0.25">
      <c r="A813" t="s">
        <v>2114</v>
      </c>
      <c r="B813">
        <v>1.1399999999999999</v>
      </c>
      <c r="C813" t="str">
        <f t="shared" si="12"/>
        <v>HARRIS COUNTY MUD NO 221</v>
      </c>
      <c r="D813" t="b">
        <v>0</v>
      </c>
    </row>
    <row r="814" spans="1:4" x14ac:dyDescent="0.25">
      <c r="A814" t="s">
        <v>284</v>
      </c>
      <c r="B814">
        <v>1.1399999999999999</v>
      </c>
      <c r="C814" t="str">
        <f t="shared" si="12"/>
        <v>CITY OF LUBBOCK</v>
      </c>
      <c r="D814" t="b">
        <v>0</v>
      </c>
    </row>
    <row r="815" spans="1:4" x14ac:dyDescent="0.25">
      <c r="A815" t="s">
        <v>2004</v>
      </c>
      <c r="B815">
        <v>1.1379999999999999</v>
      </c>
      <c r="C815" t="str">
        <f t="shared" si="12"/>
        <v>HARRIS COUNTY MUD 33</v>
      </c>
      <c r="D815" t="b">
        <v>0</v>
      </c>
    </row>
    <row r="816" spans="1:4" x14ac:dyDescent="0.25">
      <c r="A816" t="s">
        <v>241</v>
      </c>
      <c r="B816">
        <v>1.1379999999999999</v>
      </c>
      <c r="C816" t="str">
        <f t="shared" si="12"/>
        <v>CITY OF GRANBURY</v>
      </c>
      <c r="D816" t="b">
        <v>0</v>
      </c>
    </row>
    <row r="817" spans="1:4" x14ac:dyDescent="0.25">
      <c r="A817" t="s">
        <v>1371</v>
      </c>
      <c r="B817">
        <v>1.1299999999999999</v>
      </c>
      <c r="C817" t="str">
        <f t="shared" si="12"/>
        <v>HONEYWELL INTERNATIONAL INC</v>
      </c>
      <c r="D817" t="b">
        <v>0</v>
      </c>
    </row>
    <row r="818" spans="1:4" x14ac:dyDescent="0.25">
      <c r="A818" t="s">
        <v>190</v>
      </c>
      <c r="B818">
        <v>1.129</v>
      </c>
      <c r="C818" t="str">
        <f t="shared" si="12"/>
        <v>SIENNA PLANTATION MUD NO 1</v>
      </c>
      <c r="D818" t="b">
        <v>0</v>
      </c>
    </row>
    <row r="819" spans="1:4" x14ac:dyDescent="0.25">
      <c r="A819" t="s">
        <v>455</v>
      </c>
      <c r="B819">
        <v>1.1259999999999999</v>
      </c>
      <c r="C819" t="str">
        <f t="shared" si="12"/>
        <v>CITY OF BASTROP</v>
      </c>
      <c r="D819" t="b">
        <v>0</v>
      </c>
    </row>
    <row r="820" spans="1:4" x14ac:dyDescent="0.25">
      <c r="A820" t="s">
        <v>1515</v>
      </c>
      <c r="B820">
        <v>1.1200000000000001</v>
      </c>
      <c r="C820" t="str">
        <f t="shared" si="12"/>
        <v>SAN ANTONIO WATER SYSTEM</v>
      </c>
      <c r="D820" t="b">
        <v>0</v>
      </c>
    </row>
    <row r="821" spans="1:4" x14ac:dyDescent="0.25">
      <c r="A821" t="s">
        <v>12</v>
      </c>
      <c r="B821">
        <v>1.1180000000000001</v>
      </c>
      <c r="C821" t="str">
        <f t="shared" si="12"/>
        <v>TEXAS DEPT OF CRIMINAL JUSTICE</v>
      </c>
      <c r="D821" t="b">
        <v>0</v>
      </c>
    </row>
    <row r="822" spans="1:4" x14ac:dyDescent="0.25">
      <c r="A822" t="s">
        <v>1241</v>
      </c>
      <c r="B822">
        <v>1.113</v>
      </c>
      <c r="C822" t="str">
        <f t="shared" si="12"/>
        <v>CITY OF ROMA</v>
      </c>
      <c r="D822" t="b">
        <v>0</v>
      </c>
    </row>
    <row r="823" spans="1:4" x14ac:dyDescent="0.25">
      <c r="A823" t="s">
        <v>2689</v>
      </c>
      <c r="B823">
        <v>1.1066</v>
      </c>
      <c r="C823" t="str">
        <f t="shared" si="12"/>
        <v>TROPHY CLUB MUD NO 1</v>
      </c>
      <c r="D823" t="b">
        <v>0</v>
      </c>
    </row>
    <row r="824" spans="1:4" x14ac:dyDescent="0.25">
      <c r="A824" t="s">
        <v>1884</v>
      </c>
      <c r="B824">
        <v>1.103</v>
      </c>
      <c r="C824" t="str">
        <f t="shared" si="12"/>
        <v>HARRIS COUNTY WCID 84</v>
      </c>
      <c r="D824" t="b">
        <v>0</v>
      </c>
    </row>
    <row r="825" spans="1:4" x14ac:dyDescent="0.25">
      <c r="A825" t="s">
        <v>1723</v>
      </c>
      <c r="B825">
        <v>1.1000000000000001</v>
      </c>
      <c r="C825" t="str">
        <f t="shared" si="12"/>
        <v>VALERO REFINING TEXAS LP</v>
      </c>
      <c r="D825" t="b">
        <v>0</v>
      </c>
    </row>
    <row r="826" spans="1:4" x14ac:dyDescent="0.25">
      <c r="A826" t="s">
        <v>1818</v>
      </c>
      <c r="B826">
        <v>1.1000000000000001</v>
      </c>
      <c r="C826" t="str">
        <f t="shared" si="12"/>
        <v>OXY VINYLS LP</v>
      </c>
      <c r="D826" t="b">
        <v>0</v>
      </c>
    </row>
    <row r="827" spans="1:4" x14ac:dyDescent="0.25">
      <c r="A827" t="s">
        <v>879</v>
      </c>
      <c r="B827">
        <v>1.1000000000000001</v>
      </c>
      <c r="C827" t="str">
        <f t="shared" si="12"/>
        <v>TOTAL PETROCHEMICALS &amp; REFINING USA INC</v>
      </c>
      <c r="D827" t="b">
        <v>0</v>
      </c>
    </row>
    <row r="828" spans="1:4" x14ac:dyDescent="0.25">
      <c r="A828" t="s">
        <v>1124</v>
      </c>
      <c r="B828">
        <v>1.1000000000000001</v>
      </c>
      <c r="C828" t="str">
        <f t="shared" si="12"/>
        <v>DIAMOND SHAMROCK REFINING CO LP</v>
      </c>
      <c r="D828" t="b">
        <v>0</v>
      </c>
    </row>
    <row r="829" spans="1:4" x14ac:dyDescent="0.25">
      <c r="A829" t="s">
        <v>1309</v>
      </c>
      <c r="B829">
        <v>1.1000000000000001</v>
      </c>
      <c r="C829" t="e">
        <f t="shared" si="12"/>
        <v>#N/A</v>
      </c>
      <c r="D829" t="b">
        <v>0</v>
      </c>
    </row>
    <row r="830" spans="1:4" x14ac:dyDescent="0.25">
      <c r="A830" t="s">
        <v>2085</v>
      </c>
      <c r="B830">
        <v>1.096533</v>
      </c>
      <c r="C830" t="str">
        <f t="shared" si="12"/>
        <v>HARRIS COUNTY MUD 200</v>
      </c>
      <c r="D830" t="b">
        <v>0</v>
      </c>
    </row>
    <row r="831" spans="1:4" x14ac:dyDescent="0.25">
      <c r="A831" t="s">
        <v>1699</v>
      </c>
      <c r="B831">
        <v>1.0960000000000001</v>
      </c>
      <c r="C831" t="str">
        <f t="shared" si="12"/>
        <v>FORT BEND COUNTY MUD NO 30</v>
      </c>
      <c r="D831" t="b">
        <v>0</v>
      </c>
    </row>
    <row r="832" spans="1:4" x14ac:dyDescent="0.25">
      <c r="A832" t="s">
        <v>2720</v>
      </c>
      <c r="B832">
        <v>1.0958810000000001</v>
      </c>
      <c r="C832" t="str">
        <f t="shared" si="12"/>
        <v>CITY OF LEONARD</v>
      </c>
      <c r="D832" t="b">
        <v>0</v>
      </c>
    </row>
    <row r="833" spans="1:4" x14ac:dyDescent="0.25">
      <c r="A833" t="s">
        <v>1791</v>
      </c>
      <c r="B833">
        <v>1.0940000000000001</v>
      </c>
      <c r="C833" t="str">
        <f t="shared" si="12"/>
        <v>NRG TEXAS POWER LLC</v>
      </c>
      <c r="D833" t="b">
        <v>0</v>
      </c>
    </row>
    <row r="834" spans="1:4" x14ac:dyDescent="0.25">
      <c r="A834" t="s">
        <v>53</v>
      </c>
      <c r="B834">
        <v>1.0912999999999999</v>
      </c>
      <c r="C834" t="str">
        <f t="shared" ref="C834:C897" si="13">VLOOKUP(A834,PERMITTEES,2,FALSE)</f>
        <v>US DEPT OF THE ARMY</v>
      </c>
      <c r="D834" t="b">
        <v>0</v>
      </c>
    </row>
    <row r="835" spans="1:4" x14ac:dyDescent="0.25">
      <c r="A835" t="s">
        <v>1065</v>
      </c>
      <c r="B835">
        <v>1.0900000000000001</v>
      </c>
      <c r="C835" t="str">
        <f t="shared" si="13"/>
        <v>VALERO REFININGTEXAS LP</v>
      </c>
      <c r="D835" t="b">
        <v>0</v>
      </c>
    </row>
    <row r="836" spans="1:4" x14ac:dyDescent="0.25">
      <c r="A836" t="s">
        <v>1650</v>
      </c>
      <c r="B836">
        <v>1.0900000000000001</v>
      </c>
      <c r="C836" t="str">
        <f t="shared" si="13"/>
        <v>WASTE MANAGEMENT OF TEXAS INC</v>
      </c>
      <c r="D836" t="b">
        <v>0</v>
      </c>
    </row>
    <row r="837" spans="1:4" x14ac:dyDescent="0.25">
      <c r="A837" t="s">
        <v>873</v>
      </c>
      <c r="B837">
        <v>1.0892999999999999</v>
      </c>
      <c r="C837" t="e">
        <f t="shared" si="13"/>
        <v>#N/A</v>
      </c>
      <c r="D837" t="b">
        <v>0</v>
      </c>
    </row>
    <row r="838" spans="1:4" x14ac:dyDescent="0.25">
      <c r="A838" t="s">
        <v>789</v>
      </c>
      <c r="B838">
        <v>1.0785</v>
      </c>
      <c r="C838" t="str">
        <f t="shared" si="13"/>
        <v>CITY OF DIBOLL</v>
      </c>
      <c r="D838" t="b">
        <v>0</v>
      </c>
    </row>
    <row r="839" spans="1:4" x14ac:dyDescent="0.25">
      <c r="A839" t="s">
        <v>978</v>
      </c>
      <c r="B839">
        <v>1.0723</v>
      </c>
      <c r="C839" t="str">
        <f t="shared" si="13"/>
        <v>LAGUNA MADRE WATER DISTRICT</v>
      </c>
      <c r="D839" t="b">
        <v>0</v>
      </c>
    </row>
    <row r="840" spans="1:4" x14ac:dyDescent="0.25">
      <c r="A840" t="s">
        <v>1844</v>
      </c>
      <c r="B840">
        <v>1.069</v>
      </c>
      <c r="C840" t="str">
        <f t="shared" si="13"/>
        <v>CITY OF TOMBALL</v>
      </c>
      <c r="D840" t="b">
        <v>0</v>
      </c>
    </row>
    <row r="841" spans="1:4" x14ac:dyDescent="0.25">
      <c r="A841" t="s">
        <v>2067</v>
      </c>
      <c r="B841">
        <v>1.0669999999999999</v>
      </c>
      <c r="C841" t="str">
        <f t="shared" si="13"/>
        <v>HARRIS COUNTY MUD NO 189</v>
      </c>
      <c r="D841" t="b">
        <v>0</v>
      </c>
    </row>
    <row r="842" spans="1:4" x14ac:dyDescent="0.25">
      <c r="A842" t="s">
        <v>668</v>
      </c>
      <c r="B842">
        <v>1.0666</v>
      </c>
      <c r="C842" t="str">
        <f t="shared" si="13"/>
        <v>SEADRIFT COKE LP</v>
      </c>
      <c r="D842" t="b">
        <v>0</v>
      </c>
    </row>
    <row r="843" spans="1:4" x14ac:dyDescent="0.25">
      <c r="A843" t="s">
        <v>19</v>
      </c>
      <c r="B843">
        <v>1.0649999999999999</v>
      </c>
      <c r="C843" t="str">
        <f t="shared" si="13"/>
        <v>TEXAS DEPT OF CRIMINAL JUSTICE</v>
      </c>
      <c r="D843" t="b">
        <v>0</v>
      </c>
    </row>
    <row r="844" spans="1:4" x14ac:dyDescent="0.25">
      <c r="A844" t="s">
        <v>143</v>
      </c>
      <c r="B844">
        <v>1.0589999999999999</v>
      </c>
      <c r="C844" t="str">
        <f t="shared" si="13"/>
        <v>CITY OF COPPERAS COVE</v>
      </c>
      <c r="D844" t="b">
        <v>0</v>
      </c>
    </row>
    <row r="845" spans="1:4" x14ac:dyDescent="0.25">
      <c r="A845" t="s">
        <v>1227</v>
      </c>
      <c r="B845">
        <v>1.0580000000000001</v>
      </c>
      <c r="C845" t="e">
        <f t="shared" si="13"/>
        <v>#N/A</v>
      </c>
      <c r="D845" t="b">
        <v>0</v>
      </c>
    </row>
    <row r="846" spans="1:4" x14ac:dyDescent="0.25">
      <c r="A846" t="s">
        <v>99</v>
      </c>
      <c r="B846">
        <v>1.0568</v>
      </c>
      <c r="C846" t="str">
        <f t="shared" si="13"/>
        <v>GULF CHEMICAL &amp; METALLURGICAL CORP</v>
      </c>
      <c r="D846" t="b">
        <v>0</v>
      </c>
    </row>
    <row r="847" spans="1:4" x14ac:dyDescent="0.25">
      <c r="A847" t="s">
        <v>2000</v>
      </c>
      <c r="B847">
        <v>1.05</v>
      </c>
      <c r="C847" t="str">
        <f t="shared" si="13"/>
        <v>HARRIS COUNTY MUD NO 150</v>
      </c>
      <c r="D847" t="b">
        <v>0</v>
      </c>
    </row>
    <row r="848" spans="1:4" x14ac:dyDescent="0.25">
      <c r="A848" t="s">
        <v>131</v>
      </c>
      <c r="B848">
        <v>1.05</v>
      </c>
      <c r="C848" t="str">
        <f t="shared" si="13"/>
        <v>CITY OF BRYAN</v>
      </c>
      <c r="D848" t="b">
        <v>0</v>
      </c>
    </row>
    <row r="849" spans="1:4" x14ac:dyDescent="0.25">
      <c r="A849" t="s">
        <v>508</v>
      </c>
      <c r="B849">
        <v>1.0429999999999999</v>
      </c>
      <c r="C849" t="str">
        <f t="shared" si="13"/>
        <v>GRAYDEN CEDARWORKS INC</v>
      </c>
      <c r="D849" t="b">
        <v>0</v>
      </c>
    </row>
    <row r="850" spans="1:4" x14ac:dyDescent="0.25">
      <c r="A850" t="s">
        <v>964</v>
      </c>
      <c r="B850">
        <v>1.042</v>
      </c>
      <c r="C850" t="str">
        <f t="shared" si="13"/>
        <v>CITY OF WHITEHOUSE</v>
      </c>
      <c r="D850" t="b">
        <v>0</v>
      </c>
    </row>
    <row r="851" spans="1:4" x14ac:dyDescent="0.25">
      <c r="A851" t="s">
        <v>1425</v>
      </c>
      <c r="B851">
        <v>1.04</v>
      </c>
      <c r="C851" t="str">
        <f t="shared" si="13"/>
        <v>CITY OF LINDALE</v>
      </c>
      <c r="D851" t="b">
        <v>0</v>
      </c>
    </row>
    <row r="852" spans="1:4" x14ac:dyDescent="0.25">
      <c r="A852" t="s">
        <v>1985</v>
      </c>
      <c r="B852">
        <v>1.036</v>
      </c>
      <c r="C852" t="str">
        <f t="shared" si="13"/>
        <v>HARRIS COUNTY MUD NO 82</v>
      </c>
      <c r="D852" t="b">
        <v>0</v>
      </c>
    </row>
    <row r="853" spans="1:4" x14ac:dyDescent="0.25">
      <c r="A853" t="s">
        <v>2552</v>
      </c>
      <c r="B853">
        <v>1.0349999999999999</v>
      </c>
      <c r="C853" t="str">
        <f t="shared" si="13"/>
        <v>LA FRONTERA HOLDINGS LLC</v>
      </c>
      <c r="D853" t="b">
        <v>0</v>
      </c>
    </row>
    <row r="854" spans="1:4" x14ac:dyDescent="0.25">
      <c r="A854" t="s">
        <v>167</v>
      </c>
      <c r="B854">
        <v>1.028</v>
      </c>
      <c r="C854" t="str">
        <f t="shared" si="13"/>
        <v>PECAN GROVE MUD</v>
      </c>
      <c r="D854" t="b">
        <v>0</v>
      </c>
    </row>
    <row r="855" spans="1:4" x14ac:dyDescent="0.25">
      <c r="A855" t="s">
        <v>93</v>
      </c>
      <c r="B855">
        <v>1.0269999999999999</v>
      </c>
      <c r="C855" t="str">
        <f t="shared" si="13"/>
        <v>BASF CORP</v>
      </c>
      <c r="D855" t="b">
        <v>0</v>
      </c>
    </row>
    <row r="856" spans="1:4" x14ac:dyDescent="0.25">
      <c r="A856" t="s">
        <v>1923</v>
      </c>
      <c r="B856">
        <v>1.026</v>
      </c>
      <c r="C856" t="str">
        <f t="shared" si="13"/>
        <v>HARRIS COUNTY MUD NO 50</v>
      </c>
      <c r="D856" t="b">
        <v>0</v>
      </c>
    </row>
    <row r="857" spans="1:4" x14ac:dyDescent="0.25">
      <c r="A857" t="s">
        <v>899</v>
      </c>
      <c r="B857">
        <v>1.025172</v>
      </c>
      <c r="C857" t="str">
        <f t="shared" si="13"/>
        <v>BASF TOTAL PETROCHEMICALS LLC</v>
      </c>
      <c r="D857" t="b">
        <v>0</v>
      </c>
    </row>
    <row r="858" spans="1:4" x14ac:dyDescent="0.25">
      <c r="A858" t="s">
        <v>1668</v>
      </c>
      <c r="B858">
        <v>1.0229999999999999</v>
      </c>
      <c r="C858" t="str">
        <f t="shared" si="13"/>
        <v>CITY OF NASSAU BAY</v>
      </c>
      <c r="D858" t="b">
        <v>0</v>
      </c>
    </row>
    <row r="859" spans="1:4" x14ac:dyDescent="0.25">
      <c r="A859" t="s">
        <v>1982</v>
      </c>
      <c r="B859">
        <v>1.022033</v>
      </c>
      <c r="C859" t="str">
        <f t="shared" si="13"/>
        <v>HARRIS COUNTY MUD NO 105</v>
      </c>
      <c r="D859" t="b">
        <v>0</v>
      </c>
    </row>
    <row r="860" spans="1:4" x14ac:dyDescent="0.25">
      <c r="A860" t="s">
        <v>538</v>
      </c>
      <c r="B860">
        <v>1.02</v>
      </c>
      <c r="C860" t="e">
        <f t="shared" si="13"/>
        <v>#N/A</v>
      </c>
      <c r="D860" t="b">
        <v>0</v>
      </c>
    </row>
    <row r="861" spans="1:4" x14ac:dyDescent="0.25">
      <c r="A861" t="s">
        <v>1388</v>
      </c>
      <c r="B861">
        <v>1.02</v>
      </c>
      <c r="C861" t="str">
        <f t="shared" si="13"/>
        <v>TENASKA GATEWAY PARTNERS LTD</v>
      </c>
      <c r="D861" t="b">
        <v>0</v>
      </c>
    </row>
    <row r="862" spans="1:4" x14ac:dyDescent="0.25">
      <c r="A862" t="s">
        <v>1834</v>
      </c>
      <c r="B862">
        <v>1.0169999999999999</v>
      </c>
      <c r="C862" t="str">
        <f t="shared" si="13"/>
        <v>GREENWOOD UTILITY DISTRICT</v>
      </c>
      <c r="D862" t="b">
        <v>0</v>
      </c>
    </row>
    <row r="863" spans="1:4" x14ac:dyDescent="0.25">
      <c r="A863" t="s">
        <v>2060</v>
      </c>
      <c r="B863">
        <v>1.0149999999999999</v>
      </c>
      <c r="C863" t="str">
        <f t="shared" si="13"/>
        <v>WEST HARRIS COUNTY MUD 10</v>
      </c>
      <c r="D863" t="b">
        <v>0</v>
      </c>
    </row>
    <row r="864" spans="1:4" x14ac:dyDescent="0.25">
      <c r="A864" t="s">
        <v>7</v>
      </c>
      <c r="B864">
        <v>1.0129999999999999</v>
      </c>
      <c r="C864" t="str">
        <f t="shared" si="13"/>
        <v>TEXAS DEPT OF CRIMINAL JUSTICE</v>
      </c>
      <c r="D864" t="b">
        <v>0</v>
      </c>
    </row>
    <row r="865" spans="1:4" x14ac:dyDescent="0.25">
      <c r="A865" t="s">
        <v>611</v>
      </c>
      <c r="B865">
        <v>1.012</v>
      </c>
      <c r="C865" t="str">
        <f t="shared" si="13"/>
        <v>NEW BRAUNFELS UTILITIES</v>
      </c>
      <c r="D865" t="b">
        <v>0</v>
      </c>
    </row>
    <row r="866" spans="1:4" x14ac:dyDescent="0.25">
      <c r="A866" t="s">
        <v>106</v>
      </c>
      <c r="B866">
        <v>1.01</v>
      </c>
      <c r="C866" t="str">
        <f t="shared" si="13"/>
        <v>SHINTECH INC</v>
      </c>
      <c r="D866" t="b">
        <v>0</v>
      </c>
    </row>
    <row r="867" spans="1:4" x14ac:dyDescent="0.25">
      <c r="A867" t="s">
        <v>774</v>
      </c>
      <c r="B867">
        <v>1.01</v>
      </c>
      <c r="C867" t="str">
        <f t="shared" si="13"/>
        <v>JEFFERSON COUNTY WCID 10</v>
      </c>
      <c r="D867" t="b">
        <v>0</v>
      </c>
    </row>
    <row r="868" spans="1:4" x14ac:dyDescent="0.25">
      <c r="A868" t="s">
        <v>1504</v>
      </c>
      <c r="B868">
        <v>1.008</v>
      </c>
      <c r="C868" t="str">
        <f t="shared" si="13"/>
        <v>CITY PUBLIC SERVICE OF SAN ANTONIO</v>
      </c>
      <c r="D868" t="b">
        <v>0</v>
      </c>
    </row>
    <row r="869" spans="1:4" x14ac:dyDescent="0.25">
      <c r="A869" t="s">
        <v>2644</v>
      </c>
      <c r="B869">
        <v>1.004</v>
      </c>
      <c r="C869" t="str">
        <f t="shared" si="13"/>
        <v>CITY OF CELINA</v>
      </c>
      <c r="D869" t="b">
        <v>0</v>
      </c>
    </row>
    <row r="870" spans="1:4" x14ac:dyDescent="0.25">
      <c r="A870" t="s">
        <v>1373</v>
      </c>
      <c r="B870">
        <v>1.0029999999999999</v>
      </c>
      <c r="C870" t="str">
        <f t="shared" si="13"/>
        <v>CITY OF BRIDGE CITY</v>
      </c>
      <c r="D870" t="b">
        <v>0</v>
      </c>
    </row>
    <row r="871" spans="1:4" x14ac:dyDescent="0.25">
      <c r="A871" t="s">
        <v>2028</v>
      </c>
      <c r="B871">
        <v>1.0029999999999999</v>
      </c>
      <c r="C871" t="str">
        <f t="shared" si="13"/>
        <v>MAYDE CREEK MUD</v>
      </c>
      <c r="D871" t="b">
        <v>0</v>
      </c>
    </row>
    <row r="872" spans="1:4" x14ac:dyDescent="0.25">
      <c r="A872" t="s">
        <v>1105</v>
      </c>
      <c r="B872">
        <v>1.002</v>
      </c>
      <c r="C872" t="str">
        <f t="shared" si="13"/>
        <v>CITY OF PLEASANTON</v>
      </c>
      <c r="D872" t="b">
        <v>0</v>
      </c>
    </row>
    <row r="873" spans="1:4" x14ac:dyDescent="0.25">
      <c r="A873" t="s">
        <v>1739</v>
      </c>
      <c r="B873">
        <v>1</v>
      </c>
      <c r="C873" t="str">
        <f t="shared" si="13"/>
        <v>ALBEMARLE CORP</v>
      </c>
      <c r="D873" t="b">
        <v>0</v>
      </c>
    </row>
    <row r="874" spans="1:4" x14ac:dyDescent="0.25">
      <c r="A874" t="s">
        <v>1779</v>
      </c>
      <c r="B874">
        <v>1</v>
      </c>
      <c r="C874" t="str">
        <f t="shared" si="13"/>
        <v>PL PROPYLENE LLC</v>
      </c>
      <c r="D874" t="b">
        <v>0</v>
      </c>
    </row>
    <row r="875" spans="1:4" x14ac:dyDescent="0.25">
      <c r="A875" t="s">
        <v>1820</v>
      </c>
      <c r="B875">
        <v>1</v>
      </c>
      <c r="C875" t="str">
        <f t="shared" si="13"/>
        <v>GB BIOSCIENCES LLC</v>
      </c>
      <c r="D875" t="b">
        <v>0</v>
      </c>
    </row>
    <row r="876" spans="1:4" x14ac:dyDescent="0.25">
      <c r="A876" t="s">
        <v>1426</v>
      </c>
      <c r="B876">
        <v>1</v>
      </c>
      <c r="C876" t="str">
        <f t="shared" si="13"/>
        <v>CITY OF WINONA</v>
      </c>
      <c r="D876" t="b">
        <v>0</v>
      </c>
    </row>
    <row r="877" spans="1:4" x14ac:dyDescent="0.25">
      <c r="A877" t="s">
        <v>607</v>
      </c>
      <c r="B877">
        <v>1</v>
      </c>
      <c r="C877" t="str">
        <f t="shared" si="13"/>
        <v>CITY OF LOCKHART &amp; GUADALUPE-BLANCO RIVER AUTHORITY</v>
      </c>
      <c r="D877" t="b">
        <v>0</v>
      </c>
    </row>
    <row r="878" spans="1:4" x14ac:dyDescent="0.25">
      <c r="A878" t="s">
        <v>2825</v>
      </c>
      <c r="B878">
        <v>0.998</v>
      </c>
      <c r="C878" t="str">
        <f t="shared" si="13"/>
        <v>CITY OF BOWIE</v>
      </c>
      <c r="D878" t="b">
        <v>0</v>
      </c>
    </row>
    <row r="879" spans="1:4" x14ac:dyDescent="0.25">
      <c r="A879" t="s">
        <v>1772</v>
      </c>
      <c r="B879">
        <v>0.99399999999999999</v>
      </c>
      <c r="C879" t="str">
        <f t="shared" si="13"/>
        <v>CLEAN HARBORS DEER PARK LP</v>
      </c>
      <c r="D879" t="b">
        <v>0</v>
      </c>
    </row>
    <row r="880" spans="1:4" x14ac:dyDescent="0.25">
      <c r="A880" t="s">
        <v>1736</v>
      </c>
      <c r="B880">
        <v>0.99</v>
      </c>
      <c r="C880" t="str">
        <f t="shared" si="13"/>
        <v>PASADENA REFINING SYSTEM INC</v>
      </c>
      <c r="D880" t="b">
        <v>0</v>
      </c>
    </row>
    <row r="881" spans="1:4" x14ac:dyDescent="0.25">
      <c r="A881" t="s">
        <v>1706</v>
      </c>
      <c r="B881">
        <v>0.98799999999999999</v>
      </c>
      <c r="C881" t="str">
        <f t="shared" si="13"/>
        <v>GRAND LAKES MUD 4</v>
      </c>
      <c r="D881" t="b">
        <v>0</v>
      </c>
    </row>
    <row r="882" spans="1:4" x14ac:dyDescent="0.25">
      <c r="A882" t="s">
        <v>1424</v>
      </c>
      <c r="B882">
        <v>0.98699999999999999</v>
      </c>
      <c r="C882" t="str">
        <f t="shared" si="13"/>
        <v>EAST TEXAS MUD OF SMITH COUNTY</v>
      </c>
      <c r="D882" t="b">
        <v>0</v>
      </c>
    </row>
    <row r="883" spans="1:4" x14ac:dyDescent="0.25">
      <c r="A883" t="s">
        <v>2170</v>
      </c>
      <c r="B883">
        <v>0.98699999999999999</v>
      </c>
      <c r="C883" t="str">
        <f t="shared" si="13"/>
        <v>HARRIS COUNTY MUD NO 167</v>
      </c>
      <c r="D883" t="b">
        <v>0</v>
      </c>
    </row>
    <row r="884" spans="1:4" x14ac:dyDescent="0.25">
      <c r="A884" t="s">
        <v>1471</v>
      </c>
      <c r="B884">
        <v>0.984101</v>
      </c>
      <c r="C884" t="str">
        <f t="shared" si="13"/>
        <v>CITY OF INGLESIDE</v>
      </c>
      <c r="D884" t="b">
        <v>0</v>
      </c>
    </row>
    <row r="885" spans="1:4" x14ac:dyDescent="0.25">
      <c r="A885" t="s">
        <v>1958</v>
      </c>
      <c r="B885">
        <v>0.98229999999999995</v>
      </c>
      <c r="C885" t="str">
        <f t="shared" si="13"/>
        <v>LANGHAM CREEK UD</v>
      </c>
      <c r="D885" t="b">
        <v>0</v>
      </c>
    </row>
    <row r="886" spans="1:4" x14ac:dyDescent="0.25">
      <c r="A886" t="s">
        <v>1193</v>
      </c>
      <c r="B886">
        <v>0.98199999999999998</v>
      </c>
      <c r="C886" t="str">
        <f t="shared" si="13"/>
        <v>CITY OF IOWA PARK</v>
      </c>
      <c r="D886" t="b">
        <v>0</v>
      </c>
    </row>
    <row r="887" spans="1:4" x14ac:dyDescent="0.25">
      <c r="A887" t="s">
        <v>217</v>
      </c>
      <c r="B887">
        <v>0.98</v>
      </c>
      <c r="C887" t="str">
        <f t="shared" si="13"/>
        <v>CITY OF NAVASOTA</v>
      </c>
      <c r="D887" t="b">
        <v>0</v>
      </c>
    </row>
    <row r="888" spans="1:4" x14ac:dyDescent="0.25">
      <c r="A888" t="s">
        <v>1021</v>
      </c>
      <c r="B888">
        <v>0.98</v>
      </c>
      <c r="C888" t="str">
        <f t="shared" si="13"/>
        <v>CALPINE CONSTRUCTION FINANCE CO LP &amp; CALPINE OPERATING SERVICES CO INC</v>
      </c>
      <c r="D888" t="b">
        <v>0</v>
      </c>
    </row>
    <row r="889" spans="1:4" x14ac:dyDescent="0.25">
      <c r="A889" t="s">
        <v>2558</v>
      </c>
      <c r="B889">
        <v>0.97499999999999998</v>
      </c>
      <c r="C889" t="str">
        <f t="shared" si="13"/>
        <v>CITY OF CLARKSVILLE</v>
      </c>
      <c r="D889" t="b">
        <v>0</v>
      </c>
    </row>
    <row r="890" spans="1:4" x14ac:dyDescent="0.25">
      <c r="A890" t="s">
        <v>1594</v>
      </c>
      <c r="B890">
        <v>0.97299999999999998</v>
      </c>
      <c r="C890" t="str">
        <f t="shared" si="13"/>
        <v>CITY OF MISSOURI CITY</v>
      </c>
      <c r="D890" t="b">
        <v>0</v>
      </c>
    </row>
    <row r="891" spans="1:4" x14ac:dyDescent="0.25">
      <c r="A891" t="s">
        <v>2747</v>
      </c>
      <c r="B891">
        <v>0.97050000000000003</v>
      </c>
      <c r="C891" t="str">
        <f t="shared" si="13"/>
        <v>CITY OF ATHENS</v>
      </c>
      <c r="D891" t="b">
        <v>0</v>
      </c>
    </row>
    <row r="892" spans="1:4" x14ac:dyDescent="0.25">
      <c r="A892" t="s">
        <v>2516</v>
      </c>
      <c r="B892">
        <v>0.969526</v>
      </c>
      <c r="C892" t="str">
        <f t="shared" si="13"/>
        <v>CITY OF WALLER</v>
      </c>
      <c r="D892" t="b">
        <v>0</v>
      </c>
    </row>
    <row r="893" spans="1:4" x14ac:dyDescent="0.25">
      <c r="A893" t="s">
        <v>2171</v>
      </c>
      <c r="B893">
        <v>0.96799999999999997</v>
      </c>
      <c r="C893" t="e">
        <f t="shared" si="13"/>
        <v>#N/A</v>
      </c>
      <c r="D893" t="b">
        <v>0</v>
      </c>
    </row>
    <row r="894" spans="1:4" x14ac:dyDescent="0.25">
      <c r="A894" t="s">
        <v>2578</v>
      </c>
      <c r="B894">
        <v>0.96799999999999997</v>
      </c>
      <c r="C894" t="str">
        <f t="shared" si="13"/>
        <v>ENTERPRISE PRODUCTS OPERATING LLC</v>
      </c>
      <c r="D894" t="b">
        <v>0</v>
      </c>
    </row>
    <row r="895" spans="1:4" x14ac:dyDescent="0.25">
      <c r="A895" t="s">
        <v>1091</v>
      </c>
      <c r="B895">
        <v>0.96699999999999997</v>
      </c>
      <c r="C895" t="str">
        <f t="shared" si="13"/>
        <v>JOHN BLUDWORTH SHIPYARD LLC</v>
      </c>
      <c r="D895" t="b">
        <v>0</v>
      </c>
    </row>
    <row r="896" spans="1:4" x14ac:dyDescent="0.25">
      <c r="A896" t="s">
        <v>1106</v>
      </c>
      <c r="B896">
        <v>0.96099999999999997</v>
      </c>
      <c r="C896" t="str">
        <f t="shared" si="13"/>
        <v>CITY OF PLEASANTON</v>
      </c>
      <c r="D896" t="b">
        <v>0</v>
      </c>
    </row>
    <row r="897" spans="1:4" x14ac:dyDescent="0.25">
      <c r="A897" t="s">
        <v>1055</v>
      </c>
      <c r="B897">
        <v>0.96</v>
      </c>
      <c r="C897" t="str">
        <f t="shared" si="13"/>
        <v>FLINT HILLS RESOURCES CORPUS CHRISTI LLC</v>
      </c>
      <c r="D897" t="b">
        <v>0</v>
      </c>
    </row>
    <row r="898" spans="1:4" x14ac:dyDescent="0.25">
      <c r="A898" t="s">
        <v>73</v>
      </c>
      <c r="B898">
        <v>0.96</v>
      </c>
      <c r="C898" t="str">
        <f t="shared" ref="C898:C961" si="14">VLOOKUP(A898,PERMITTEES,2,FALSE)</f>
        <v>CENTRAL TEXAS WSC</v>
      </c>
      <c r="D898" t="b">
        <v>0</v>
      </c>
    </row>
    <row r="899" spans="1:4" x14ac:dyDescent="0.25">
      <c r="A899" t="s">
        <v>2593</v>
      </c>
      <c r="B899">
        <v>0.95699999999999996</v>
      </c>
      <c r="C899" t="str">
        <f t="shared" si="14"/>
        <v>ENTERPRISE PRODUCTS OPERATING LLC</v>
      </c>
      <c r="D899" t="b">
        <v>0</v>
      </c>
    </row>
    <row r="900" spans="1:4" x14ac:dyDescent="0.25">
      <c r="A900" t="s">
        <v>458</v>
      </c>
      <c r="B900">
        <v>0.95609999999999995</v>
      </c>
      <c r="C900" t="str">
        <f t="shared" si="14"/>
        <v>CITY OF ELGIN</v>
      </c>
      <c r="D900" t="b">
        <v>0</v>
      </c>
    </row>
    <row r="901" spans="1:4" x14ac:dyDescent="0.25">
      <c r="A901" t="s">
        <v>2713</v>
      </c>
      <c r="B901">
        <v>0.95</v>
      </c>
      <c r="C901" t="str">
        <f t="shared" si="14"/>
        <v>OWENS CORNING INSULATING SYSTEMS LLC</v>
      </c>
      <c r="D901" t="b">
        <v>0</v>
      </c>
    </row>
    <row r="902" spans="1:4" x14ac:dyDescent="0.25">
      <c r="A902" t="s">
        <v>919</v>
      </c>
      <c r="B902">
        <v>0.95</v>
      </c>
      <c r="C902" t="str">
        <f t="shared" si="14"/>
        <v>OPTIMUS STEEL LLC</v>
      </c>
      <c r="D902" t="b">
        <v>0</v>
      </c>
    </row>
    <row r="903" spans="1:4" x14ac:dyDescent="0.25">
      <c r="A903" t="s">
        <v>2735</v>
      </c>
      <c r="B903">
        <v>0.95</v>
      </c>
      <c r="C903" t="str">
        <f t="shared" si="14"/>
        <v>FREESTONE POWER GENERATION LLC; CALPINE OPERATING SERVICES CO INC</v>
      </c>
      <c r="D903" t="b">
        <v>0</v>
      </c>
    </row>
    <row r="904" spans="1:4" x14ac:dyDescent="0.25">
      <c r="A904" t="s">
        <v>1932</v>
      </c>
      <c r="B904">
        <v>0.94799999999999995</v>
      </c>
      <c r="C904" t="str">
        <f t="shared" si="14"/>
        <v>HARRIS COUNTY MUD 70</v>
      </c>
      <c r="D904" t="b">
        <v>0</v>
      </c>
    </row>
    <row r="905" spans="1:4" x14ac:dyDescent="0.25">
      <c r="A905" t="s">
        <v>2266</v>
      </c>
      <c r="B905">
        <v>0.94499999999999995</v>
      </c>
      <c r="C905" t="str">
        <f t="shared" si="14"/>
        <v>VLS RECOVERY SERVICES LLC</v>
      </c>
      <c r="D905" t="b">
        <v>0</v>
      </c>
    </row>
    <row r="906" spans="1:4" x14ac:dyDescent="0.25">
      <c r="A906" t="s">
        <v>558</v>
      </c>
      <c r="B906">
        <v>0.94399999999999995</v>
      </c>
      <c r="C906" t="str">
        <f t="shared" si="14"/>
        <v>COLORADO BEND SERVICES LLC</v>
      </c>
      <c r="D906" t="b">
        <v>0</v>
      </c>
    </row>
    <row r="907" spans="1:4" x14ac:dyDescent="0.25">
      <c r="A907" t="s">
        <v>871</v>
      </c>
      <c r="B907">
        <v>0.94330000000000003</v>
      </c>
      <c r="C907" t="e">
        <f t="shared" si="14"/>
        <v>#N/A</v>
      </c>
      <c r="D907" t="b">
        <v>0</v>
      </c>
    </row>
    <row r="908" spans="1:4" x14ac:dyDescent="0.25">
      <c r="A908" t="s">
        <v>1104</v>
      </c>
      <c r="B908">
        <v>0.94240000000000002</v>
      </c>
      <c r="C908" t="str">
        <f t="shared" si="14"/>
        <v>NORTH ALAMO WSC</v>
      </c>
      <c r="D908" t="b">
        <v>0</v>
      </c>
    </row>
    <row r="909" spans="1:4" x14ac:dyDescent="0.25">
      <c r="A909" t="s">
        <v>1787</v>
      </c>
      <c r="B909">
        <v>0.94</v>
      </c>
      <c r="C909" t="str">
        <f t="shared" si="14"/>
        <v>NRG TEXAS POWER LLC</v>
      </c>
      <c r="D909" t="b">
        <v>0</v>
      </c>
    </row>
    <row r="910" spans="1:4" x14ac:dyDescent="0.25">
      <c r="A910" t="s">
        <v>223</v>
      </c>
      <c r="B910">
        <v>0.94</v>
      </c>
      <c r="C910" t="str">
        <f t="shared" si="14"/>
        <v>TENASKA FRONTIER PARTNERS LTD</v>
      </c>
      <c r="D910" t="b">
        <v>0</v>
      </c>
    </row>
    <row r="911" spans="1:4" x14ac:dyDescent="0.25">
      <c r="A911" t="s">
        <v>108</v>
      </c>
      <c r="B911">
        <v>0.93700000000000006</v>
      </c>
      <c r="C911" t="str">
        <f t="shared" si="14"/>
        <v>SHINTECH INC</v>
      </c>
      <c r="D911" t="b">
        <v>0</v>
      </c>
    </row>
    <row r="912" spans="1:4" x14ac:dyDescent="0.25">
      <c r="A912" t="s">
        <v>1283</v>
      </c>
      <c r="B912">
        <v>0.93200000000000005</v>
      </c>
      <c r="C912" t="str">
        <f t="shared" si="14"/>
        <v>CITY OF HALLSVILLE</v>
      </c>
      <c r="D912" t="b">
        <v>0</v>
      </c>
    </row>
    <row r="913" spans="1:4" x14ac:dyDescent="0.25">
      <c r="A913" t="s">
        <v>1947</v>
      </c>
      <c r="B913">
        <v>0.93</v>
      </c>
      <c r="C913" t="str">
        <f t="shared" si="14"/>
        <v>VALERO REFINING TEXAS LP</v>
      </c>
      <c r="D913" t="b">
        <v>0</v>
      </c>
    </row>
    <row r="914" spans="1:4" x14ac:dyDescent="0.25">
      <c r="A914" t="s">
        <v>1360</v>
      </c>
      <c r="B914">
        <v>0.92949999999999999</v>
      </c>
      <c r="C914" t="str">
        <f t="shared" si="14"/>
        <v>CITY OF KIRBYVILLE</v>
      </c>
      <c r="D914" t="b">
        <v>0</v>
      </c>
    </row>
    <row r="915" spans="1:4" x14ac:dyDescent="0.25">
      <c r="A915" t="s">
        <v>1147</v>
      </c>
      <c r="B915">
        <v>0.92479999999999996</v>
      </c>
      <c r="C915" t="str">
        <f t="shared" si="14"/>
        <v>CITY OF HOOKS</v>
      </c>
      <c r="D915" t="b">
        <v>0</v>
      </c>
    </row>
    <row r="916" spans="1:4" x14ac:dyDescent="0.25">
      <c r="A916" t="s">
        <v>9</v>
      </c>
      <c r="B916">
        <v>0.92</v>
      </c>
      <c r="C916" t="str">
        <f t="shared" si="14"/>
        <v>TEXAS DEPT OF CRIMINAL JUSTICE</v>
      </c>
      <c r="D916" t="b">
        <v>0</v>
      </c>
    </row>
    <row r="917" spans="1:4" x14ac:dyDescent="0.25">
      <c r="A917" t="s">
        <v>2795</v>
      </c>
      <c r="B917">
        <v>0.92</v>
      </c>
      <c r="C917" t="str">
        <f t="shared" si="14"/>
        <v>CITY OF KAUFMAN</v>
      </c>
      <c r="D917" t="b">
        <v>0</v>
      </c>
    </row>
    <row r="918" spans="1:4" x14ac:dyDescent="0.25">
      <c r="A918" t="s">
        <v>1197</v>
      </c>
      <c r="B918">
        <v>0.91900000000000004</v>
      </c>
      <c r="C918" t="str">
        <f t="shared" si="14"/>
        <v>CITY OF VERNON</v>
      </c>
      <c r="D918" t="b">
        <v>0</v>
      </c>
    </row>
    <row r="919" spans="1:4" x14ac:dyDescent="0.25">
      <c r="A919" t="s">
        <v>1102</v>
      </c>
      <c r="B919">
        <v>0.91590000000000005</v>
      </c>
      <c r="C919" t="str">
        <f t="shared" si="14"/>
        <v>NORTH ALAMO WSC</v>
      </c>
      <c r="D919" t="b">
        <v>0</v>
      </c>
    </row>
    <row r="920" spans="1:4" x14ac:dyDescent="0.25">
      <c r="A920" t="s">
        <v>2045</v>
      </c>
      <c r="B920">
        <v>0.91400000000000003</v>
      </c>
      <c r="C920" t="str">
        <f t="shared" si="14"/>
        <v>HARRIS COUNTY MUD 170</v>
      </c>
      <c r="D920" t="b">
        <v>0</v>
      </c>
    </row>
    <row r="921" spans="1:4" x14ac:dyDescent="0.25">
      <c r="A921" t="s">
        <v>2653</v>
      </c>
      <c r="B921">
        <v>0.91200000000000003</v>
      </c>
      <c r="C921" t="str">
        <f t="shared" si="14"/>
        <v>CITY OF FARMERSVILLE</v>
      </c>
      <c r="D921" t="b">
        <v>0</v>
      </c>
    </row>
    <row r="922" spans="1:4" x14ac:dyDescent="0.25">
      <c r="A922" t="s">
        <v>392</v>
      </c>
      <c r="B922">
        <v>0.91120000000000001</v>
      </c>
      <c r="C922" t="str">
        <f t="shared" si="14"/>
        <v>CITY OF GRAHAM</v>
      </c>
      <c r="D922" t="b">
        <v>0</v>
      </c>
    </row>
    <row r="923" spans="1:4" x14ac:dyDescent="0.25">
      <c r="A923" t="s">
        <v>2296</v>
      </c>
      <c r="B923">
        <v>0.91</v>
      </c>
      <c r="C923" t="str">
        <f t="shared" si="14"/>
        <v>DEER PARK ENERGY CENTER LLC AND CALPINE OPERATING SERVICES CO INC</v>
      </c>
      <c r="D923" t="b">
        <v>0</v>
      </c>
    </row>
    <row r="924" spans="1:4" x14ac:dyDescent="0.25">
      <c r="A924" t="s">
        <v>1930</v>
      </c>
      <c r="B924">
        <v>0.90923299999999996</v>
      </c>
      <c r="C924" t="str">
        <f t="shared" si="14"/>
        <v>NORTHAMPTON MUD</v>
      </c>
      <c r="D924" t="b">
        <v>0</v>
      </c>
    </row>
    <row r="925" spans="1:4" x14ac:dyDescent="0.25">
      <c r="A925" t="s">
        <v>2915</v>
      </c>
      <c r="B925">
        <v>0.90600000000000003</v>
      </c>
      <c r="C925" t="str">
        <f t="shared" si="14"/>
        <v>CITY OF BRIDGEPORT</v>
      </c>
      <c r="D925" t="b">
        <v>0</v>
      </c>
    </row>
    <row r="926" spans="1:4" x14ac:dyDescent="0.25">
      <c r="A926" t="s">
        <v>337</v>
      </c>
      <c r="B926">
        <v>0.90300000000000002</v>
      </c>
      <c r="C926" t="str">
        <f t="shared" si="14"/>
        <v>CITY OF HEARNE</v>
      </c>
      <c r="D926" t="b">
        <v>0</v>
      </c>
    </row>
    <row r="927" spans="1:4" x14ac:dyDescent="0.25">
      <c r="A927" t="s">
        <v>1698</v>
      </c>
      <c r="B927">
        <v>0.90300000000000002</v>
      </c>
      <c r="C927" t="str">
        <f t="shared" si="14"/>
        <v>BLUE RIDGE WEST MUD</v>
      </c>
      <c r="D927" t="b">
        <v>0</v>
      </c>
    </row>
    <row r="928" spans="1:4" x14ac:dyDescent="0.25">
      <c r="A928" t="s">
        <v>2748</v>
      </c>
      <c r="B928">
        <v>0.90280000000000005</v>
      </c>
      <c r="C928" t="str">
        <f t="shared" si="14"/>
        <v>CITY OF ATHENS</v>
      </c>
      <c r="D928" t="b">
        <v>0</v>
      </c>
    </row>
    <row r="929" spans="1:4" x14ac:dyDescent="0.25">
      <c r="A929" t="s">
        <v>397</v>
      </c>
      <c r="B929">
        <v>0.90100000000000002</v>
      </c>
      <c r="C929" t="str">
        <f t="shared" si="14"/>
        <v>CITY OF DALHART</v>
      </c>
      <c r="D929" t="b">
        <v>0</v>
      </c>
    </row>
    <row r="930" spans="1:4" x14ac:dyDescent="0.25">
      <c r="A930" t="s">
        <v>2066</v>
      </c>
      <c r="B930">
        <v>0.90100000000000002</v>
      </c>
      <c r="C930" t="str">
        <f t="shared" si="14"/>
        <v>HARRIS COUNTY MUD 127</v>
      </c>
      <c r="D930" t="b">
        <v>0</v>
      </c>
    </row>
    <row r="931" spans="1:4" x14ac:dyDescent="0.25">
      <c r="A931" t="s">
        <v>1741</v>
      </c>
      <c r="B931">
        <v>0.9</v>
      </c>
      <c r="C931" t="str">
        <f t="shared" si="14"/>
        <v>SHELL CHEMICAL LP</v>
      </c>
      <c r="D931" t="b">
        <v>0</v>
      </c>
    </row>
    <row r="932" spans="1:4" x14ac:dyDescent="0.25">
      <c r="A932" t="s">
        <v>1045</v>
      </c>
      <c r="B932">
        <v>0.9</v>
      </c>
      <c r="C932" t="str">
        <f t="shared" si="14"/>
        <v>CITGO REFINING AND CHEMICALS CO LP</v>
      </c>
      <c r="D932" t="b">
        <v>0</v>
      </c>
    </row>
    <row r="933" spans="1:4" x14ac:dyDescent="0.25">
      <c r="A933" t="s">
        <v>1023</v>
      </c>
      <c r="B933">
        <v>0.9</v>
      </c>
      <c r="C933" t="str">
        <f t="shared" si="14"/>
        <v>CALPINE HIDALGO ENERGY CEN; CALPINE OP SERV CO; BROWNSVILLE PUB</v>
      </c>
      <c r="D933" t="b">
        <v>0</v>
      </c>
    </row>
    <row r="934" spans="1:4" x14ac:dyDescent="0.25">
      <c r="A934" t="s">
        <v>2057</v>
      </c>
      <c r="B934">
        <v>0.89815999999999996</v>
      </c>
      <c r="C934" t="str">
        <f t="shared" si="14"/>
        <v>NORTHWEST HARRIS COUNTY MUD NO 21, 22, AND 23</v>
      </c>
      <c r="D934" t="b">
        <v>0</v>
      </c>
    </row>
    <row r="935" spans="1:4" x14ac:dyDescent="0.25">
      <c r="A935" t="s">
        <v>1064</v>
      </c>
      <c r="B935">
        <v>0.89</v>
      </c>
      <c r="C935" t="str">
        <f t="shared" si="14"/>
        <v>VALERO REFININGTEXAS LP</v>
      </c>
      <c r="D935" t="b">
        <v>0</v>
      </c>
    </row>
    <row r="936" spans="1:4" x14ac:dyDescent="0.25">
      <c r="A936" t="s">
        <v>1642</v>
      </c>
      <c r="B936">
        <v>0.88900000000000001</v>
      </c>
      <c r="C936" t="str">
        <f t="shared" si="14"/>
        <v>GALVESTON COUNTY WCID NO 12</v>
      </c>
      <c r="D936" t="b">
        <v>0</v>
      </c>
    </row>
    <row r="937" spans="1:4" x14ac:dyDescent="0.25">
      <c r="A937" t="s">
        <v>1681</v>
      </c>
      <c r="B937">
        <v>0.8841</v>
      </c>
      <c r="C937" t="str">
        <f t="shared" si="14"/>
        <v>LBC HOUSTON LP</v>
      </c>
      <c r="D937" t="b">
        <v>0</v>
      </c>
    </row>
    <row r="938" spans="1:4" x14ac:dyDescent="0.25">
      <c r="A938" t="s">
        <v>2737</v>
      </c>
      <c r="B938">
        <v>0.88400000000000001</v>
      </c>
      <c r="C938" t="str">
        <f t="shared" si="14"/>
        <v>CITY OF VAN ALSTYNE</v>
      </c>
      <c r="D938" t="b">
        <v>0</v>
      </c>
    </row>
    <row r="939" spans="1:4" x14ac:dyDescent="0.25">
      <c r="A939" t="s">
        <v>2896</v>
      </c>
      <c r="B939">
        <v>0.88400000000000001</v>
      </c>
      <c r="C939" t="str">
        <f t="shared" si="14"/>
        <v>CITY OF TRINITY</v>
      </c>
      <c r="D939" t="b">
        <v>0</v>
      </c>
    </row>
    <row r="940" spans="1:4" x14ac:dyDescent="0.25">
      <c r="A940" t="s">
        <v>2249</v>
      </c>
      <c r="B940">
        <v>0.88332299999999997</v>
      </c>
      <c r="C940" t="str">
        <f t="shared" si="14"/>
        <v>HARRIS COUNTY MUD 383</v>
      </c>
      <c r="D940" t="b">
        <v>0</v>
      </c>
    </row>
    <row r="941" spans="1:4" x14ac:dyDescent="0.25">
      <c r="A941" t="s">
        <v>1047</v>
      </c>
      <c r="B941">
        <v>0.88300000000000001</v>
      </c>
      <c r="C941" t="str">
        <f t="shared" si="14"/>
        <v>CITGO REFINING AND CHEMICALS CO LP</v>
      </c>
      <c r="D941" t="b">
        <v>0</v>
      </c>
    </row>
    <row r="942" spans="1:4" x14ac:dyDescent="0.25">
      <c r="A942" t="s">
        <v>2318</v>
      </c>
      <c r="B942">
        <v>0.88100000000000001</v>
      </c>
      <c r="C942" t="str">
        <f t="shared" si="14"/>
        <v>HARRIS CO MUD 278</v>
      </c>
      <c r="D942" t="b">
        <v>0</v>
      </c>
    </row>
    <row r="943" spans="1:4" x14ac:dyDescent="0.25">
      <c r="A943" t="s">
        <v>2040</v>
      </c>
      <c r="B943">
        <v>0.879</v>
      </c>
      <c r="C943" t="str">
        <f t="shared" si="14"/>
        <v>HARRIS COUNTY MUD 368</v>
      </c>
      <c r="D943" t="b">
        <v>0</v>
      </c>
    </row>
    <row r="944" spans="1:4" x14ac:dyDescent="0.25">
      <c r="A944" t="s">
        <v>111</v>
      </c>
      <c r="B944">
        <v>0.875</v>
      </c>
      <c r="C944" t="str">
        <f t="shared" si="14"/>
        <v>BASF CORP</v>
      </c>
      <c r="D944" t="b">
        <v>0</v>
      </c>
    </row>
    <row r="945" spans="1:4" x14ac:dyDescent="0.25">
      <c r="A945" t="s">
        <v>2298</v>
      </c>
      <c r="B945">
        <v>0.874</v>
      </c>
      <c r="C945" t="str">
        <f t="shared" si="14"/>
        <v>HARRIS COUNTY MUD NO 387</v>
      </c>
      <c r="D945" t="b">
        <v>0</v>
      </c>
    </row>
    <row r="946" spans="1:4" x14ac:dyDescent="0.25">
      <c r="A946" t="s">
        <v>56</v>
      </c>
      <c r="B946">
        <v>0.872</v>
      </c>
      <c r="C946" t="str">
        <f t="shared" si="14"/>
        <v>BELL COUNTY WCID 1</v>
      </c>
      <c r="D946" t="b">
        <v>0</v>
      </c>
    </row>
    <row r="947" spans="1:4" x14ac:dyDescent="0.25">
      <c r="A947" t="s">
        <v>1366</v>
      </c>
      <c r="B947">
        <v>0.871</v>
      </c>
      <c r="C947" t="str">
        <f t="shared" si="14"/>
        <v>FIRESTONE POLYMERS LLC</v>
      </c>
      <c r="D947" t="b">
        <v>0</v>
      </c>
    </row>
    <row r="948" spans="1:4" x14ac:dyDescent="0.25">
      <c r="A948" t="s">
        <v>2529</v>
      </c>
      <c r="B948">
        <v>0.86799999999999999</v>
      </c>
      <c r="C948" t="str">
        <f t="shared" si="14"/>
        <v>RIVERBEND WATER RESOURCES DISTRICT</v>
      </c>
      <c r="D948" t="b">
        <v>0</v>
      </c>
    </row>
    <row r="949" spans="1:4" x14ac:dyDescent="0.25">
      <c r="A949" t="s">
        <v>2292</v>
      </c>
      <c r="B949">
        <v>0.86599999999999999</v>
      </c>
      <c r="C949" t="str">
        <f t="shared" si="14"/>
        <v>KINDER MORGAN PETCOKE LP</v>
      </c>
      <c r="D949" t="b">
        <v>0</v>
      </c>
    </row>
    <row r="950" spans="1:4" x14ac:dyDescent="0.25">
      <c r="A950" t="s">
        <v>979</v>
      </c>
      <c r="B950">
        <v>0.86439999999999995</v>
      </c>
      <c r="C950" t="str">
        <f t="shared" si="14"/>
        <v>LAGUNA MADRE WATER DISTRICT</v>
      </c>
      <c r="D950" t="b">
        <v>0</v>
      </c>
    </row>
    <row r="951" spans="1:4" x14ac:dyDescent="0.25">
      <c r="A951" t="s">
        <v>401</v>
      </c>
      <c r="B951">
        <v>0.86399999999999999</v>
      </c>
      <c r="C951" t="str">
        <f t="shared" si="14"/>
        <v>WRB REFINING LLC AND CONOCO PHILLIPS CO</v>
      </c>
      <c r="D951" t="b">
        <v>0</v>
      </c>
    </row>
    <row r="952" spans="1:4" x14ac:dyDescent="0.25">
      <c r="A952" t="s">
        <v>2031</v>
      </c>
      <c r="B952">
        <v>0.863533</v>
      </c>
      <c r="C952" t="str">
        <f t="shared" si="14"/>
        <v>HARRIS COUNTY MUD 24</v>
      </c>
      <c r="D952" t="b">
        <v>0</v>
      </c>
    </row>
    <row r="953" spans="1:4" x14ac:dyDescent="0.25">
      <c r="A953" t="s">
        <v>1638</v>
      </c>
      <c r="B953">
        <v>0.86</v>
      </c>
      <c r="C953" t="str">
        <f t="shared" si="14"/>
        <v>NUSTAR TERMINALS PARTNERS TX LP</v>
      </c>
      <c r="D953" t="b">
        <v>0</v>
      </c>
    </row>
    <row r="954" spans="1:4" x14ac:dyDescent="0.25">
      <c r="A954" t="s">
        <v>2285</v>
      </c>
      <c r="B954">
        <v>0.85799999999999998</v>
      </c>
      <c r="C954" t="str">
        <f t="shared" si="14"/>
        <v>EQUISTAR CHEMICALS LP AND LYONDELLBASELL ACETYLS LLC</v>
      </c>
      <c r="D954" t="b">
        <v>0</v>
      </c>
    </row>
    <row r="955" spans="1:4" x14ac:dyDescent="0.25">
      <c r="A955" t="s">
        <v>387</v>
      </c>
      <c r="B955">
        <v>0.85399999999999998</v>
      </c>
      <c r="C955" t="str">
        <f t="shared" si="14"/>
        <v>CITY OF LIBERTY HILL</v>
      </c>
      <c r="D955" t="b">
        <v>0</v>
      </c>
    </row>
    <row r="956" spans="1:4" x14ac:dyDescent="0.25">
      <c r="A956" t="s">
        <v>838</v>
      </c>
      <c r="B956">
        <v>0.85</v>
      </c>
      <c r="C956" t="str">
        <f t="shared" si="14"/>
        <v>PHILLIPS 66 GULF COAST PROPERTIES LLC</v>
      </c>
      <c r="D956" t="b">
        <v>0</v>
      </c>
    </row>
    <row r="957" spans="1:4" x14ac:dyDescent="0.25">
      <c r="A957" t="s">
        <v>918</v>
      </c>
      <c r="B957">
        <v>0.85</v>
      </c>
      <c r="C957" t="str">
        <f t="shared" si="14"/>
        <v>OPTIMUS STEEL LLC</v>
      </c>
      <c r="D957" t="b">
        <v>0</v>
      </c>
    </row>
    <row r="958" spans="1:4" x14ac:dyDescent="0.25">
      <c r="A958" t="s">
        <v>1905</v>
      </c>
      <c r="B958">
        <v>0.84499999999999997</v>
      </c>
      <c r="C958" t="str">
        <f t="shared" si="14"/>
        <v>CHARTERWOOD MUD</v>
      </c>
      <c r="D958" t="b">
        <v>0</v>
      </c>
    </row>
    <row r="959" spans="1:4" x14ac:dyDescent="0.25">
      <c r="A959" t="s">
        <v>204</v>
      </c>
      <c r="B959">
        <v>0.84399999999999997</v>
      </c>
      <c r="C959" t="str">
        <f t="shared" si="14"/>
        <v>FORT BEND MUD NO 169 AND CITY OF FULSHEAR</v>
      </c>
      <c r="D959" t="b">
        <v>0</v>
      </c>
    </row>
    <row r="960" spans="1:4" x14ac:dyDescent="0.25">
      <c r="A960" t="s">
        <v>768</v>
      </c>
      <c r="B960">
        <v>0.84340000000000004</v>
      </c>
      <c r="C960" t="str">
        <f t="shared" si="14"/>
        <v>OXBOW CALCINING LLC</v>
      </c>
      <c r="D960" t="b">
        <v>0</v>
      </c>
    </row>
    <row r="961" spans="1:4" x14ac:dyDescent="0.25">
      <c r="A961" t="s">
        <v>347</v>
      </c>
      <c r="B961">
        <v>0.84199999999999997</v>
      </c>
      <c r="C961" t="str">
        <f t="shared" si="14"/>
        <v>KT MINING LLC</v>
      </c>
      <c r="D961" t="b">
        <v>0</v>
      </c>
    </row>
    <row r="962" spans="1:4" x14ac:dyDescent="0.25">
      <c r="A962" t="s">
        <v>2231</v>
      </c>
      <c r="B962">
        <v>0.84199999999999997</v>
      </c>
      <c r="C962" t="str">
        <f t="shared" ref="C962:C1025" si="15">VLOOKUP(A962,PERMITTEES,2,FALSE)</f>
        <v>PHILLIPS 66 PIPELINE LLC AND PHILLIPS 66 CARRIER LLC</v>
      </c>
      <c r="D962" t="b">
        <v>0</v>
      </c>
    </row>
    <row r="963" spans="1:4" x14ac:dyDescent="0.25">
      <c r="A963" t="s">
        <v>1162</v>
      </c>
      <c r="B963">
        <v>0.84099999999999997</v>
      </c>
      <c r="C963" t="str">
        <f t="shared" si="15"/>
        <v>CITY OF HONEY GROVE</v>
      </c>
      <c r="D963" t="b">
        <v>0</v>
      </c>
    </row>
    <row r="964" spans="1:4" x14ac:dyDescent="0.25">
      <c r="A964" t="s">
        <v>2681</v>
      </c>
      <c r="B964">
        <v>0.83799999999999997</v>
      </c>
      <c r="C964" t="str">
        <f t="shared" si="15"/>
        <v>CITY OF SANGER</v>
      </c>
      <c r="D964" t="b">
        <v>0</v>
      </c>
    </row>
    <row r="965" spans="1:4" x14ac:dyDescent="0.25">
      <c r="A965" t="s">
        <v>2250</v>
      </c>
      <c r="B965">
        <v>0.83799999999999997</v>
      </c>
      <c r="C965" t="str">
        <f t="shared" si="15"/>
        <v>HARRIS COUNTY MUD NO 365</v>
      </c>
      <c r="D965" t="b">
        <v>0</v>
      </c>
    </row>
    <row r="966" spans="1:4" x14ac:dyDescent="0.25">
      <c r="A966" t="s">
        <v>6</v>
      </c>
      <c r="B966">
        <v>0.83299999999999996</v>
      </c>
      <c r="C966" t="str">
        <f t="shared" si="15"/>
        <v>TEXAS DEPT OF CRIMINAL JUSTICE</v>
      </c>
      <c r="D966" t="b">
        <v>0</v>
      </c>
    </row>
    <row r="967" spans="1:4" x14ac:dyDescent="0.25">
      <c r="A967" t="s">
        <v>1910</v>
      </c>
      <c r="B967">
        <v>0.83</v>
      </c>
      <c r="C967" t="str">
        <f t="shared" si="15"/>
        <v>HARRIS COUNTY MUD NO 102</v>
      </c>
      <c r="D967" t="b">
        <v>0</v>
      </c>
    </row>
    <row r="968" spans="1:4" x14ac:dyDescent="0.25">
      <c r="A968" t="s">
        <v>2011</v>
      </c>
      <c r="B968">
        <v>0.82899999999999996</v>
      </c>
      <c r="C968" t="str">
        <f t="shared" si="15"/>
        <v>HARRIS COUNTY MUD NO 71</v>
      </c>
      <c r="D968" t="b">
        <v>0</v>
      </c>
    </row>
    <row r="969" spans="1:4" x14ac:dyDescent="0.25">
      <c r="A969" t="s">
        <v>1913</v>
      </c>
      <c r="B969">
        <v>0.82564499999999996</v>
      </c>
      <c r="C969" t="str">
        <f t="shared" si="15"/>
        <v>REID ROAD MUD 1</v>
      </c>
      <c r="D969" t="b">
        <v>0</v>
      </c>
    </row>
    <row r="970" spans="1:4" x14ac:dyDescent="0.25">
      <c r="A970" t="s">
        <v>1189</v>
      </c>
      <c r="B970">
        <v>0.82499999999999996</v>
      </c>
      <c r="C970" t="str">
        <f t="shared" si="15"/>
        <v>CITY OF BURKBURNETT</v>
      </c>
      <c r="D970" t="b">
        <v>0</v>
      </c>
    </row>
    <row r="971" spans="1:4" x14ac:dyDescent="0.25">
      <c r="A971" t="s">
        <v>2007</v>
      </c>
      <c r="B971">
        <v>0.82199999999999995</v>
      </c>
      <c r="C971" t="str">
        <f t="shared" si="15"/>
        <v>BRASKEM AMERICA INC</v>
      </c>
      <c r="D971" t="b">
        <v>0</v>
      </c>
    </row>
    <row r="972" spans="1:4" x14ac:dyDescent="0.25">
      <c r="A972" t="s">
        <v>280</v>
      </c>
      <c r="B972">
        <v>0.82</v>
      </c>
      <c r="C972" t="e">
        <f t="shared" si="15"/>
        <v>#N/A</v>
      </c>
      <c r="D972" t="b">
        <v>0</v>
      </c>
    </row>
    <row r="973" spans="1:4" x14ac:dyDescent="0.25">
      <c r="A973" t="s">
        <v>1040</v>
      </c>
      <c r="B973">
        <v>0.82</v>
      </c>
      <c r="C973" t="str">
        <f t="shared" si="15"/>
        <v>CITY OF KINGSVILLE</v>
      </c>
      <c r="D973" t="b">
        <v>0</v>
      </c>
    </row>
    <row r="974" spans="1:4" x14ac:dyDescent="0.25">
      <c r="A974" t="s">
        <v>1138</v>
      </c>
      <c r="B974">
        <v>0.81200000000000006</v>
      </c>
      <c r="C974" t="str">
        <f t="shared" si="15"/>
        <v>CITY OF UVALDE</v>
      </c>
      <c r="D974" t="b">
        <v>0</v>
      </c>
    </row>
    <row r="975" spans="1:4" x14ac:dyDescent="0.25">
      <c r="A975" t="s">
        <v>1714</v>
      </c>
      <c r="B975">
        <v>0.81200000000000006</v>
      </c>
      <c r="C975" t="str">
        <f t="shared" si="15"/>
        <v>FORT BEND COUNTY MUD NO 58</v>
      </c>
      <c r="D975" t="b">
        <v>0</v>
      </c>
    </row>
    <row r="976" spans="1:4" x14ac:dyDescent="0.25">
      <c r="A976" t="s">
        <v>1035</v>
      </c>
      <c r="B976">
        <v>0.80900000000000005</v>
      </c>
      <c r="C976" t="str">
        <f t="shared" si="15"/>
        <v>CITY OF ALICE</v>
      </c>
      <c r="D976" t="b">
        <v>0</v>
      </c>
    </row>
    <row r="977" spans="1:4" x14ac:dyDescent="0.25">
      <c r="A977" t="s">
        <v>1087</v>
      </c>
      <c r="B977">
        <v>0.80822090000000002</v>
      </c>
      <c r="C977" t="str">
        <f t="shared" si="15"/>
        <v>US ECOLOGY TEXAS INC</v>
      </c>
      <c r="D977" t="b">
        <v>0</v>
      </c>
    </row>
    <row r="978" spans="1:4" x14ac:dyDescent="0.25">
      <c r="A978" t="s">
        <v>2404</v>
      </c>
      <c r="B978">
        <v>0.80300000000000005</v>
      </c>
      <c r="C978" t="e">
        <f t="shared" si="15"/>
        <v>#N/A</v>
      </c>
      <c r="D978" t="b">
        <v>0</v>
      </c>
    </row>
    <row r="979" spans="1:4" x14ac:dyDescent="0.25">
      <c r="A979" t="s">
        <v>2607</v>
      </c>
      <c r="B979">
        <v>0.8</v>
      </c>
      <c r="C979" t="str">
        <f t="shared" si="15"/>
        <v>CHEVRON PHILLIPS CHEMICAL CO LP</v>
      </c>
      <c r="D979" t="b">
        <v>0</v>
      </c>
    </row>
    <row r="980" spans="1:4" x14ac:dyDescent="0.25">
      <c r="A980" t="s">
        <v>1838</v>
      </c>
      <c r="B980">
        <v>0.79900000000000004</v>
      </c>
      <c r="C980" t="str">
        <f t="shared" si="15"/>
        <v>FALLBROOK UTILITY DISTRICT</v>
      </c>
      <c r="D980" t="b">
        <v>0</v>
      </c>
    </row>
    <row r="981" spans="1:4" x14ac:dyDescent="0.25">
      <c r="A981" t="s">
        <v>1200</v>
      </c>
      <c r="B981">
        <v>0.79691999999999996</v>
      </c>
      <c r="C981" t="str">
        <f t="shared" si="15"/>
        <v>SOLVAY USA INC</v>
      </c>
      <c r="D981" t="b">
        <v>0</v>
      </c>
    </row>
    <row r="982" spans="1:4" x14ac:dyDescent="0.25">
      <c r="A982" t="s">
        <v>1258</v>
      </c>
      <c r="B982">
        <v>0.79500000000000004</v>
      </c>
      <c r="C982" t="str">
        <f t="shared" si="15"/>
        <v>ZAPATA COUNTY</v>
      </c>
      <c r="D982" t="b">
        <v>0</v>
      </c>
    </row>
    <row r="983" spans="1:4" x14ac:dyDescent="0.25">
      <c r="A983" t="s">
        <v>723</v>
      </c>
      <c r="B983">
        <v>0.79</v>
      </c>
      <c r="C983" t="str">
        <f t="shared" si="15"/>
        <v>CITY OF YOAKUM</v>
      </c>
      <c r="D983" t="b">
        <v>0</v>
      </c>
    </row>
    <row r="984" spans="1:4" x14ac:dyDescent="0.25">
      <c r="A984" t="s">
        <v>409</v>
      </c>
      <c r="B984">
        <v>0.79</v>
      </c>
      <c r="C984" t="str">
        <f t="shared" si="15"/>
        <v>CITY OF AMARILLO</v>
      </c>
      <c r="D984" t="b">
        <v>0</v>
      </c>
    </row>
    <row r="985" spans="1:4" x14ac:dyDescent="0.25">
      <c r="A985" t="s">
        <v>2203</v>
      </c>
      <c r="B985">
        <v>0.78700000000000003</v>
      </c>
      <c r="C985" t="str">
        <f t="shared" si="15"/>
        <v>HARRIS COUNTY MUD NO 155</v>
      </c>
      <c r="D985" t="b">
        <v>0</v>
      </c>
    </row>
    <row r="986" spans="1:4" x14ac:dyDescent="0.25">
      <c r="A986" t="s">
        <v>1711</v>
      </c>
      <c r="B986">
        <v>0.78049999999999997</v>
      </c>
      <c r="C986" t="str">
        <f t="shared" si="15"/>
        <v>FORT BEND COUNTY MUD NO 146</v>
      </c>
      <c r="D986" t="b">
        <v>0</v>
      </c>
    </row>
    <row r="987" spans="1:4" x14ac:dyDescent="0.25">
      <c r="A987" t="s">
        <v>1892</v>
      </c>
      <c r="B987">
        <v>0.78</v>
      </c>
      <c r="C987" t="str">
        <f t="shared" si="15"/>
        <v>WYMAN-GORDON FORGINGS INC</v>
      </c>
      <c r="D987" t="b">
        <v>0</v>
      </c>
    </row>
    <row r="988" spans="1:4" x14ac:dyDescent="0.25">
      <c r="A988" t="s">
        <v>1633</v>
      </c>
      <c r="B988">
        <v>0.78</v>
      </c>
      <c r="C988" t="str">
        <f t="shared" si="15"/>
        <v>CITY OF GALVESTON</v>
      </c>
      <c r="D988" t="b">
        <v>0</v>
      </c>
    </row>
    <row r="989" spans="1:4" x14ac:dyDescent="0.25">
      <c r="A989" t="s">
        <v>917</v>
      </c>
      <c r="B989">
        <v>0.77300000000000002</v>
      </c>
      <c r="C989" t="str">
        <f t="shared" si="15"/>
        <v>OPTIMUS STEEL LLC</v>
      </c>
      <c r="D989" t="b">
        <v>0</v>
      </c>
    </row>
    <row r="990" spans="1:4" x14ac:dyDescent="0.25">
      <c r="A990" t="s">
        <v>39</v>
      </c>
      <c r="B990">
        <v>0.77083299999999999</v>
      </c>
      <c r="C990" t="str">
        <f t="shared" si="15"/>
        <v>CITY OF SEALY</v>
      </c>
      <c r="D990" t="b">
        <v>0</v>
      </c>
    </row>
    <row r="991" spans="1:4" x14ac:dyDescent="0.25">
      <c r="A991" t="s">
        <v>192</v>
      </c>
      <c r="B991">
        <v>0.76900000000000002</v>
      </c>
      <c r="C991" t="str">
        <f t="shared" si="15"/>
        <v>JACK A FUSCO ENERGY CENTER LLC; CALPINE OPERATING SERVICES CO INC</v>
      </c>
      <c r="D991" t="b">
        <v>0</v>
      </c>
    </row>
    <row r="992" spans="1:4" x14ac:dyDescent="0.25">
      <c r="A992" t="s">
        <v>2391</v>
      </c>
      <c r="B992">
        <v>0.76859999999999995</v>
      </c>
      <c r="C992" t="str">
        <f t="shared" si="15"/>
        <v>CITY OF CLEVELAND</v>
      </c>
      <c r="D992" t="b">
        <v>0</v>
      </c>
    </row>
    <row r="993" spans="1:4" x14ac:dyDescent="0.25">
      <c r="A993" t="s">
        <v>1770</v>
      </c>
      <c r="B993">
        <v>0.76800000000000002</v>
      </c>
      <c r="C993" t="str">
        <f t="shared" si="15"/>
        <v>TEXMARK CHEMICALS INC</v>
      </c>
      <c r="D993" t="b">
        <v>0</v>
      </c>
    </row>
    <row r="994" spans="1:4" x14ac:dyDescent="0.25">
      <c r="A994" t="s">
        <v>1690</v>
      </c>
      <c r="B994">
        <v>0.76700000000000002</v>
      </c>
      <c r="C994" t="str">
        <f t="shared" si="15"/>
        <v>LINDE GAS NORTH AMERICA LLC</v>
      </c>
      <c r="D994" t="b">
        <v>0</v>
      </c>
    </row>
    <row r="995" spans="1:4" x14ac:dyDescent="0.25">
      <c r="A995" t="s">
        <v>1113</v>
      </c>
      <c r="B995">
        <v>0.76300000000000001</v>
      </c>
      <c r="C995" t="str">
        <f t="shared" si="15"/>
        <v>CITY OF CARRIZO SPRINGS</v>
      </c>
      <c r="D995" t="b">
        <v>0</v>
      </c>
    </row>
    <row r="996" spans="1:4" x14ac:dyDescent="0.25">
      <c r="A996" t="s">
        <v>422</v>
      </c>
      <c r="B996">
        <v>0.76241999999999999</v>
      </c>
      <c r="C996" t="str">
        <f t="shared" si="15"/>
        <v>ALCOA WORLD ALUMINA LLC</v>
      </c>
      <c r="D996" t="b">
        <v>0</v>
      </c>
    </row>
    <row r="997" spans="1:4" x14ac:dyDescent="0.25">
      <c r="A997" t="s">
        <v>1122</v>
      </c>
      <c r="B997">
        <v>0.76200000000000001</v>
      </c>
      <c r="C997" t="str">
        <f t="shared" si="15"/>
        <v>CITY OF COTULLA</v>
      </c>
      <c r="D997" t="b">
        <v>0</v>
      </c>
    </row>
    <row r="998" spans="1:4" x14ac:dyDescent="0.25">
      <c r="A998" t="s">
        <v>1703</v>
      </c>
      <c r="B998">
        <v>0.76100000000000001</v>
      </c>
      <c r="C998" t="str">
        <f t="shared" si="15"/>
        <v>NORTH MISSION GLEN MUD</v>
      </c>
      <c r="D998" t="b">
        <v>0</v>
      </c>
    </row>
    <row r="999" spans="1:4" x14ac:dyDescent="0.25">
      <c r="A999" t="s">
        <v>2483</v>
      </c>
      <c r="B999">
        <v>0.76</v>
      </c>
      <c r="C999" t="str">
        <f t="shared" si="15"/>
        <v>MONTGOMERY COUNTY MUD NO 119</v>
      </c>
      <c r="D999" t="b">
        <v>0</v>
      </c>
    </row>
    <row r="1000" spans="1:4" x14ac:dyDescent="0.25">
      <c r="A1000" t="s">
        <v>1895</v>
      </c>
      <c r="B1000">
        <v>0.75493299999999997</v>
      </c>
      <c r="C1000" t="str">
        <f t="shared" si="15"/>
        <v>MEADOWHILL REGIONAL MUD</v>
      </c>
      <c r="D1000" t="b">
        <v>0</v>
      </c>
    </row>
    <row r="1001" spans="1:4" x14ac:dyDescent="0.25">
      <c r="A1001" t="s">
        <v>2221</v>
      </c>
      <c r="B1001">
        <v>0.75323300000000004</v>
      </c>
      <c r="C1001" t="str">
        <f t="shared" si="15"/>
        <v>HARRIS COUNTY MUD NO 344</v>
      </c>
      <c r="D1001" t="b">
        <v>0</v>
      </c>
    </row>
    <row r="1002" spans="1:4" x14ac:dyDescent="0.25">
      <c r="A1002" t="s">
        <v>669</v>
      </c>
      <c r="B1002">
        <v>0.75111000000000006</v>
      </c>
      <c r="C1002" t="str">
        <f t="shared" si="15"/>
        <v>SEADRIFT COKE LP</v>
      </c>
      <c r="D1002" t="b">
        <v>0</v>
      </c>
    </row>
    <row r="1003" spans="1:4" x14ac:dyDescent="0.25">
      <c r="A1003" t="s">
        <v>257</v>
      </c>
      <c r="B1003">
        <v>0.748</v>
      </c>
      <c r="C1003" t="str">
        <f t="shared" si="15"/>
        <v>CITY OF LAMPASAS</v>
      </c>
      <c r="D1003" t="b">
        <v>0</v>
      </c>
    </row>
    <row r="1004" spans="1:4" x14ac:dyDescent="0.25">
      <c r="A1004" t="s">
        <v>977</v>
      </c>
      <c r="B1004">
        <v>0.747</v>
      </c>
      <c r="C1004" t="str">
        <f t="shared" si="15"/>
        <v>LAGUNA MADRE WATER DISTRICT</v>
      </c>
      <c r="D1004" t="b">
        <v>0</v>
      </c>
    </row>
    <row r="1005" spans="1:4" x14ac:dyDescent="0.25">
      <c r="A1005" t="s">
        <v>1898</v>
      </c>
      <c r="B1005">
        <v>0.746</v>
      </c>
      <c r="C1005" t="str">
        <f t="shared" si="15"/>
        <v>HARRIS COUNTY WCID 116</v>
      </c>
      <c r="D1005" t="b">
        <v>0</v>
      </c>
    </row>
    <row r="1006" spans="1:4" x14ac:dyDescent="0.25">
      <c r="A1006" t="s">
        <v>554</v>
      </c>
      <c r="B1006">
        <v>0.74</v>
      </c>
      <c r="C1006" t="str">
        <f t="shared" si="15"/>
        <v>CITY OF PFLUGERVILLE</v>
      </c>
      <c r="D1006" t="b">
        <v>0</v>
      </c>
    </row>
    <row r="1007" spans="1:4" x14ac:dyDescent="0.25">
      <c r="A1007" t="s">
        <v>2443</v>
      </c>
      <c r="B1007">
        <v>0.73599999999999999</v>
      </c>
      <c r="C1007" t="str">
        <f t="shared" si="15"/>
        <v>CITY OF SHENANDOAH</v>
      </c>
      <c r="D1007" t="b">
        <v>0</v>
      </c>
    </row>
    <row r="1008" spans="1:4" x14ac:dyDescent="0.25">
      <c r="A1008" t="s">
        <v>2702</v>
      </c>
      <c r="B1008">
        <v>0.73499999999999999</v>
      </c>
      <c r="C1008" t="str">
        <f t="shared" si="15"/>
        <v>UPPER TRINITY REGIONAL WATER DISTRICT</v>
      </c>
      <c r="D1008" t="b">
        <v>0</v>
      </c>
    </row>
    <row r="1009" spans="1:4" x14ac:dyDescent="0.25">
      <c r="A1009" t="s">
        <v>361</v>
      </c>
      <c r="B1009">
        <v>0.73399999999999999</v>
      </c>
      <c r="C1009" t="str">
        <f t="shared" si="15"/>
        <v>CITY OF BRECKENRIDGE</v>
      </c>
      <c r="D1009" t="b">
        <v>0</v>
      </c>
    </row>
    <row r="1010" spans="1:4" x14ac:dyDescent="0.25">
      <c r="A1010" t="s">
        <v>666</v>
      </c>
      <c r="B1010">
        <v>0.73329999999999995</v>
      </c>
      <c r="C1010" t="str">
        <f t="shared" si="15"/>
        <v>INEOS NITRILES USA LLC</v>
      </c>
      <c r="D1010" t="b">
        <v>0</v>
      </c>
    </row>
    <row r="1011" spans="1:4" x14ac:dyDescent="0.25">
      <c r="A1011" t="s">
        <v>2900</v>
      </c>
      <c r="B1011">
        <v>0.73299999999999998</v>
      </c>
      <c r="C1011" t="str">
        <f t="shared" si="15"/>
        <v>CITY OF WILLS POINT</v>
      </c>
      <c r="D1011" t="b">
        <v>0</v>
      </c>
    </row>
    <row r="1012" spans="1:4" x14ac:dyDescent="0.25">
      <c r="A1012" t="s">
        <v>2397</v>
      </c>
      <c r="B1012">
        <v>0.73175199999999996</v>
      </c>
      <c r="C1012" t="str">
        <f t="shared" si="15"/>
        <v>HUNTSMAN PETROCHEMICAL LLC</v>
      </c>
      <c r="D1012" t="b">
        <v>0</v>
      </c>
    </row>
    <row r="1013" spans="1:4" x14ac:dyDescent="0.25">
      <c r="A1013" t="s">
        <v>550</v>
      </c>
      <c r="B1013">
        <v>0.73109999999999997</v>
      </c>
      <c r="C1013" t="str">
        <f t="shared" si="15"/>
        <v>CITY OF AUSTIN</v>
      </c>
      <c r="D1013" t="b">
        <v>0</v>
      </c>
    </row>
    <row r="1014" spans="1:4" x14ac:dyDescent="0.25">
      <c r="A1014" t="s">
        <v>1058</v>
      </c>
      <c r="B1014">
        <v>0.73</v>
      </c>
      <c r="C1014" t="str">
        <f t="shared" si="15"/>
        <v>FLINT HILLS RESOURCES CORPUS CHRISTI LLC</v>
      </c>
      <c r="D1014" t="b">
        <v>0</v>
      </c>
    </row>
    <row r="1015" spans="1:4" x14ac:dyDescent="0.25">
      <c r="A1015" t="s">
        <v>1238</v>
      </c>
      <c r="B1015">
        <v>0.72899999999999998</v>
      </c>
      <c r="C1015" t="str">
        <f t="shared" si="15"/>
        <v>CITY OF EAGLE PASS WATER WORKS SYSTEM</v>
      </c>
      <c r="D1015" t="b">
        <v>0</v>
      </c>
    </row>
    <row r="1016" spans="1:4" x14ac:dyDescent="0.25">
      <c r="A1016" t="s">
        <v>211</v>
      </c>
      <c r="B1016">
        <v>0.72899999999999998</v>
      </c>
      <c r="C1016" t="str">
        <f t="shared" si="15"/>
        <v>PETRA NOVA CCS I LLC</v>
      </c>
      <c r="D1016" t="b">
        <v>0</v>
      </c>
    </row>
    <row r="1017" spans="1:4" x14ac:dyDescent="0.25">
      <c r="A1017" t="s">
        <v>1141</v>
      </c>
      <c r="B1017">
        <v>0.72799999999999998</v>
      </c>
      <c r="C1017" t="str">
        <f t="shared" si="15"/>
        <v>CITY OF CRYSTAL CITY</v>
      </c>
      <c r="D1017" t="b">
        <v>0</v>
      </c>
    </row>
    <row r="1018" spans="1:4" x14ac:dyDescent="0.25">
      <c r="A1018" t="s">
        <v>2402</v>
      </c>
      <c r="B1018">
        <v>0.72099999999999997</v>
      </c>
      <c r="C1018" t="str">
        <f t="shared" si="15"/>
        <v>MONTGOMERY COUNTY MUD NO 8</v>
      </c>
      <c r="D1018" t="b">
        <v>0</v>
      </c>
    </row>
    <row r="1019" spans="1:4" x14ac:dyDescent="0.25">
      <c r="A1019" t="s">
        <v>364</v>
      </c>
      <c r="B1019">
        <v>0.72099999999999997</v>
      </c>
      <c r="C1019" t="e">
        <f t="shared" si="15"/>
        <v>#N/A</v>
      </c>
      <c r="D1019" t="b">
        <v>0</v>
      </c>
    </row>
    <row r="1020" spans="1:4" x14ac:dyDescent="0.25">
      <c r="A1020" t="s">
        <v>1530</v>
      </c>
      <c r="B1020">
        <v>0.72060000000000002</v>
      </c>
      <c r="C1020" t="str">
        <f t="shared" si="15"/>
        <v>CITY OF BOERNE</v>
      </c>
      <c r="D1020" t="b">
        <v>0</v>
      </c>
    </row>
    <row r="1021" spans="1:4" x14ac:dyDescent="0.25">
      <c r="A1021" t="s">
        <v>754</v>
      </c>
      <c r="B1021">
        <v>0.72</v>
      </c>
      <c r="C1021" t="str">
        <f t="shared" si="15"/>
        <v>MOTIVA ENTP, FLINT HILLS RES PORT ARTHUR, AFTON CHEM ADDITIVES CORP</v>
      </c>
      <c r="D1021" t="b">
        <v>0</v>
      </c>
    </row>
    <row r="1022" spans="1:4" x14ac:dyDescent="0.25">
      <c r="A1022" t="s">
        <v>1550</v>
      </c>
      <c r="B1022">
        <v>0.72</v>
      </c>
      <c r="C1022" t="str">
        <f t="shared" si="15"/>
        <v>PHILLIPS 66 CO</v>
      </c>
      <c r="D1022" t="b">
        <v>0</v>
      </c>
    </row>
    <row r="1023" spans="1:4" x14ac:dyDescent="0.25">
      <c r="A1023" t="s">
        <v>1639</v>
      </c>
      <c r="B1023">
        <v>0.72</v>
      </c>
      <c r="C1023" t="str">
        <f t="shared" si="15"/>
        <v>NUSTAR TERMINALS PARTNERS TX LP</v>
      </c>
      <c r="D1023" t="b">
        <v>0</v>
      </c>
    </row>
    <row r="1024" spans="1:4" x14ac:dyDescent="0.25">
      <c r="A1024" t="s">
        <v>2182</v>
      </c>
      <c r="B1024">
        <v>0.72</v>
      </c>
      <c r="C1024" t="str">
        <f t="shared" si="15"/>
        <v>KMCO LLC</v>
      </c>
      <c r="D1024" t="b">
        <v>0</v>
      </c>
    </row>
    <row r="1025" spans="1:4" x14ac:dyDescent="0.25">
      <c r="A1025" t="s">
        <v>2409</v>
      </c>
      <c r="B1025">
        <v>0.71841900000000003</v>
      </c>
      <c r="C1025" t="str">
        <f t="shared" si="15"/>
        <v>SPRING CREEK UTILITY DISTRICT</v>
      </c>
      <c r="D1025" t="b">
        <v>0</v>
      </c>
    </row>
    <row r="1026" spans="1:4" x14ac:dyDescent="0.25">
      <c r="A1026" t="s">
        <v>103</v>
      </c>
      <c r="B1026">
        <v>0.71699999999999997</v>
      </c>
      <c r="C1026" t="str">
        <f t="shared" ref="C1026:C1089" si="16">VLOOKUP(A1026,PERMITTEES,2,FALSE)</f>
        <v>SHINTECH INC</v>
      </c>
      <c r="D1026" t="b">
        <v>0</v>
      </c>
    </row>
    <row r="1027" spans="1:4" x14ac:dyDescent="0.25">
      <c r="A1027" t="s">
        <v>2207</v>
      </c>
      <c r="B1027">
        <v>0.71399999999999997</v>
      </c>
      <c r="C1027" t="str">
        <f t="shared" si="16"/>
        <v>REMINGTON MUD NO 1</v>
      </c>
      <c r="D1027" t="b">
        <v>0</v>
      </c>
    </row>
    <row r="1028" spans="1:4" x14ac:dyDescent="0.25">
      <c r="A1028" t="s">
        <v>2817</v>
      </c>
      <c r="B1028">
        <v>0.71299999999999997</v>
      </c>
      <c r="C1028" t="str">
        <f t="shared" si="16"/>
        <v>CITY OF MADISONVILLE</v>
      </c>
      <c r="D1028" t="b">
        <v>0</v>
      </c>
    </row>
    <row r="1029" spans="1:4" x14ac:dyDescent="0.25">
      <c r="A1029" t="s">
        <v>340</v>
      </c>
      <c r="B1029">
        <v>0.71299999999999997</v>
      </c>
      <c r="C1029" t="str">
        <f t="shared" si="16"/>
        <v>MAJOR OAK POWER LLC</v>
      </c>
      <c r="D1029" t="b">
        <v>0</v>
      </c>
    </row>
    <row r="1030" spans="1:4" x14ac:dyDescent="0.25">
      <c r="A1030" t="s">
        <v>1852</v>
      </c>
      <c r="B1030">
        <v>0.71199999999999997</v>
      </c>
      <c r="C1030" t="str">
        <f t="shared" si="16"/>
        <v>HARRIS COUNTY WCID 74</v>
      </c>
      <c r="D1030" t="b">
        <v>0</v>
      </c>
    </row>
    <row r="1031" spans="1:4" x14ac:dyDescent="0.25">
      <c r="A1031" t="s">
        <v>1535</v>
      </c>
      <c r="B1031">
        <v>0.71099999999999997</v>
      </c>
      <c r="C1031" t="str">
        <f t="shared" si="16"/>
        <v>CITY OF FLORESVILLE</v>
      </c>
      <c r="D1031" t="b">
        <v>0</v>
      </c>
    </row>
    <row r="1032" spans="1:4" x14ac:dyDescent="0.25">
      <c r="A1032" t="s">
        <v>2026</v>
      </c>
      <c r="B1032">
        <v>0.71099999999999997</v>
      </c>
      <c r="C1032" t="str">
        <f t="shared" si="16"/>
        <v>HARRIS COUNTY WCID 110</v>
      </c>
      <c r="D1032" t="b">
        <v>0</v>
      </c>
    </row>
    <row r="1033" spans="1:4" x14ac:dyDescent="0.25">
      <c r="A1033" t="s">
        <v>1950</v>
      </c>
      <c r="B1033">
        <v>0.71</v>
      </c>
      <c r="C1033" t="str">
        <f t="shared" si="16"/>
        <v>VALERO REFINING TEXAS LP</v>
      </c>
      <c r="D1033" t="b">
        <v>0</v>
      </c>
    </row>
    <row r="1034" spans="1:4" x14ac:dyDescent="0.25">
      <c r="A1034" t="s">
        <v>551</v>
      </c>
      <c r="B1034">
        <v>0.71</v>
      </c>
      <c r="C1034" t="str">
        <f t="shared" si="16"/>
        <v>CITY OF AUSTIN</v>
      </c>
      <c r="D1034" t="b">
        <v>0</v>
      </c>
    </row>
    <row r="1035" spans="1:4" x14ac:dyDescent="0.25">
      <c r="A1035" t="s">
        <v>1541</v>
      </c>
      <c r="B1035">
        <v>0.70899999999999996</v>
      </c>
      <c r="C1035" t="str">
        <f t="shared" si="16"/>
        <v>ASCEND PERFORMANCE MATERIALS TEXAS INC</v>
      </c>
      <c r="D1035" t="b">
        <v>0</v>
      </c>
    </row>
    <row r="1036" spans="1:4" x14ac:dyDescent="0.25">
      <c r="A1036" t="s">
        <v>2237</v>
      </c>
      <c r="B1036">
        <v>0.70799999999999996</v>
      </c>
      <c r="C1036" t="str">
        <f t="shared" si="16"/>
        <v>WEST HARRIS COUNTY MUD 11</v>
      </c>
      <c r="D1036" t="b">
        <v>0</v>
      </c>
    </row>
    <row r="1037" spans="1:4" x14ac:dyDescent="0.25">
      <c r="A1037" t="s">
        <v>1591</v>
      </c>
      <c r="B1037">
        <v>0.707677</v>
      </c>
      <c r="C1037" t="str">
        <f t="shared" si="16"/>
        <v>CITY OF MISSOURI CITY</v>
      </c>
      <c r="D1037" t="b">
        <v>0</v>
      </c>
    </row>
    <row r="1038" spans="1:4" x14ac:dyDescent="0.25">
      <c r="A1038" t="s">
        <v>800</v>
      </c>
      <c r="B1038">
        <v>0.7</v>
      </c>
      <c r="C1038" t="str">
        <f t="shared" si="16"/>
        <v>CITY OF ALTO</v>
      </c>
      <c r="D1038" t="b">
        <v>0</v>
      </c>
    </row>
    <row r="1039" spans="1:4" x14ac:dyDescent="0.25">
      <c r="A1039" t="s">
        <v>1861</v>
      </c>
      <c r="B1039">
        <v>0.69799999999999995</v>
      </c>
      <c r="C1039" t="str">
        <f t="shared" si="16"/>
        <v>HARRIS COUNTY MUD 5</v>
      </c>
      <c r="D1039" t="b">
        <v>0</v>
      </c>
    </row>
    <row r="1040" spans="1:4" x14ac:dyDescent="0.25">
      <c r="A1040" t="s">
        <v>203</v>
      </c>
      <c r="B1040">
        <v>0.69499999999999995</v>
      </c>
      <c r="C1040" t="str">
        <f t="shared" si="16"/>
        <v>FORT BEND CO MUD NO.134A</v>
      </c>
      <c r="D1040" t="b">
        <v>0</v>
      </c>
    </row>
    <row r="1041" spans="1:4" x14ac:dyDescent="0.25">
      <c r="A1041" t="s">
        <v>1863</v>
      </c>
      <c r="B1041">
        <v>0.69299999999999995</v>
      </c>
      <c r="C1041" t="str">
        <f t="shared" si="16"/>
        <v>CITY OF HOUSTON</v>
      </c>
      <c r="D1041" t="b">
        <v>0</v>
      </c>
    </row>
    <row r="1042" spans="1:4" x14ac:dyDescent="0.25">
      <c r="A1042" t="s">
        <v>2108</v>
      </c>
      <c r="B1042">
        <v>0.69299999999999995</v>
      </c>
      <c r="C1042" t="str">
        <f t="shared" si="16"/>
        <v>HARRIS COUNTY MUD NO 196</v>
      </c>
      <c r="D1042" t="b">
        <v>0</v>
      </c>
    </row>
    <row r="1043" spans="1:4" x14ac:dyDescent="0.25">
      <c r="A1043" t="s">
        <v>605</v>
      </c>
      <c r="B1043">
        <v>0.69099999999999995</v>
      </c>
      <c r="C1043" t="str">
        <f t="shared" si="16"/>
        <v>CITY OF LOCKHART &amp; GUADALUPE-BLANCO RIVER AUTHORITY</v>
      </c>
      <c r="D1043" t="b">
        <v>0</v>
      </c>
    </row>
    <row r="1044" spans="1:4" x14ac:dyDescent="0.25">
      <c r="A1044" t="s">
        <v>2089</v>
      </c>
      <c r="B1044">
        <v>0.69</v>
      </c>
      <c r="C1044" t="str">
        <f t="shared" si="16"/>
        <v>MONUMENT CHEMICAL HOUSTON LTD</v>
      </c>
      <c r="D1044" t="b">
        <v>0</v>
      </c>
    </row>
    <row r="1045" spans="1:4" x14ac:dyDescent="0.25">
      <c r="A1045" t="s">
        <v>1609</v>
      </c>
      <c r="B1045">
        <v>0.68799999999999994</v>
      </c>
      <c r="C1045" t="str">
        <f t="shared" si="16"/>
        <v>GULF SULPHUR SERVICES LTD LLLP</v>
      </c>
      <c r="D1045" t="b">
        <v>0</v>
      </c>
    </row>
    <row r="1046" spans="1:4" x14ac:dyDescent="0.25">
      <c r="A1046" t="s">
        <v>2424</v>
      </c>
      <c r="B1046">
        <v>0.68700000000000006</v>
      </c>
      <c r="C1046" t="str">
        <f t="shared" si="16"/>
        <v>MONTGOMERY COUNTY MUD 19</v>
      </c>
      <c r="D1046" t="b">
        <v>0</v>
      </c>
    </row>
    <row r="1047" spans="1:4" x14ac:dyDescent="0.25">
      <c r="A1047" t="s">
        <v>989</v>
      </c>
      <c r="B1047">
        <v>0.68700000000000006</v>
      </c>
      <c r="C1047" t="str">
        <f t="shared" si="16"/>
        <v>OLMITO WSC</v>
      </c>
      <c r="D1047" t="b">
        <v>0</v>
      </c>
    </row>
    <row r="1048" spans="1:4" x14ac:dyDescent="0.25">
      <c r="A1048" t="s">
        <v>854</v>
      </c>
      <c r="B1048">
        <v>0.68610000000000004</v>
      </c>
      <c r="C1048" t="str">
        <f t="shared" si="16"/>
        <v>LUCITE INTERNATIONAL INC</v>
      </c>
      <c r="D1048" t="b">
        <v>0</v>
      </c>
    </row>
    <row r="1049" spans="1:4" x14ac:dyDescent="0.25">
      <c r="A1049" t="s">
        <v>1472</v>
      </c>
      <c r="B1049">
        <v>0.68500000000000005</v>
      </c>
      <c r="C1049" t="str">
        <f t="shared" si="16"/>
        <v>CITY OF SINTON</v>
      </c>
      <c r="D1049" t="b">
        <v>0</v>
      </c>
    </row>
    <row r="1050" spans="1:4" x14ac:dyDescent="0.25">
      <c r="A1050" t="s">
        <v>365</v>
      </c>
      <c r="B1050">
        <v>0.68254199999999998</v>
      </c>
      <c r="C1050" t="str">
        <f t="shared" si="16"/>
        <v>BROOKSHIRE MWD</v>
      </c>
      <c r="D1050" t="b">
        <v>0</v>
      </c>
    </row>
    <row r="1051" spans="1:4" x14ac:dyDescent="0.25">
      <c r="A1051" t="s">
        <v>1043</v>
      </c>
      <c r="B1051">
        <v>0.68</v>
      </c>
      <c r="C1051" t="str">
        <f t="shared" si="16"/>
        <v>TICONA POLYMERS INC</v>
      </c>
      <c r="D1051" t="b">
        <v>0</v>
      </c>
    </row>
    <row r="1052" spans="1:4" x14ac:dyDescent="0.25">
      <c r="A1052" t="s">
        <v>1167</v>
      </c>
      <c r="B1052">
        <v>0.67500000000000004</v>
      </c>
      <c r="C1052" t="str">
        <f t="shared" si="16"/>
        <v>CITY OF WHITEWRIGHT</v>
      </c>
      <c r="D1052" t="b">
        <v>0</v>
      </c>
    </row>
    <row r="1053" spans="1:4" x14ac:dyDescent="0.25">
      <c r="A1053" t="s">
        <v>2414</v>
      </c>
      <c r="B1053">
        <v>0.67500000000000004</v>
      </c>
      <c r="C1053" t="str">
        <f t="shared" si="16"/>
        <v>SAN JACINTO RIVER AUTHORITY</v>
      </c>
      <c r="D1053" t="b">
        <v>0</v>
      </c>
    </row>
    <row r="1054" spans="1:4" x14ac:dyDescent="0.25">
      <c r="A1054" t="s">
        <v>2049</v>
      </c>
      <c r="B1054">
        <v>0.67300000000000004</v>
      </c>
      <c r="C1054" t="str">
        <f t="shared" si="16"/>
        <v>HORSEPEN BAYOU MUD</v>
      </c>
      <c r="D1054" t="b">
        <v>0</v>
      </c>
    </row>
    <row r="1055" spans="1:4" x14ac:dyDescent="0.25">
      <c r="A1055" t="s">
        <v>1814</v>
      </c>
      <c r="B1055">
        <v>0.67</v>
      </c>
      <c r="C1055" t="str">
        <f t="shared" si="16"/>
        <v>PCI NITROGEN LLC</v>
      </c>
      <c r="D1055" t="b">
        <v>0</v>
      </c>
    </row>
    <row r="1056" spans="1:4" x14ac:dyDescent="0.25">
      <c r="A1056" t="s">
        <v>1165</v>
      </c>
      <c r="B1056">
        <v>0.67</v>
      </c>
      <c r="C1056" t="str">
        <f t="shared" si="16"/>
        <v>CITY OF WHITESBORO</v>
      </c>
      <c r="D1056" t="b">
        <v>0</v>
      </c>
    </row>
    <row r="1057" spans="1:4" x14ac:dyDescent="0.25">
      <c r="A1057" t="s">
        <v>562</v>
      </c>
      <c r="B1057">
        <v>0.67</v>
      </c>
      <c r="C1057" t="str">
        <f t="shared" si="16"/>
        <v>CITY OF HUGHES SPRINGS</v>
      </c>
      <c r="D1057" t="b">
        <v>0</v>
      </c>
    </row>
    <row r="1058" spans="1:4" x14ac:dyDescent="0.25">
      <c r="A1058" t="s">
        <v>787</v>
      </c>
      <c r="B1058">
        <v>0.66990000000000005</v>
      </c>
      <c r="C1058" t="str">
        <f t="shared" si="16"/>
        <v>GEORGIA-PACIFIC PANEL PRODUCTS &amp; GEORGIA-PACIFIC WOOD PRODUCTS SOUTH</v>
      </c>
      <c r="D1058" t="b">
        <v>0</v>
      </c>
    </row>
    <row r="1059" spans="1:4" x14ac:dyDescent="0.25">
      <c r="A1059" t="s">
        <v>1372</v>
      </c>
      <c r="B1059">
        <v>0.66900000000000004</v>
      </c>
      <c r="C1059" t="str">
        <f t="shared" si="16"/>
        <v>CITY OF PINEHURST</v>
      </c>
      <c r="D1059" t="b">
        <v>0</v>
      </c>
    </row>
    <row r="1060" spans="1:4" x14ac:dyDescent="0.25">
      <c r="A1060" t="s">
        <v>1999</v>
      </c>
      <c r="B1060">
        <v>0.66873300000000002</v>
      </c>
      <c r="C1060" t="str">
        <f t="shared" si="16"/>
        <v>NORTH PARK PUD</v>
      </c>
      <c r="D1060" t="b">
        <v>0</v>
      </c>
    </row>
    <row r="1061" spans="1:4" x14ac:dyDescent="0.25">
      <c r="A1061" t="s">
        <v>2785</v>
      </c>
      <c r="B1061">
        <v>0.66400000000000003</v>
      </c>
      <c r="C1061" t="str">
        <f t="shared" si="16"/>
        <v>JOHNSON COUNTY SUD</v>
      </c>
      <c r="D1061" t="b">
        <v>0</v>
      </c>
    </row>
    <row r="1062" spans="1:4" x14ac:dyDescent="0.25">
      <c r="A1062" t="s">
        <v>505</v>
      </c>
      <c r="B1062">
        <v>0.66100000000000003</v>
      </c>
      <c r="C1062" t="str">
        <f t="shared" si="16"/>
        <v>ALON USA LP</v>
      </c>
      <c r="D1062" t="b">
        <v>0</v>
      </c>
    </row>
    <row r="1063" spans="1:4" x14ac:dyDescent="0.25">
      <c r="A1063" t="s">
        <v>1619</v>
      </c>
      <c r="B1063">
        <v>0.66</v>
      </c>
      <c r="C1063" t="str">
        <f t="shared" si="16"/>
        <v>ISP TECHNOLOGIES INC</v>
      </c>
      <c r="D1063" t="b">
        <v>0</v>
      </c>
    </row>
    <row r="1064" spans="1:4" x14ac:dyDescent="0.25">
      <c r="A1064" t="s">
        <v>1948</v>
      </c>
      <c r="B1064">
        <v>0.66</v>
      </c>
      <c r="C1064" t="str">
        <f t="shared" si="16"/>
        <v>VALERO REFINING TEXAS LP</v>
      </c>
      <c r="D1064" t="b">
        <v>0</v>
      </c>
    </row>
    <row r="1065" spans="1:4" x14ac:dyDescent="0.25">
      <c r="A1065" t="s">
        <v>1079</v>
      </c>
      <c r="B1065">
        <v>0.66</v>
      </c>
      <c r="C1065" t="str">
        <f t="shared" si="16"/>
        <v>MAGELLAN TERMINALS HOLDINGS LP, MAGELLAN PROCESSING LP</v>
      </c>
      <c r="D1065" t="b">
        <v>0</v>
      </c>
    </row>
    <row r="1066" spans="1:4" x14ac:dyDescent="0.25">
      <c r="A1066" t="s">
        <v>2225</v>
      </c>
      <c r="B1066">
        <v>0.66</v>
      </c>
      <c r="C1066" t="str">
        <f t="shared" si="16"/>
        <v>SOUTH COAST TERMINALS LP</v>
      </c>
      <c r="D1066" t="b">
        <v>0</v>
      </c>
    </row>
    <row r="1067" spans="1:4" x14ac:dyDescent="0.25">
      <c r="A1067" t="s">
        <v>921</v>
      </c>
      <c r="B1067">
        <v>0.65961499999999995</v>
      </c>
      <c r="C1067" t="str">
        <f t="shared" si="16"/>
        <v>ENTERGY TEXAS INC</v>
      </c>
      <c r="D1067" t="b">
        <v>0</v>
      </c>
    </row>
    <row r="1068" spans="1:4" x14ac:dyDescent="0.25">
      <c r="A1068" t="s">
        <v>2076</v>
      </c>
      <c r="B1068">
        <v>0.65700000000000003</v>
      </c>
      <c r="C1068" t="str">
        <f t="shared" si="16"/>
        <v>BEECHNUT MUD</v>
      </c>
      <c r="D1068" t="b">
        <v>0</v>
      </c>
    </row>
    <row r="1069" spans="1:4" x14ac:dyDescent="0.25">
      <c r="A1069" t="s">
        <v>2092</v>
      </c>
      <c r="B1069">
        <v>0.65700000000000003</v>
      </c>
      <c r="C1069" t="str">
        <f t="shared" si="16"/>
        <v>CYPRESS HILL MUD 1</v>
      </c>
      <c r="D1069" t="b">
        <v>0</v>
      </c>
    </row>
    <row r="1070" spans="1:4" x14ac:dyDescent="0.25">
      <c r="A1070" t="s">
        <v>2634</v>
      </c>
      <c r="B1070">
        <v>0.65500000000000003</v>
      </c>
      <c r="C1070" t="str">
        <f t="shared" si="16"/>
        <v>KAUFMAN COUNTY FWSD NO 1A</v>
      </c>
      <c r="D1070" t="b">
        <v>0</v>
      </c>
    </row>
    <row r="1071" spans="1:4" x14ac:dyDescent="0.25">
      <c r="A1071" t="s">
        <v>1835</v>
      </c>
      <c r="B1071">
        <v>0.65400000000000003</v>
      </c>
      <c r="C1071" t="str">
        <f t="shared" si="16"/>
        <v>HARRIS COUNTY WCID 92</v>
      </c>
      <c r="D1071" t="b">
        <v>0</v>
      </c>
    </row>
    <row r="1072" spans="1:4" x14ac:dyDescent="0.25">
      <c r="A1072" t="s">
        <v>357</v>
      </c>
      <c r="B1072">
        <v>0.65400000000000003</v>
      </c>
      <c r="C1072" t="str">
        <f t="shared" si="16"/>
        <v>COMANCHE PEAK POWER CO LLC</v>
      </c>
      <c r="D1072" t="b">
        <v>0</v>
      </c>
    </row>
    <row r="1073" spans="1:4" x14ac:dyDescent="0.25">
      <c r="A1073" t="s">
        <v>2083</v>
      </c>
      <c r="B1073">
        <v>0.65300000000000002</v>
      </c>
      <c r="C1073" t="str">
        <f t="shared" si="16"/>
        <v>CITY OF HOUSTON</v>
      </c>
      <c r="D1073" t="b">
        <v>0</v>
      </c>
    </row>
    <row r="1074" spans="1:4" x14ac:dyDescent="0.25">
      <c r="A1074" t="s">
        <v>2683</v>
      </c>
      <c r="B1074">
        <v>0.65</v>
      </c>
      <c r="C1074" t="str">
        <f t="shared" si="16"/>
        <v>CITY OF PILOT POINT</v>
      </c>
      <c r="D1074" t="b">
        <v>0</v>
      </c>
    </row>
    <row r="1075" spans="1:4" x14ac:dyDescent="0.25">
      <c r="A1075" t="s">
        <v>444</v>
      </c>
      <c r="B1075">
        <v>0.65</v>
      </c>
      <c r="C1075" t="str">
        <f t="shared" si="16"/>
        <v>CITY OF PALACIOS</v>
      </c>
      <c r="D1075" t="b">
        <v>0</v>
      </c>
    </row>
    <row r="1076" spans="1:4" x14ac:dyDescent="0.25">
      <c r="A1076" t="s">
        <v>1954</v>
      </c>
      <c r="B1076">
        <v>0.65</v>
      </c>
      <c r="C1076" t="str">
        <f t="shared" si="16"/>
        <v>VALERO REFINING TEXAS LP</v>
      </c>
      <c r="D1076" t="b">
        <v>0</v>
      </c>
    </row>
    <row r="1077" spans="1:4" x14ac:dyDescent="0.25">
      <c r="A1077" t="s">
        <v>920</v>
      </c>
      <c r="B1077">
        <v>0.65</v>
      </c>
      <c r="C1077" t="str">
        <f t="shared" si="16"/>
        <v>OPTIMUS STEEL LLC</v>
      </c>
      <c r="D1077" t="b">
        <v>0</v>
      </c>
    </row>
    <row r="1078" spans="1:4" x14ac:dyDescent="0.25">
      <c r="A1078" t="s">
        <v>489</v>
      </c>
      <c r="B1078">
        <v>0.64900000000000002</v>
      </c>
      <c r="C1078" t="str">
        <f t="shared" si="16"/>
        <v>CITY OF LA GRANGE</v>
      </c>
      <c r="D1078" t="b">
        <v>0</v>
      </c>
    </row>
    <row r="1079" spans="1:4" x14ac:dyDescent="0.25">
      <c r="A1079" t="s">
        <v>54</v>
      </c>
      <c r="B1079">
        <v>0.64800000000000002</v>
      </c>
      <c r="C1079" t="str">
        <f t="shared" si="16"/>
        <v>US DEPT OF THE ARMY</v>
      </c>
      <c r="D1079" t="b">
        <v>0</v>
      </c>
    </row>
    <row r="1080" spans="1:4" x14ac:dyDescent="0.25">
      <c r="A1080" t="s">
        <v>66</v>
      </c>
      <c r="B1080">
        <v>0.64700000000000002</v>
      </c>
      <c r="C1080" t="str">
        <f t="shared" si="16"/>
        <v>BELL COUNTY WCID 3</v>
      </c>
      <c r="D1080" t="b">
        <v>0</v>
      </c>
    </row>
    <row r="1081" spans="1:4" x14ac:dyDescent="0.25">
      <c r="A1081" t="s">
        <v>1592</v>
      </c>
      <c r="B1081">
        <v>0.64689362962962971</v>
      </c>
      <c r="C1081" t="str">
        <f t="shared" si="16"/>
        <v>CITY OF ARCOLA</v>
      </c>
      <c r="D1081" t="b">
        <v>0</v>
      </c>
    </row>
    <row r="1082" spans="1:4" x14ac:dyDescent="0.25">
      <c r="A1082" t="s">
        <v>133</v>
      </c>
      <c r="B1082">
        <v>0.64654800000000001</v>
      </c>
      <c r="C1082" t="str">
        <f t="shared" si="16"/>
        <v>CITY OF CALDWELL</v>
      </c>
      <c r="D1082" t="b">
        <v>0</v>
      </c>
    </row>
    <row r="1083" spans="1:4" x14ac:dyDescent="0.25">
      <c r="A1083" t="s">
        <v>1867</v>
      </c>
      <c r="B1083">
        <v>0.64600000000000002</v>
      </c>
      <c r="C1083" t="str">
        <f t="shared" si="16"/>
        <v>CITY OF HOUSTON</v>
      </c>
      <c r="D1083" t="b">
        <v>0</v>
      </c>
    </row>
    <row r="1084" spans="1:4" x14ac:dyDescent="0.25">
      <c r="A1084" t="s">
        <v>1136</v>
      </c>
      <c r="B1084">
        <v>0.64500000000000002</v>
      </c>
      <c r="C1084" t="str">
        <f t="shared" si="16"/>
        <v>CITY OF MATHIS</v>
      </c>
      <c r="D1084" t="b">
        <v>0</v>
      </c>
    </row>
    <row r="1085" spans="1:4" x14ac:dyDescent="0.25">
      <c r="A1085" t="s">
        <v>285</v>
      </c>
      <c r="B1085">
        <v>0.64400000000000002</v>
      </c>
      <c r="C1085" t="str">
        <f t="shared" si="16"/>
        <v>CITY OF WEST</v>
      </c>
      <c r="D1085" t="b">
        <v>0</v>
      </c>
    </row>
    <row r="1086" spans="1:4" x14ac:dyDescent="0.25">
      <c r="A1086" t="s">
        <v>726</v>
      </c>
      <c r="B1086">
        <v>0.64300000000000002</v>
      </c>
      <c r="C1086" t="str">
        <f t="shared" si="16"/>
        <v>CITY OF EDNA</v>
      </c>
      <c r="D1086" t="b">
        <v>0</v>
      </c>
    </row>
    <row r="1087" spans="1:4" x14ac:dyDescent="0.25">
      <c r="A1087" t="s">
        <v>367</v>
      </c>
      <c r="B1087">
        <v>0.64200000000000002</v>
      </c>
      <c r="C1087" t="str">
        <f t="shared" si="16"/>
        <v>PRAIRIE VIEW A&amp;M UNIVERSITY</v>
      </c>
      <c r="D1087" t="b">
        <v>0</v>
      </c>
    </row>
    <row r="1088" spans="1:4" x14ac:dyDescent="0.25">
      <c r="A1088" t="s">
        <v>1740</v>
      </c>
      <c r="B1088">
        <v>0.64</v>
      </c>
      <c r="C1088" t="str">
        <f t="shared" si="16"/>
        <v>ALBEMARLE CORP</v>
      </c>
      <c r="D1088" t="b">
        <v>0</v>
      </c>
    </row>
    <row r="1089" spans="1:4" x14ac:dyDescent="0.25">
      <c r="A1089" t="s">
        <v>1505</v>
      </c>
      <c r="B1089">
        <v>0.64</v>
      </c>
      <c r="C1089" t="str">
        <f t="shared" si="16"/>
        <v>CITY PUBLIC SERVICE OF SAN ANTONIO</v>
      </c>
      <c r="D1089" t="b">
        <v>0</v>
      </c>
    </row>
    <row r="1090" spans="1:4" x14ac:dyDescent="0.25">
      <c r="A1090" t="s">
        <v>543</v>
      </c>
      <c r="B1090">
        <v>0.64</v>
      </c>
      <c r="C1090" t="str">
        <f t="shared" ref="C1090:C1153" si="17">VLOOKUP(A1090,PERMITTEES,2,FALSE)</f>
        <v>CITY OF MANOR</v>
      </c>
      <c r="D1090" t="b">
        <v>0</v>
      </c>
    </row>
    <row r="1091" spans="1:4" x14ac:dyDescent="0.25">
      <c r="A1091" t="s">
        <v>1229</v>
      </c>
      <c r="B1091">
        <v>0.64</v>
      </c>
      <c r="C1091" t="e">
        <f t="shared" si="17"/>
        <v>#N/A</v>
      </c>
      <c r="D1091" t="b">
        <v>0</v>
      </c>
    </row>
    <row r="1092" spans="1:4" x14ac:dyDescent="0.25">
      <c r="A1092" t="s">
        <v>573</v>
      </c>
      <c r="B1092">
        <v>0.63870000000000005</v>
      </c>
      <c r="C1092" t="str">
        <f t="shared" si="17"/>
        <v>CITY OF JEFFERSON</v>
      </c>
      <c r="D1092" t="b">
        <v>0</v>
      </c>
    </row>
    <row r="1093" spans="1:4" x14ac:dyDescent="0.25">
      <c r="A1093" t="s">
        <v>301</v>
      </c>
      <c r="B1093">
        <v>0.63800000000000001</v>
      </c>
      <c r="C1093" t="str">
        <f t="shared" si="17"/>
        <v>CITY OF ROCKDALE</v>
      </c>
      <c r="D1093" t="b">
        <v>0</v>
      </c>
    </row>
    <row r="1094" spans="1:4" x14ac:dyDescent="0.25">
      <c r="A1094" t="s">
        <v>1850</v>
      </c>
      <c r="B1094">
        <v>0.63700000000000001</v>
      </c>
      <c r="C1094" t="str">
        <f t="shared" si="17"/>
        <v>MOUNT HOUSTON ROAD MUD</v>
      </c>
      <c r="D1094" t="b">
        <v>0</v>
      </c>
    </row>
    <row r="1095" spans="1:4" x14ac:dyDescent="0.25">
      <c r="A1095" t="s">
        <v>2419</v>
      </c>
      <c r="B1095">
        <v>0.63700000000000001</v>
      </c>
      <c r="C1095" t="str">
        <f t="shared" si="17"/>
        <v>CITY OF WILLIS</v>
      </c>
      <c r="D1095" t="b">
        <v>0</v>
      </c>
    </row>
    <row r="1096" spans="1:4" x14ac:dyDescent="0.25">
      <c r="A1096" t="s">
        <v>197</v>
      </c>
      <c r="B1096">
        <v>0.63200000000000001</v>
      </c>
      <c r="C1096" t="e">
        <f t="shared" si="17"/>
        <v>#N/A</v>
      </c>
      <c r="D1096" t="b">
        <v>0</v>
      </c>
    </row>
    <row r="1097" spans="1:4" x14ac:dyDescent="0.25">
      <c r="A1097" t="s">
        <v>998</v>
      </c>
      <c r="B1097">
        <v>0.63060000000000005</v>
      </c>
      <c r="C1097" t="str">
        <f t="shared" si="17"/>
        <v>MILITARY HWY  WSC</v>
      </c>
      <c r="D1097" t="b">
        <v>0</v>
      </c>
    </row>
    <row r="1098" spans="1:4" x14ac:dyDescent="0.25">
      <c r="A1098" t="s">
        <v>237</v>
      </c>
      <c r="B1098">
        <v>0.627</v>
      </c>
      <c r="C1098" t="str">
        <f t="shared" si="17"/>
        <v>BRAZOS REGIONAL PUBLIC UTILITY AGENCY</v>
      </c>
      <c r="D1098" t="b">
        <v>0</v>
      </c>
    </row>
    <row r="1099" spans="1:4" x14ac:dyDescent="0.25">
      <c r="A1099" t="s">
        <v>240</v>
      </c>
      <c r="B1099">
        <v>0.625</v>
      </c>
      <c r="C1099" t="str">
        <f t="shared" si="17"/>
        <v>ACTON MUD</v>
      </c>
      <c r="D1099" t="b">
        <v>0</v>
      </c>
    </row>
    <row r="1100" spans="1:4" x14ac:dyDescent="0.25">
      <c r="A1100" t="s">
        <v>548</v>
      </c>
      <c r="B1100">
        <v>0.624</v>
      </c>
      <c r="C1100" t="str">
        <f t="shared" si="17"/>
        <v>SWWC UTILITIES INC</v>
      </c>
      <c r="D1100" t="b">
        <v>0</v>
      </c>
    </row>
    <row r="1101" spans="1:4" x14ac:dyDescent="0.25">
      <c r="A1101" t="s">
        <v>1683</v>
      </c>
      <c r="B1101">
        <v>0.62339999999999995</v>
      </c>
      <c r="C1101" t="str">
        <f t="shared" si="17"/>
        <v>LBC HOUSTON LP</v>
      </c>
      <c r="D1101" t="b">
        <v>0</v>
      </c>
    </row>
    <row r="1102" spans="1:4" x14ac:dyDescent="0.25">
      <c r="A1102" t="s">
        <v>1284</v>
      </c>
      <c r="B1102">
        <v>0.622</v>
      </c>
      <c r="C1102" t="str">
        <f t="shared" si="17"/>
        <v>POLYNT COMPOSITES USA INC</v>
      </c>
      <c r="D1102" t="b">
        <v>0</v>
      </c>
    </row>
    <row r="1103" spans="1:4" x14ac:dyDescent="0.25">
      <c r="A1103" t="s">
        <v>1701</v>
      </c>
      <c r="B1103">
        <v>0.62187099999999995</v>
      </c>
      <c r="C1103" t="str">
        <f t="shared" si="17"/>
        <v>FORT BEND COUNTY MUD NO 34</v>
      </c>
      <c r="D1103" t="b">
        <v>0</v>
      </c>
    </row>
    <row r="1104" spans="1:4" x14ac:dyDescent="0.25">
      <c r="A1104" t="s">
        <v>388</v>
      </c>
      <c r="B1104">
        <v>0.621591</v>
      </c>
      <c r="C1104" t="str">
        <f t="shared" si="17"/>
        <v>CITY OF JARRELL</v>
      </c>
      <c r="D1104" t="b">
        <v>0</v>
      </c>
    </row>
    <row r="1105" spans="1:4" x14ac:dyDescent="0.25">
      <c r="A1105" t="s">
        <v>1060</v>
      </c>
      <c r="B1105">
        <v>0.62</v>
      </c>
      <c r="C1105" t="str">
        <f t="shared" si="17"/>
        <v>FLINT HILLS RESOURCES CORPUS CHRISTI LLC</v>
      </c>
      <c r="D1105" t="b">
        <v>0</v>
      </c>
    </row>
    <row r="1106" spans="1:4" x14ac:dyDescent="0.25">
      <c r="A1106" t="s">
        <v>1827</v>
      </c>
      <c r="B1106">
        <v>0.62</v>
      </c>
      <c r="C1106" t="str">
        <f t="shared" si="17"/>
        <v>TEXAS MEDICAL CENTER CENTRAL HEATING &amp; COOLING SERVICES CORP</v>
      </c>
      <c r="D1106" t="b">
        <v>0</v>
      </c>
    </row>
    <row r="1107" spans="1:4" x14ac:dyDescent="0.25">
      <c r="A1107" t="s">
        <v>1912</v>
      </c>
      <c r="B1107">
        <v>0.62</v>
      </c>
      <c r="C1107" t="str">
        <f t="shared" si="17"/>
        <v>WESTLAKE MUD NO 1</v>
      </c>
      <c r="D1107" t="b">
        <v>0</v>
      </c>
    </row>
    <row r="1108" spans="1:4" x14ac:dyDescent="0.25">
      <c r="A1108" t="s">
        <v>1987</v>
      </c>
      <c r="B1108">
        <v>0.62</v>
      </c>
      <c r="C1108" t="str">
        <f t="shared" si="17"/>
        <v>CASTLEWOOD MUD</v>
      </c>
      <c r="D1108" t="b">
        <v>0</v>
      </c>
    </row>
    <row r="1109" spans="1:4" x14ac:dyDescent="0.25">
      <c r="A1109" t="s">
        <v>2096</v>
      </c>
      <c r="B1109">
        <v>0.62</v>
      </c>
      <c r="C1109" t="str">
        <f t="shared" si="17"/>
        <v>EQUISTAR CHEMICALS LP</v>
      </c>
      <c r="D1109" t="b">
        <v>0</v>
      </c>
    </row>
    <row r="1110" spans="1:4" x14ac:dyDescent="0.25">
      <c r="A1110" t="s">
        <v>1997</v>
      </c>
      <c r="B1110">
        <v>0.61899999999999999</v>
      </c>
      <c r="C1110" t="str">
        <f t="shared" si="17"/>
        <v>FAULKEY GULLY MUD</v>
      </c>
      <c r="D1110" t="b">
        <v>0</v>
      </c>
    </row>
    <row r="1111" spans="1:4" x14ac:dyDescent="0.25">
      <c r="A1111" t="s">
        <v>2627</v>
      </c>
      <c r="B1111">
        <v>0.61799999999999999</v>
      </c>
      <c r="C1111" t="str">
        <f t="shared" si="17"/>
        <v>CHEVRON PHILLIPS CHEMICAL CO LP</v>
      </c>
      <c r="D1111" t="b">
        <v>0</v>
      </c>
    </row>
    <row r="1112" spans="1:4" x14ac:dyDescent="0.25">
      <c r="A1112" t="s">
        <v>2375</v>
      </c>
      <c r="B1112">
        <v>0.61636000000000002</v>
      </c>
      <c r="C1112" t="str">
        <f t="shared" si="17"/>
        <v>KINDER MORGAN CRUDE &amp; CONDENSATE LLC</v>
      </c>
      <c r="D1112" t="b">
        <v>0</v>
      </c>
    </row>
    <row r="1113" spans="1:4" x14ac:dyDescent="0.25">
      <c r="A1113" t="s">
        <v>2312</v>
      </c>
      <c r="B1113">
        <v>0.61499999999999999</v>
      </c>
      <c r="C1113" t="str">
        <f t="shared" si="17"/>
        <v>HARRIS COUNTY MUD NO 418</v>
      </c>
      <c r="D1113" t="b">
        <v>0</v>
      </c>
    </row>
    <row r="1114" spans="1:4" x14ac:dyDescent="0.25">
      <c r="A1114" t="s">
        <v>680</v>
      </c>
      <c r="B1114">
        <v>0.61439999999999995</v>
      </c>
      <c r="C1114" t="str">
        <f t="shared" si="17"/>
        <v>AQUA TEXAS INC</v>
      </c>
      <c r="D1114" t="b">
        <v>0</v>
      </c>
    </row>
    <row r="1115" spans="1:4" x14ac:dyDescent="0.25">
      <c r="A1115" t="s">
        <v>1500</v>
      </c>
      <c r="B1115">
        <v>0.61399999999999999</v>
      </c>
      <c r="C1115" t="str">
        <f t="shared" si="17"/>
        <v>CITY PUBLIC SERVICE OF SAN ANTONIO</v>
      </c>
      <c r="D1115" t="b">
        <v>0</v>
      </c>
    </row>
    <row r="1116" spans="1:4" x14ac:dyDescent="0.25">
      <c r="A1116" t="s">
        <v>2844</v>
      </c>
      <c r="B1116">
        <v>0.61199999999999999</v>
      </c>
      <c r="C1116" t="str">
        <f t="shared" si="17"/>
        <v>CITY OF WEATHERFORD MUNICIPAL UTILITY BOARD OF TRUSTEES</v>
      </c>
      <c r="D1116" t="b">
        <v>0</v>
      </c>
    </row>
    <row r="1117" spans="1:4" x14ac:dyDescent="0.25">
      <c r="A1117" t="s">
        <v>199</v>
      </c>
      <c r="B1117">
        <v>0.61199999999999999</v>
      </c>
      <c r="C1117" t="str">
        <f t="shared" si="17"/>
        <v>FORT BEND COUNTY MUD NO 152</v>
      </c>
      <c r="D1117" t="b">
        <v>0</v>
      </c>
    </row>
    <row r="1118" spans="1:4" x14ac:dyDescent="0.25">
      <c r="A1118" t="s">
        <v>482</v>
      </c>
      <c r="B1118">
        <v>0.60699999999999998</v>
      </c>
      <c r="C1118" t="str">
        <f t="shared" si="17"/>
        <v>CITY OF EAGLE LAKE</v>
      </c>
      <c r="D1118" t="b">
        <v>0</v>
      </c>
    </row>
    <row r="1119" spans="1:4" x14ac:dyDescent="0.25">
      <c r="A1119" t="s">
        <v>2106</v>
      </c>
      <c r="B1119">
        <v>0.60399999999999998</v>
      </c>
      <c r="C1119" t="str">
        <f t="shared" si="17"/>
        <v>CITY OF HOUSTON</v>
      </c>
      <c r="D1119" t="b">
        <v>0</v>
      </c>
    </row>
    <row r="1120" spans="1:4" x14ac:dyDescent="0.25">
      <c r="A1120" t="s">
        <v>2792</v>
      </c>
      <c r="B1120">
        <v>0.60299999999999998</v>
      </c>
      <c r="C1120" t="str">
        <f t="shared" si="17"/>
        <v>CITY OF CRANDALL</v>
      </c>
      <c r="D1120" t="b">
        <v>0</v>
      </c>
    </row>
    <row r="1121" spans="1:4" x14ac:dyDescent="0.25">
      <c r="A1121" t="s">
        <v>591</v>
      </c>
      <c r="B1121">
        <v>0.6</v>
      </c>
      <c r="C1121" t="str">
        <f t="shared" si="17"/>
        <v>LUMINANT GENERATION CO LLC</v>
      </c>
      <c r="D1121" t="b">
        <v>0</v>
      </c>
    </row>
    <row r="1122" spans="1:4" x14ac:dyDescent="0.25">
      <c r="A1122" t="s">
        <v>865</v>
      </c>
      <c r="B1122">
        <v>0.6</v>
      </c>
      <c r="C1122" t="str">
        <f t="shared" si="17"/>
        <v>HUNTSMAN(H) PETROCHEM;H INTRNTL FUELS;H PROPY OXIDE;BLUEHALL;TPC GROUP</v>
      </c>
      <c r="D1122" t="b">
        <v>0</v>
      </c>
    </row>
    <row r="1123" spans="1:4" x14ac:dyDescent="0.25">
      <c r="A1123" t="s">
        <v>794</v>
      </c>
      <c r="B1123">
        <v>0.6</v>
      </c>
      <c r="C1123" t="str">
        <f t="shared" si="17"/>
        <v>CITY OF HUDSON</v>
      </c>
      <c r="D1123" t="b">
        <v>0</v>
      </c>
    </row>
    <row r="1124" spans="1:4" x14ac:dyDescent="0.25">
      <c r="A1124" t="s">
        <v>549</v>
      </c>
      <c r="B1124">
        <v>0.6</v>
      </c>
      <c r="C1124" t="str">
        <f t="shared" si="17"/>
        <v>BASTROP ENERGY PARTNERS LP</v>
      </c>
      <c r="D1124" t="b">
        <v>0</v>
      </c>
    </row>
    <row r="1125" spans="1:4" x14ac:dyDescent="0.25">
      <c r="A1125" t="s">
        <v>113</v>
      </c>
      <c r="B1125">
        <v>0.6</v>
      </c>
      <c r="C1125" t="str">
        <f t="shared" si="17"/>
        <v>TEXAS BARGE AND BOAT INC</v>
      </c>
      <c r="D1125" t="b">
        <v>0</v>
      </c>
    </row>
    <row r="1126" spans="1:4" x14ac:dyDescent="0.25">
      <c r="A1126" t="s">
        <v>986</v>
      </c>
      <c r="B1126">
        <v>0.59899999999999998</v>
      </c>
      <c r="C1126" t="str">
        <f t="shared" si="17"/>
        <v>CITY OF LOS FRESNOS</v>
      </c>
      <c r="D1126" t="b">
        <v>0</v>
      </c>
    </row>
    <row r="1127" spans="1:4" x14ac:dyDescent="0.25">
      <c r="A1127" t="s">
        <v>2609</v>
      </c>
      <c r="B1127">
        <v>0.59799999999999998</v>
      </c>
      <c r="C1127" t="str">
        <f t="shared" si="17"/>
        <v>CHEVRON PHILLIPS CHEMICAL CO LP</v>
      </c>
      <c r="D1127" t="b">
        <v>0</v>
      </c>
    </row>
    <row r="1128" spans="1:4" x14ac:dyDescent="0.25">
      <c r="A1128" t="s">
        <v>2368</v>
      </c>
      <c r="B1128">
        <v>0.59799999999999998</v>
      </c>
      <c r="C1128" t="str">
        <f t="shared" si="17"/>
        <v>GREENS PORT CBR LLC</v>
      </c>
      <c r="D1128" t="b">
        <v>0</v>
      </c>
    </row>
    <row r="1129" spans="1:4" x14ac:dyDescent="0.25">
      <c r="A1129" t="s">
        <v>2267</v>
      </c>
      <c r="B1129">
        <v>0.59603300000000004</v>
      </c>
      <c r="C1129" t="str">
        <f t="shared" si="17"/>
        <v>HUNTERS GLEN MUD</v>
      </c>
      <c r="D1129" t="b">
        <v>0</v>
      </c>
    </row>
    <row r="1130" spans="1:4" x14ac:dyDescent="0.25">
      <c r="A1130" t="s">
        <v>994</v>
      </c>
      <c r="B1130">
        <v>0.59597299999999997</v>
      </c>
      <c r="C1130" t="str">
        <f t="shared" si="17"/>
        <v>PEN JOINT TENANTS AND NORTH CAMERON RWSC</v>
      </c>
      <c r="D1130" t="b">
        <v>0</v>
      </c>
    </row>
    <row r="1131" spans="1:4" x14ac:dyDescent="0.25">
      <c r="A1131" t="s">
        <v>820</v>
      </c>
      <c r="B1131">
        <v>0.5958</v>
      </c>
      <c r="C1131" t="str">
        <f t="shared" si="17"/>
        <v>CITY OF SOUR LAKE</v>
      </c>
      <c r="D1131" t="b">
        <v>0</v>
      </c>
    </row>
    <row r="1132" spans="1:4" x14ac:dyDescent="0.25">
      <c r="A1132" t="s">
        <v>1212</v>
      </c>
      <c r="B1132">
        <v>0.59499999999999997</v>
      </c>
      <c r="C1132" t="str">
        <f t="shared" si="17"/>
        <v>EL PASO COUNTY WCID NO 4</v>
      </c>
      <c r="D1132" t="b">
        <v>0</v>
      </c>
    </row>
    <row r="1133" spans="1:4" x14ac:dyDescent="0.25">
      <c r="A1133" t="s">
        <v>1220</v>
      </c>
      <c r="B1133">
        <v>0.59499999999999997</v>
      </c>
      <c r="C1133" t="e">
        <f t="shared" si="17"/>
        <v>#N/A</v>
      </c>
      <c r="D1133" t="b">
        <v>0</v>
      </c>
    </row>
    <row r="1134" spans="1:4" x14ac:dyDescent="0.25">
      <c r="A1134" t="s">
        <v>972</v>
      </c>
      <c r="B1134">
        <v>0.59399999999999997</v>
      </c>
      <c r="C1134" t="str">
        <f t="shared" si="17"/>
        <v>CITY OF VAN</v>
      </c>
      <c r="D1134" t="b">
        <v>0</v>
      </c>
    </row>
    <row r="1135" spans="1:4" x14ac:dyDescent="0.25">
      <c r="A1135" t="s">
        <v>2116</v>
      </c>
      <c r="B1135">
        <v>0.58967700000000001</v>
      </c>
      <c r="C1135" t="str">
        <f t="shared" si="17"/>
        <v>NOTTINGHAM COUNTRY MUD</v>
      </c>
      <c r="D1135" t="b">
        <v>0</v>
      </c>
    </row>
    <row r="1136" spans="1:4" x14ac:dyDescent="0.25">
      <c r="A1136" t="s">
        <v>804</v>
      </c>
      <c r="B1136">
        <v>0.58542000000000005</v>
      </c>
      <c r="C1136" t="str">
        <f t="shared" si="17"/>
        <v>CITY OF BULLARD</v>
      </c>
      <c r="D1136" t="b">
        <v>0</v>
      </c>
    </row>
    <row r="1137" spans="1:4" x14ac:dyDescent="0.25">
      <c r="A1137" t="s">
        <v>150</v>
      </c>
      <c r="B1137">
        <v>0.58199999999999996</v>
      </c>
      <c r="C1137" t="str">
        <f t="shared" si="17"/>
        <v>CITY OF CISCO</v>
      </c>
      <c r="D1137" t="b">
        <v>0</v>
      </c>
    </row>
    <row r="1138" spans="1:4" x14ac:dyDescent="0.25">
      <c r="A1138" t="s">
        <v>2417</v>
      </c>
      <c r="B1138">
        <v>0.58199999999999996</v>
      </c>
      <c r="C1138" t="str">
        <f t="shared" si="17"/>
        <v>SAN JACINTO RIVER AUTHORITY</v>
      </c>
      <c r="D1138" t="b">
        <v>0</v>
      </c>
    </row>
    <row r="1139" spans="1:4" x14ac:dyDescent="0.25">
      <c r="A1139" t="s">
        <v>2699</v>
      </c>
      <c r="B1139">
        <v>0.57999999999999996</v>
      </c>
      <c r="C1139" t="str">
        <f t="shared" si="17"/>
        <v>UPPER TRINITY REGIONAL WATER DISTRICT</v>
      </c>
      <c r="D1139" t="b">
        <v>0</v>
      </c>
    </row>
    <row r="1140" spans="1:4" x14ac:dyDescent="0.25">
      <c r="A1140" t="s">
        <v>1859</v>
      </c>
      <c r="B1140">
        <v>0.57699999999999996</v>
      </c>
      <c r="C1140" t="str">
        <f t="shared" si="17"/>
        <v>DOWDELL PUD</v>
      </c>
      <c r="D1140" t="b">
        <v>0</v>
      </c>
    </row>
    <row r="1141" spans="1:4" x14ac:dyDescent="0.25">
      <c r="A1141" t="s">
        <v>107</v>
      </c>
      <c r="B1141">
        <v>0.57699999999999996</v>
      </c>
      <c r="C1141" t="str">
        <f t="shared" si="17"/>
        <v>SHINTECH INC</v>
      </c>
      <c r="D1141" t="b">
        <v>0</v>
      </c>
    </row>
    <row r="1142" spans="1:4" x14ac:dyDescent="0.25">
      <c r="A1142" t="s">
        <v>1199</v>
      </c>
      <c r="B1142">
        <v>0.57689900000000005</v>
      </c>
      <c r="C1142" t="str">
        <f t="shared" si="17"/>
        <v>SOLVAY USA INC</v>
      </c>
      <c r="D1142" t="b">
        <v>0</v>
      </c>
    </row>
    <row r="1143" spans="1:4" x14ac:dyDescent="0.25">
      <c r="A1143" t="s">
        <v>102</v>
      </c>
      <c r="B1143">
        <v>0.57599999999999996</v>
      </c>
      <c r="C1143" t="str">
        <f t="shared" si="17"/>
        <v>SHINTECH INC</v>
      </c>
      <c r="D1143" t="b">
        <v>0</v>
      </c>
    </row>
    <row r="1144" spans="1:4" x14ac:dyDescent="0.25">
      <c r="A1144" t="s">
        <v>2234</v>
      </c>
      <c r="B1144">
        <v>0.57599999999999996</v>
      </c>
      <c r="C1144" t="str">
        <f t="shared" si="17"/>
        <v>PHILLIPS 66 PIPELINE LLC AND PHILLIPS 66 CARRIER LLC</v>
      </c>
      <c r="D1144" t="b">
        <v>0</v>
      </c>
    </row>
    <row r="1145" spans="1:4" x14ac:dyDescent="0.25">
      <c r="A1145" t="s">
        <v>1066</v>
      </c>
      <c r="B1145">
        <v>0.57499999999999996</v>
      </c>
      <c r="C1145" t="str">
        <f t="shared" si="17"/>
        <v>US DEPT OF THE NAVY</v>
      </c>
      <c r="D1145" t="b">
        <v>0</v>
      </c>
    </row>
    <row r="1146" spans="1:4" x14ac:dyDescent="0.25">
      <c r="A1146" t="s">
        <v>2042</v>
      </c>
      <c r="B1146">
        <v>0.57499999999999996</v>
      </c>
      <c r="C1146" t="str">
        <f t="shared" si="17"/>
        <v>HARRIS COUNTY MUD 86</v>
      </c>
      <c r="D1146" t="b">
        <v>0</v>
      </c>
    </row>
    <row r="1147" spans="1:4" x14ac:dyDescent="0.25">
      <c r="A1147" t="s">
        <v>1461</v>
      </c>
      <c r="B1147">
        <v>0.57369999999999999</v>
      </c>
      <c r="C1147" t="str">
        <f t="shared" si="17"/>
        <v>CITY OF BEEVILLE</v>
      </c>
      <c r="D1147" t="b">
        <v>0</v>
      </c>
    </row>
    <row r="1148" spans="1:4" x14ac:dyDescent="0.25">
      <c r="A1148" t="s">
        <v>2018</v>
      </c>
      <c r="B1148">
        <v>0.57299999999999995</v>
      </c>
      <c r="C1148" t="str">
        <f t="shared" si="17"/>
        <v>NORTHWEST HARRIS COUNTY MUD 9</v>
      </c>
      <c r="D1148" t="b">
        <v>0</v>
      </c>
    </row>
    <row r="1149" spans="1:4" x14ac:dyDescent="0.25">
      <c r="A1149" t="s">
        <v>8</v>
      </c>
      <c r="B1149">
        <v>0.57199999999999995</v>
      </c>
      <c r="C1149" t="str">
        <f t="shared" si="17"/>
        <v>TEXAS DEPT OF CRIMINAL JUSTICE</v>
      </c>
      <c r="D1149" t="b">
        <v>0</v>
      </c>
    </row>
    <row r="1150" spans="1:4" x14ac:dyDescent="0.25">
      <c r="A1150" t="s">
        <v>1705</v>
      </c>
      <c r="B1150">
        <v>0.57199999999999995</v>
      </c>
      <c r="C1150" t="str">
        <f t="shared" si="17"/>
        <v>CINCO MUD NO 1</v>
      </c>
      <c r="D1150" t="b">
        <v>0</v>
      </c>
    </row>
    <row r="1151" spans="1:4" x14ac:dyDescent="0.25">
      <c r="A1151" t="s">
        <v>2545</v>
      </c>
      <c r="B1151">
        <v>0.57099999999999995</v>
      </c>
      <c r="C1151" t="str">
        <f t="shared" si="17"/>
        <v>TURNER INDUSTRIES GROUP LLC</v>
      </c>
      <c r="D1151" t="b">
        <v>0</v>
      </c>
    </row>
    <row r="1152" spans="1:4" x14ac:dyDescent="0.25">
      <c r="A1152" t="s">
        <v>153</v>
      </c>
      <c r="B1152">
        <v>0.57014100000000001</v>
      </c>
      <c r="C1152" t="str">
        <f t="shared" si="17"/>
        <v>CITY OF RANGER</v>
      </c>
      <c r="D1152" t="b">
        <v>0</v>
      </c>
    </row>
    <row r="1153" spans="1:4" x14ac:dyDescent="0.25">
      <c r="A1153" t="s">
        <v>2840</v>
      </c>
      <c r="B1153">
        <v>0.56999999999999995</v>
      </c>
      <c r="C1153" t="str">
        <f t="shared" si="17"/>
        <v>CITY OF SPRINGTOWN</v>
      </c>
      <c r="D1153" t="b">
        <v>0</v>
      </c>
    </row>
    <row r="1154" spans="1:4" x14ac:dyDescent="0.25">
      <c r="A1154" t="s">
        <v>2016</v>
      </c>
      <c r="B1154">
        <v>0.56999999999999995</v>
      </c>
      <c r="C1154" t="str">
        <f t="shared" ref="C1154:C1217" si="18">VLOOKUP(A1154,PERMITTEES,2,FALSE)</f>
        <v>NORTHWEST HARRIS COUNTY MUD 10</v>
      </c>
      <c r="D1154" t="b">
        <v>0</v>
      </c>
    </row>
    <row r="1155" spans="1:4" x14ac:dyDescent="0.25">
      <c r="A1155" t="s">
        <v>507</v>
      </c>
      <c r="B1155">
        <v>0.56999999999999995</v>
      </c>
      <c r="C1155" t="str">
        <f t="shared" si="18"/>
        <v>COLORADO RIVER MWD</v>
      </c>
      <c r="D1155" t="b">
        <v>0</v>
      </c>
    </row>
    <row r="1156" spans="1:4" x14ac:dyDescent="0.25">
      <c r="A1156" t="s">
        <v>318</v>
      </c>
      <c r="B1156">
        <v>0.56899999999999995</v>
      </c>
      <c r="C1156" t="str">
        <f t="shared" si="18"/>
        <v>POSSUM KINGDOM WSC</v>
      </c>
      <c r="D1156" t="b">
        <v>0</v>
      </c>
    </row>
    <row r="1157" spans="1:4" x14ac:dyDescent="0.25">
      <c r="A1157" t="s">
        <v>583</v>
      </c>
      <c r="B1157">
        <v>0.56799999999999995</v>
      </c>
      <c r="C1157" t="str">
        <f t="shared" si="18"/>
        <v>CITY OF DAINGERFIELD</v>
      </c>
      <c r="D1157" t="b">
        <v>0</v>
      </c>
    </row>
    <row r="1158" spans="1:4" x14ac:dyDescent="0.25">
      <c r="A1158" t="s">
        <v>2403</v>
      </c>
      <c r="B1158">
        <v>0.56699999999999995</v>
      </c>
      <c r="C1158" t="e">
        <f t="shared" si="18"/>
        <v>#N/A</v>
      </c>
      <c r="D1158" t="b">
        <v>0</v>
      </c>
    </row>
    <row r="1159" spans="1:4" x14ac:dyDescent="0.25">
      <c r="A1159" t="s">
        <v>1474</v>
      </c>
      <c r="B1159">
        <v>0.56699999999999995</v>
      </c>
      <c r="C1159" t="str">
        <f t="shared" si="18"/>
        <v>CITY OF TAFT</v>
      </c>
      <c r="D1159" t="b">
        <v>0</v>
      </c>
    </row>
    <row r="1160" spans="1:4" x14ac:dyDescent="0.25">
      <c r="A1160" t="s">
        <v>1032</v>
      </c>
      <c r="B1160">
        <v>0.56699999999999995</v>
      </c>
      <c r="C1160" t="str">
        <f t="shared" si="18"/>
        <v>JIM HOGG COUNTY WCID 2</v>
      </c>
      <c r="D1160" t="b">
        <v>0</v>
      </c>
    </row>
    <row r="1161" spans="1:4" x14ac:dyDescent="0.25">
      <c r="A1161" t="s">
        <v>625</v>
      </c>
      <c r="B1161">
        <v>0.56499999999999995</v>
      </c>
      <c r="C1161" t="str">
        <f t="shared" si="18"/>
        <v>SCHERTZ/SEGUIN LOCAL GOVERNMENT CORP</v>
      </c>
      <c r="D1161" t="b">
        <v>0</v>
      </c>
    </row>
    <row r="1162" spans="1:4" x14ac:dyDescent="0.25">
      <c r="A1162" t="s">
        <v>2374</v>
      </c>
      <c r="B1162">
        <v>0.56416999999999995</v>
      </c>
      <c r="C1162" t="str">
        <f t="shared" si="18"/>
        <v>KINDER MORGAN CRUDE &amp; CONDENSATE LLC</v>
      </c>
      <c r="D1162" t="b">
        <v>0</v>
      </c>
    </row>
    <row r="1163" spans="1:4" x14ac:dyDescent="0.25">
      <c r="A1163" t="s">
        <v>1528</v>
      </c>
      <c r="B1163">
        <v>0.56409200000000004</v>
      </c>
      <c r="C1163" t="str">
        <f t="shared" si="18"/>
        <v>CITY OF KARNES CITY</v>
      </c>
      <c r="D1163" t="b">
        <v>0</v>
      </c>
    </row>
    <row r="1164" spans="1:4" x14ac:dyDescent="0.25">
      <c r="A1164" t="s">
        <v>1571</v>
      </c>
      <c r="B1164">
        <v>0.56299999999999994</v>
      </c>
      <c r="C1164" t="str">
        <f t="shared" si="18"/>
        <v>CITY OF PEARLAND</v>
      </c>
      <c r="D1164" t="b">
        <v>0</v>
      </c>
    </row>
    <row r="1165" spans="1:4" x14ac:dyDescent="0.25">
      <c r="A1165" t="s">
        <v>2657</v>
      </c>
      <c r="B1165">
        <v>0.56100000000000005</v>
      </c>
      <c r="C1165" t="str">
        <f t="shared" si="18"/>
        <v>CITY OF MUENSTER</v>
      </c>
      <c r="D1165" t="b">
        <v>0</v>
      </c>
    </row>
    <row r="1166" spans="1:4" x14ac:dyDescent="0.25">
      <c r="A1166" t="s">
        <v>389</v>
      </c>
      <c r="B1166">
        <v>0.56000000000000005</v>
      </c>
      <c r="C1166" t="str">
        <f t="shared" si="18"/>
        <v>CITY OF HUTTO</v>
      </c>
      <c r="D1166" t="b">
        <v>0</v>
      </c>
    </row>
    <row r="1167" spans="1:4" x14ac:dyDescent="0.25">
      <c r="A1167" t="s">
        <v>2320</v>
      </c>
      <c r="B1167">
        <v>0.55900000000000005</v>
      </c>
      <c r="C1167" t="str">
        <f t="shared" si="18"/>
        <v>HARRIS COUNTY MUD NO 165</v>
      </c>
      <c r="D1167" t="b">
        <v>0</v>
      </c>
    </row>
    <row r="1168" spans="1:4" x14ac:dyDescent="0.25">
      <c r="A1168" t="s">
        <v>2772</v>
      </c>
      <c r="B1168">
        <v>0.55800000000000005</v>
      </c>
      <c r="C1168" t="str">
        <f t="shared" si="18"/>
        <v>CITY OF CROCKETT</v>
      </c>
      <c r="D1168" t="b">
        <v>0</v>
      </c>
    </row>
    <row r="1169" spans="1:4" x14ac:dyDescent="0.25">
      <c r="A1169" t="s">
        <v>2537</v>
      </c>
      <c r="B1169">
        <v>0.55800000000000005</v>
      </c>
      <c r="C1169" t="str">
        <f t="shared" si="18"/>
        <v>CITY OF LADONIA</v>
      </c>
      <c r="D1169" t="b">
        <v>0</v>
      </c>
    </row>
    <row r="1170" spans="1:4" x14ac:dyDescent="0.25">
      <c r="A1170" t="s">
        <v>739</v>
      </c>
      <c r="B1170">
        <v>0.55700000000000005</v>
      </c>
      <c r="C1170" t="str">
        <f t="shared" si="18"/>
        <v>CITY OF ANAHUAC &amp; TRINITY BAY CONSERV DIST</v>
      </c>
      <c r="D1170" t="b">
        <v>0</v>
      </c>
    </row>
    <row r="1171" spans="1:4" x14ac:dyDescent="0.25">
      <c r="A1171" t="s">
        <v>997</v>
      </c>
      <c r="B1171">
        <v>0.55400000000000005</v>
      </c>
      <c r="C1171" t="str">
        <f t="shared" si="18"/>
        <v>CITY OF LA FERIA</v>
      </c>
      <c r="D1171" t="b">
        <v>0</v>
      </c>
    </row>
    <row r="1172" spans="1:4" x14ac:dyDescent="0.25">
      <c r="A1172" t="s">
        <v>1194</v>
      </c>
      <c r="B1172">
        <v>0.55300000000000005</v>
      </c>
      <c r="C1172" t="str">
        <f t="shared" si="18"/>
        <v>CITY OF WICHITA FALLS</v>
      </c>
      <c r="D1172" t="b">
        <v>0</v>
      </c>
    </row>
    <row r="1173" spans="1:4" x14ac:dyDescent="0.25">
      <c r="A1173" t="s">
        <v>112</v>
      </c>
      <c r="B1173">
        <v>0.55300000000000005</v>
      </c>
      <c r="C1173" t="str">
        <f t="shared" si="18"/>
        <v>SHIN-ETSU SILICONES OF AMERICA INC</v>
      </c>
      <c r="D1173" t="b">
        <v>0</v>
      </c>
    </row>
    <row r="1174" spans="1:4" x14ac:dyDescent="0.25">
      <c r="A1174" t="s">
        <v>1441</v>
      </c>
      <c r="B1174">
        <v>0.55000000000000004</v>
      </c>
      <c r="C1174" t="str">
        <f t="shared" si="18"/>
        <v>CITY OF QUITMAN</v>
      </c>
      <c r="D1174" t="b">
        <v>0</v>
      </c>
    </row>
    <row r="1175" spans="1:4" x14ac:dyDescent="0.25">
      <c r="A1175" t="s">
        <v>2693</v>
      </c>
      <c r="B1175">
        <v>0.55000000000000004</v>
      </c>
      <c r="C1175" t="str">
        <f t="shared" si="18"/>
        <v>CITY OF HACKBERRY</v>
      </c>
      <c r="D1175" t="b">
        <v>0</v>
      </c>
    </row>
    <row r="1176" spans="1:4" x14ac:dyDescent="0.25">
      <c r="A1176" t="s">
        <v>772</v>
      </c>
      <c r="B1176">
        <v>0.55000000000000004</v>
      </c>
      <c r="C1176" t="str">
        <f t="shared" si="18"/>
        <v>FLINT HILLS RESOURCES PORT ARTHUR LLC</v>
      </c>
      <c r="D1176" t="b">
        <v>0</v>
      </c>
    </row>
    <row r="1177" spans="1:4" x14ac:dyDescent="0.25">
      <c r="A1177" t="s">
        <v>2408</v>
      </c>
      <c r="B1177">
        <v>0.54990000000000006</v>
      </c>
      <c r="C1177" t="str">
        <f t="shared" si="18"/>
        <v>RIVER PLANTATION MUD</v>
      </c>
      <c r="D1177" t="b">
        <v>0</v>
      </c>
    </row>
    <row r="1178" spans="1:4" x14ac:dyDescent="0.25">
      <c r="A1178" t="s">
        <v>2173</v>
      </c>
      <c r="B1178">
        <v>0.54900000000000004</v>
      </c>
      <c r="C1178" t="str">
        <f t="shared" si="18"/>
        <v>HARRIS COUNTY MUD 230</v>
      </c>
      <c r="D1178" t="b">
        <v>0</v>
      </c>
    </row>
    <row r="1179" spans="1:4" x14ac:dyDescent="0.25">
      <c r="A1179" t="s">
        <v>1255</v>
      </c>
      <c r="B1179">
        <v>0.54700000000000004</v>
      </c>
      <c r="C1179" t="str">
        <f t="shared" si="18"/>
        <v>WEBB COUNTY</v>
      </c>
      <c r="D1179" t="b">
        <v>0</v>
      </c>
    </row>
    <row r="1180" spans="1:4" x14ac:dyDescent="0.25">
      <c r="A1180" t="s">
        <v>2782</v>
      </c>
      <c r="B1180">
        <v>0.54579999999999995</v>
      </c>
      <c r="C1180" t="str">
        <f t="shared" si="18"/>
        <v>CITY OF KEENE</v>
      </c>
      <c r="D1180" t="b">
        <v>0</v>
      </c>
    </row>
    <row r="1181" spans="1:4" x14ac:dyDescent="0.25">
      <c r="A1181" t="s">
        <v>707</v>
      </c>
      <c r="B1181">
        <v>0.54520000000000002</v>
      </c>
      <c r="C1181" t="str">
        <f t="shared" si="18"/>
        <v>AQUA TEXAS INC</v>
      </c>
      <c r="D1181" t="b">
        <v>0</v>
      </c>
    </row>
    <row r="1182" spans="1:4" x14ac:dyDescent="0.25">
      <c r="A1182" t="s">
        <v>1845</v>
      </c>
      <c r="B1182">
        <v>0.54500000000000004</v>
      </c>
      <c r="C1182" t="str">
        <f t="shared" si="18"/>
        <v>HARRIS COUNTY FWSD NO 47</v>
      </c>
      <c r="D1182" t="b">
        <v>0</v>
      </c>
    </row>
    <row r="1183" spans="1:4" x14ac:dyDescent="0.25">
      <c r="A1183" t="s">
        <v>1837</v>
      </c>
      <c r="B1183">
        <v>0.54400000000000004</v>
      </c>
      <c r="C1183" t="str">
        <f t="shared" si="18"/>
        <v>HARRIS COUNTY WCID 119</v>
      </c>
      <c r="D1183" t="b">
        <v>0</v>
      </c>
    </row>
    <row r="1184" spans="1:4" x14ac:dyDescent="0.25">
      <c r="A1184" t="s">
        <v>499</v>
      </c>
      <c r="B1184">
        <v>0.54400000000000004</v>
      </c>
      <c r="C1184" t="str">
        <f t="shared" si="18"/>
        <v>CITY OF SEMINOLE</v>
      </c>
      <c r="D1184" t="b">
        <v>0</v>
      </c>
    </row>
    <row r="1185" spans="1:4" x14ac:dyDescent="0.25">
      <c r="A1185" t="s">
        <v>2390</v>
      </c>
      <c r="B1185">
        <v>0.54149999999999998</v>
      </c>
      <c r="C1185" t="str">
        <f t="shared" si="18"/>
        <v>CITY OF CLEVELAND</v>
      </c>
      <c r="D1185" t="b">
        <v>0</v>
      </c>
    </row>
    <row r="1186" spans="1:4" x14ac:dyDescent="0.25">
      <c r="A1186" t="s">
        <v>929</v>
      </c>
      <c r="B1186">
        <v>0.540215</v>
      </c>
      <c r="C1186" t="str">
        <f t="shared" si="18"/>
        <v>GEORGIA-PACIFIC WOOD PRODUCTS LLC</v>
      </c>
      <c r="D1186" t="b">
        <v>0</v>
      </c>
    </row>
    <row r="1187" spans="1:4" x14ac:dyDescent="0.25">
      <c r="A1187" t="s">
        <v>354</v>
      </c>
      <c r="B1187">
        <v>0.54</v>
      </c>
      <c r="C1187" t="str">
        <f t="shared" si="18"/>
        <v>CITY OF GLEN ROSE</v>
      </c>
      <c r="D1187" t="b">
        <v>0</v>
      </c>
    </row>
    <row r="1188" spans="1:4" x14ac:dyDescent="0.25">
      <c r="A1188" t="s">
        <v>1840</v>
      </c>
      <c r="B1188">
        <v>0.53908999999999996</v>
      </c>
      <c r="C1188" t="str">
        <f t="shared" si="18"/>
        <v>SUNBELT FRESH WATER SUPPLY DISTRICT</v>
      </c>
      <c r="D1188" t="b">
        <v>0</v>
      </c>
    </row>
    <row r="1189" spans="1:4" x14ac:dyDescent="0.25">
      <c r="A1189" t="s">
        <v>2831</v>
      </c>
      <c r="B1189">
        <v>0.53700000000000003</v>
      </c>
      <c r="C1189" t="str">
        <f t="shared" si="18"/>
        <v>CITY OF CORSICANA</v>
      </c>
      <c r="D1189" t="b">
        <v>0</v>
      </c>
    </row>
    <row r="1190" spans="1:4" x14ac:dyDescent="0.25">
      <c r="A1190" t="s">
        <v>2086</v>
      </c>
      <c r="B1190">
        <v>0.53700000000000003</v>
      </c>
      <c r="C1190" t="str">
        <f t="shared" si="18"/>
        <v>CHIMNEY HILL MUD</v>
      </c>
      <c r="D1190" t="b">
        <v>0</v>
      </c>
    </row>
    <row r="1191" spans="1:4" x14ac:dyDescent="0.25">
      <c r="A1191" t="s">
        <v>795</v>
      </c>
      <c r="B1191">
        <v>0.53680000000000005</v>
      </c>
      <c r="C1191" t="str">
        <f t="shared" si="18"/>
        <v>GEORGIA-PACIFIC CHEMICALS LLC</v>
      </c>
      <c r="D1191" t="b">
        <v>0</v>
      </c>
    </row>
    <row r="1192" spans="1:4" x14ac:dyDescent="0.25">
      <c r="A1192" t="s">
        <v>1897</v>
      </c>
      <c r="B1192">
        <v>0.53500000000000003</v>
      </c>
      <c r="C1192" t="str">
        <f t="shared" si="18"/>
        <v>PRESTONWOOD FOREST UTILITY DISTRICT</v>
      </c>
      <c r="D1192" t="b">
        <v>0</v>
      </c>
    </row>
    <row r="1193" spans="1:4" x14ac:dyDescent="0.25">
      <c r="A1193" t="s">
        <v>545</v>
      </c>
      <c r="B1193">
        <v>0.53500000000000003</v>
      </c>
      <c r="C1193" t="str">
        <f t="shared" si="18"/>
        <v>SWWC UTILITIES INC</v>
      </c>
      <c r="D1193" t="b">
        <v>0</v>
      </c>
    </row>
    <row r="1194" spans="1:4" x14ac:dyDescent="0.25">
      <c r="A1194" t="s">
        <v>2194</v>
      </c>
      <c r="B1194">
        <v>0.53200000000000003</v>
      </c>
      <c r="C1194" t="str">
        <f t="shared" si="18"/>
        <v>HARRIS COUNTY MUD 304</v>
      </c>
      <c r="D1194" t="b">
        <v>0</v>
      </c>
    </row>
    <row r="1195" spans="1:4" x14ac:dyDescent="0.25">
      <c r="A1195" t="s">
        <v>2304</v>
      </c>
      <c r="B1195">
        <v>0.53200000000000003</v>
      </c>
      <c r="C1195" t="str">
        <f t="shared" si="18"/>
        <v>HARRIS COUNTY MUD NO 400</v>
      </c>
      <c r="D1195" t="b">
        <v>0</v>
      </c>
    </row>
    <row r="1196" spans="1:4" x14ac:dyDescent="0.25">
      <c r="A1196" t="s">
        <v>996</v>
      </c>
      <c r="B1196">
        <v>0.53100000000000003</v>
      </c>
      <c r="C1196" t="str">
        <f t="shared" si="18"/>
        <v>CITY OF LA FERIA</v>
      </c>
      <c r="D1196" t="b">
        <v>0</v>
      </c>
    </row>
    <row r="1197" spans="1:4" x14ac:dyDescent="0.25">
      <c r="A1197" t="s">
        <v>227</v>
      </c>
      <c r="B1197">
        <v>0.53</v>
      </c>
      <c r="C1197" t="str">
        <f t="shared" si="18"/>
        <v>CITY OF HAMILTON</v>
      </c>
      <c r="D1197" t="b">
        <v>0</v>
      </c>
    </row>
    <row r="1198" spans="1:4" x14ac:dyDescent="0.25">
      <c r="A1198" t="s">
        <v>126</v>
      </c>
      <c r="B1198">
        <v>0.52600000000000002</v>
      </c>
      <c r="C1198" t="str">
        <f t="shared" si="18"/>
        <v>TEXAS A&amp;M UNIVERSITY</v>
      </c>
      <c r="D1198" t="b">
        <v>0</v>
      </c>
    </row>
    <row r="1199" spans="1:4" x14ac:dyDescent="0.25">
      <c r="A1199" t="s">
        <v>21</v>
      </c>
      <c r="B1199">
        <v>0.52500000000000002</v>
      </c>
      <c r="C1199" t="str">
        <f t="shared" si="18"/>
        <v>CHEVRON PHILLIPS CHEMICAL COMPANY LP</v>
      </c>
      <c r="D1199" t="b">
        <v>0</v>
      </c>
    </row>
    <row r="1200" spans="1:4" x14ac:dyDescent="0.25">
      <c r="A1200" t="s">
        <v>1653</v>
      </c>
      <c r="B1200">
        <v>0.52400000000000002</v>
      </c>
      <c r="C1200" t="str">
        <f t="shared" si="18"/>
        <v>CITY OF GALVESTON</v>
      </c>
      <c r="D1200" t="b">
        <v>0</v>
      </c>
    </row>
    <row r="1201" spans="1:4" x14ac:dyDescent="0.25">
      <c r="A1201" t="s">
        <v>2739</v>
      </c>
      <c r="B1201">
        <v>0.52</v>
      </c>
      <c r="C1201" t="str">
        <f t="shared" si="18"/>
        <v>CITY OF COLLINSVILLE</v>
      </c>
      <c r="D1201" t="b">
        <v>0</v>
      </c>
    </row>
    <row r="1202" spans="1:4" x14ac:dyDescent="0.25">
      <c r="A1202" t="s">
        <v>1686</v>
      </c>
      <c r="B1202">
        <v>0.52</v>
      </c>
      <c r="C1202" t="str">
        <f t="shared" si="18"/>
        <v>AIR PRODUCTS LLC</v>
      </c>
      <c r="D1202" t="b">
        <v>0</v>
      </c>
    </row>
    <row r="1203" spans="1:4" x14ac:dyDescent="0.25">
      <c r="A1203" t="s">
        <v>1224</v>
      </c>
      <c r="B1203">
        <v>0.52</v>
      </c>
      <c r="C1203" t="e">
        <f t="shared" si="18"/>
        <v>#N/A</v>
      </c>
      <c r="D1203" t="b">
        <v>0</v>
      </c>
    </row>
    <row r="1204" spans="1:4" x14ac:dyDescent="0.25">
      <c r="A1204" t="s">
        <v>2048</v>
      </c>
      <c r="B1204">
        <v>0.51900000000000002</v>
      </c>
      <c r="C1204" t="str">
        <f t="shared" si="18"/>
        <v>HARRIS COUNTY MUD 180</v>
      </c>
      <c r="D1204" t="b">
        <v>0</v>
      </c>
    </row>
    <row r="1205" spans="1:4" x14ac:dyDescent="0.25">
      <c r="A1205" t="s">
        <v>2021</v>
      </c>
      <c r="B1205">
        <v>0.51819999999999999</v>
      </c>
      <c r="C1205" t="str">
        <f t="shared" si="18"/>
        <v>HARRIS COUNTY MUD NO 8</v>
      </c>
      <c r="D1205" t="b">
        <v>0</v>
      </c>
    </row>
    <row r="1206" spans="1:4" x14ac:dyDescent="0.25">
      <c r="A1206" t="s">
        <v>4</v>
      </c>
      <c r="B1206">
        <v>0.51800000000000002</v>
      </c>
      <c r="C1206" t="str">
        <f t="shared" si="18"/>
        <v>TEXAS DEPT OF CRIMINAL JUSTICE</v>
      </c>
      <c r="D1206" t="b">
        <v>0</v>
      </c>
    </row>
    <row r="1207" spans="1:4" x14ac:dyDescent="0.25">
      <c r="A1207" t="s">
        <v>22</v>
      </c>
      <c r="B1207">
        <v>0.51800000000000002</v>
      </c>
      <c r="C1207" t="str">
        <f t="shared" si="18"/>
        <v>CHEVRON PHILLIPS CHEMICAL COMPANY LP</v>
      </c>
      <c r="D1207" t="b">
        <v>0</v>
      </c>
    </row>
    <row r="1208" spans="1:4" x14ac:dyDescent="0.25">
      <c r="A1208" t="s">
        <v>38</v>
      </c>
      <c r="B1208">
        <v>0.51600000000000001</v>
      </c>
      <c r="C1208" t="str">
        <f t="shared" si="18"/>
        <v>CITY OF BELLVILLE</v>
      </c>
      <c r="D1208" t="b">
        <v>0</v>
      </c>
    </row>
    <row r="1209" spans="1:4" x14ac:dyDescent="0.25">
      <c r="A1209" t="s">
        <v>938</v>
      </c>
      <c r="B1209">
        <v>0.51600000000000001</v>
      </c>
      <c r="C1209" t="str">
        <f t="shared" si="18"/>
        <v>CITY OF HENDERSON</v>
      </c>
      <c r="D1209" t="b">
        <v>0</v>
      </c>
    </row>
    <row r="1210" spans="1:4" x14ac:dyDescent="0.25">
      <c r="A1210" t="s">
        <v>2063</v>
      </c>
      <c r="B1210">
        <v>0.51500000000000001</v>
      </c>
      <c r="C1210" t="str">
        <f t="shared" si="18"/>
        <v>NORTH GREEN MUD</v>
      </c>
      <c r="D1210" t="b">
        <v>0</v>
      </c>
    </row>
    <row r="1211" spans="1:4" x14ac:dyDescent="0.25">
      <c r="A1211" t="s">
        <v>1841</v>
      </c>
      <c r="B1211">
        <v>0.51332299999999997</v>
      </c>
      <c r="C1211" t="str">
        <f t="shared" si="18"/>
        <v>SUNBELT FWSD</v>
      </c>
      <c r="D1211" t="b">
        <v>0</v>
      </c>
    </row>
    <row r="1212" spans="1:4" x14ac:dyDescent="0.25">
      <c r="A1212" t="s">
        <v>839</v>
      </c>
      <c r="B1212">
        <v>0.51200000000000001</v>
      </c>
      <c r="C1212" t="str">
        <f t="shared" si="18"/>
        <v>PHILLIPS 66 GULF COAST PROPERTIES LLC</v>
      </c>
      <c r="D1212" t="b">
        <v>0</v>
      </c>
    </row>
    <row r="1213" spans="1:4" x14ac:dyDescent="0.25">
      <c r="A1213" t="s">
        <v>1870</v>
      </c>
      <c r="B1213">
        <v>0.51100000000000001</v>
      </c>
      <c r="C1213" t="str">
        <f t="shared" si="18"/>
        <v>EMERALD FOREST UD</v>
      </c>
      <c r="D1213" t="b">
        <v>0</v>
      </c>
    </row>
    <row r="1214" spans="1:4" x14ac:dyDescent="0.25">
      <c r="A1214" t="s">
        <v>1929</v>
      </c>
      <c r="B1214">
        <v>0.50861299999999998</v>
      </c>
      <c r="C1214" t="str">
        <f t="shared" si="18"/>
        <v>HARRIS COUNTY MUD 1</v>
      </c>
      <c r="D1214" t="b">
        <v>0</v>
      </c>
    </row>
    <row r="1215" spans="1:4" x14ac:dyDescent="0.25">
      <c r="A1215" t="s">
        <v>1712</v>
      </c>
      <c r="B1215">
        <v>0.50600000000000001</v>
      </c>
      <c r="C1215" t="str">
        <f t="shared" si="18"/>
        <v>FORT BEND COUNTY MUD NO 57</v>
      </c>
      <c r="D1215" t="b">
        <v>0</v>
      </c>
    </row>
    <row r="1216" spans="1:4" x14ac:dyDescent="0.25">
      <c r="A1216" t="s">
        <v>2839</v>
      </c>
      <c r="B1216">
        <v>0.505</v>
      </c>
      <c r="C1216" t="str">
        <f t="shared" si="18"/>
        <v>CITY OF ALEDO</v>
      </c>
      <c r="D1216" t="b">
        <v>0</v>
      </c>
    </row>
    <row r="1217" spans="1:4" x14ac:dyDescent="0.25">
      <c r="A1217" t="s">
        <v>2385</v>
      </c>
      <c r="B1217">
        <v>0.50449999999999995</v>
      </c>
      <c r="C1217" t="str">
        <f t="shared" si="18"/>
        <v>TARGA TERMINALS LLC</v>
      </c>
      <c r="D1217" t="b">
        <v>0</v>
      </c>
    </row>
    <row r="1218" spans="1:4" x14ac:dyDescent="0.25">
      <c r="A1218" t="s">
        <v>2587</v>
      </c>
      <c r="B1218">
        <v>0.504</v>
      </c>
      <c r="C1218" t="str">
        <f t="shared" ref="C1218:C1281" si="19">VLOOKUP(A1218,PERMITTEES,2,FALSE)</f>
        <v>ENTERPRISE PRODUCTS OPERATING LLC</v>
      </c>
      <c r="D1218" t="b">
        <v>0</v>
      </c>
    </row>
    <row r="1219" spans="1:4" x14ac:dyDescent="0.25">
      <c r="A1219" t="s">
        <v>2329</v>
      </c>
      <c r="B1219">
        <v>0.503</v>
      </c>
      <c r="C1219" t="str">
        <f t="shared" si="19"/>
        <v>NORTHWEST HARRIS CO MUD NO 5</v>
      </c>
      <c r="D1219" t="b">
        <v>0</v>
      </c>
    </row>
    <row r="1220" spans="1:4" x14ac:dyDescent="0.25">
      <c r="A1220" t="s">
        <v>2650</v>
      </c>
      <c r="B1220">
        <v>0.5</v>
      </c>
      <c r="C1220" t="str">
        <f t="shared" si="19"/>
        <v>CITY OF ANNA</v>
      </c>
      <c r="D1220" t="b">
        <v>0</v>
      </c>
    </row>
    <row r="1221" spans="1:4" x14ac:dyDescent="0.25">
      <c r="A1221" t="s">
        <v>912</v>
      </c>
      <c r="B1221">
        <v>0.5</v>
      </c>
      <c r="C1221" t="str">
        <f t="shared" si="19"/>
        <v>BAILEY BARK MATERIALS INC</v>
      </c>
      <c r="D1221" t="b">
        <v>0</v>
      </c>
    </row>
    <row r="1222" spans="1:4" x14ac:dyDescent="0.25">
      <c r="A1222" t="s">
        <v>911</v>
      </c>
      <c r="B1222">
        <v>0.5</v>
      </c>
      <c r="C1222" t="str">
        <f t="shared" si="19"/>
        <v>BAILEY BARK MATERIALS INC</v>
      </c>
      <c r="D1222" t="b">
        <v>0</v>
      </c>
    </row>
    <row r="1223" spans="1:4" x14ac:dyDescent="0.25">
      <c r="A1223" t="s">
        <v>1245</v>
      </c>
      <c r="B1223">
        <v>0.497</v>
      </c>
      <c r="C1223" t="str">
        <f t="shared" si="19"/>
        <v>US DEPT OF THE AIR FORCE</v>
      </c>
      <c r="D1223" t="b">
        <v>0</v>
      </c>
    </row>
    <row r="1224" spans="1:4" x14ac:dyDescent="0.25">
      <c r="A1224" t="s">
        <v>1966</v>
      </c>
      <c r="B1224">
        <v>0.497</v>
      </c>
      <c r="C1224" t="str">
        <f t="shared" si="19"/>
        <v>INTERCONTINENTAL TERMINALS CO LLC</v>
      </c>
      <c r="D1224" t="b">
        <v>0</v>
      </c>
    </row>
    <row r="1225" spans="1:4" x14ac:dyDescent="0.25">
      <c r="A1225" t="s">
        <v>2407</v>
      </c>
      <c r="B1225">
        <v>0.49630000000000002</v>
      </c>
      <c r="C1225" t="str">
        <f t="shared" si="19"/>
        <v>MONTGOMERY COUNTY WCID NO 1</v>
      </c>
      <c r="D1225" t="b">
        <v>0</v>
      </c>
    </row>
    <row r="1226" spans="1:4" x14ac:dyDescent="0.25">
      <c r="A1226" t="s">
        <v>1202</v>
      </c>
      <c r="B1226">
        <v>0.49399999999999999</v>
      </c>
      <c r="C1226" t="str">
        <f t="shared" si="19"/>
        <v>CITY OF ALPINE</v>
      </c>
      <c r="D1226" t="b">
        <v>0</v>
      </c>
    </row>
    <row r="1227" spans="1:4" x14ac:dyDescent="0.25">
      <c r="A1227" t="s">
        <v>1713</v>
      </c>
      <c r="B1227">
        <v>0.49399999999999999</v>
      </c>
      <c r="C1227" t="str">
        <f t="shared" si="19"/>
        <v>FORT BEND COUNTY MUD NO 133</v>
      </c>
      <c r="D1227" t="b">
        <v>0</v>
      </c>
    </row>
    <row r="1228" spans="1:4" x14ac:dyDescent="0.25">
      <c r="A1228" t="s">
        <v>2678</v>
      </c>
      <c r="B1228">
        <v>0.49399999999999999</v>
      </c>
      <c r="C1228" t="str">
        <f t="shared" si="19"/>
        <v>DALLAS COUNTY PARK CITIES MUD</v>
      </c>
      <c r="D1228" t="b">
        <v>0</v>
      </c>
    </row>
    <row r="1229" spans="1:4" x14ac:dyDescent="0.25">
      <c r="A1229" t="s">
        <v>2248</v>
      </c>
      <c r="B1229">
        <v>0.49299999999999999</v>
      </c>
      <c r="C1229" t="str">
        <f t="shared" si="19"/>
        <v>CITY OF HOUSTON</v>
      </c>
      <c r="D1229" t="b">
        <v>0</v>
      </c>
    </row>
    <row r="1230" spans="1:4" x14ac:dyDescent="0.25">
      <c r="A1230" t="s">
        <v>1117</v>
      </c>
      <c r="B1230">
        <v>0.49199999999999999</v>
      </c>
      <c r="C1230" t="str">
        <f t="shared" si="19"/>
        <v>CITY OF DILLEY</v>
      </c>
      <c r="D1230" t="b">
        <v>0</v>
      </c>
    </row>
    <row r="1231" spans="1:4" x14ac:dyDescent="0.25">
      <c r="A1231" t="s">
        <v>1921</v>
      </c>
      <c r="B1231">
        <v>0.49099999999999999</v>
      </c>
      <c r="C1231" t="str">
        <f t="shared" si="19"/>
        <v>BISSONNET MUD</v>
      </c>
      <c r="D1231" t="b">
        <v>0</v>
      </c>
    </row>
    <row r="1232" spans="1:4" x14ac:dyDescent="0.25">
      <c r="A1232" t="s">
        <v>1984</v>
      </c>
      <c r="B1232">
        <v>0.49012899999999998</v>
      </c>
      <c r="C1232" t="str">
        <f t="shared" si="19"/>
        <v>SUNBELT FWSD</v>
      </c>
      <c r="D1232" t="b">
        <v>0</v>
      </c>
    </row>
    <row r="1233" spans="1:4" x14ac:dyDescent="0.25">
      <c r="A1233" t="s">
        <v>2012</v>
      </c>
      <c r="B1233">
        <v>0.49</v>
      </c>
      <c r="C1233" t="str">
        <f t="shared" si="19"/>
        <v>HARRIS COUNTY MUD NO 49</v>
      </c>
      <c r="D1233" t="b">
        <v>0</v>
      </c>
    </row>
    <row r="1234" spans="1:4" x14ac:dyDescent="0.25">
      <c r="A1234" t="s">
        <v>2283</v>
      </c>
      <c r="B1234">
        <v>0.49</v>
      </c>
      <c r="C1234" t="str">
        <f t="shared" si="19"/>
        <v>EQUISTAR CHEMICALS LP AND LYONDELLBASELL ACETYLS LLC</v>
      </c>
      <c r="D1234" t="b">
        <v>0</v>
      </c>
    </row>
    <row r="1235" spans="1:4" x14ac:dyDescent="0.25">
      <c r="A1235" t="s">
        <v>2143</v>
      </c>
      <c r="B1235">
        <v>0.48899999999999999</v>
      </c>
      <c r="C1235" t="str">
        <f t="shared" si="19"/>
        <v>HARRIS COUNTY MUD 202</v>
      </c>
      <c r="D1235" t="b">
        <v>0</v>
      </c>
    </row>
    <row r="1236" spans="1:4" x14ac:dyDescent="0.25">
      <c r="A1236" t="s">
        <v>2346</v>
      </c>
      <c r="B1236">
        <v>0.48899999999999999</v>
      </c>
      <c r="C1236" t="str">
        <f t="shared" si="19"/>
        <v>HARRIS COUNTY IMPROVEMENT DISTRICT NO 18</v>
      </c>
      <c r="D1236" t="b">
        <v>0</v>
      </c>
    </row>
    <row r="1237" spans="1:4" x14ac:dyDescent="0.25">
      <c r="A1237" t="s">
        <v>856</v>
      </c>
      <c r="B1237">
        <v>0.48849999999999999</v>
      </c>
      <c r="C1237" t="str">
        <f t="shared" si="19"/>
        <v>LUCITE INTERNATIONAL INC</v>
      </c>
      <c r="D1237" t="b">
        <v>0</v>
      </c>
    </row>
    <row r="1238" spans="1:4" x14ac:dyDescent="0.25">
      <c r="A1238" t="s">
        <v>858</v>
      </c>
      <c r="B1238">
        <v>0.48830000000000001</v>
      </c>
      <c r="C1238" t="str">
        <f t="shared" si="19"/>
        <v>LUCITE INTERNATIONAL INC</v>
      </c>
      <c r="D1238" t="b">
        <v>0</v>
      </c>
    </row>
    <row r="1239" spans="1:4" x14ac:dyDescent="0.25">
      <c r="A1239" t="s">
        <v>2161</v>
      </c>
      <c r="B1239">
        <v>0.48799999999999999</v>
      </c>
      <c r="C1239" t="str">
        <f t="shared" si="19"/>
        <v>HARRIS COUNTY MUD NO 285</v>
      </c>
      <c r="D1239" t="b">
        <v>0</v>
      </c>
    </row>
    <row r="1240" spans="1:4" x14ac:dyDescent="0.25">
      <c r="A1240" t="s">
        <v>2006</v>
      </c>
      <c r="B1240">
        <v>0.48699999999999999</v>
      </c>
      <c r="C1240" t="str">
        <f t="shared" si="19"/>
        <v>BRASKEM AMERICA INC</v>
      </c>
      <c r="D1240" t="b">
        <v>0</v>
      </c>
    </row>
    <row r="1241" spans="1:4" x14ac:dyDescent="0.25">
      <c r="A1241" t="s">
        <v>2136</v>
      </c>
      <c r="B1241">
        <v>0.48699999999999999</v>
      </c>
      <c r="C1241" t="str">
        <f t="shared" si="19"/>
        <v>HARRIS COUNTY MUD 149</v>
      </c>
      <c r="D1241" t="b">
        <v>0</v>
      </c>
    </row>
    <row r="1242" spans="1:4" x14ac:dyDescent="0.25">
      <c r="A1242" t="s">
        <v>2422</v>
      </c>
      <c r="B1242">
        <v>0.48399999999999999</v>
      </c>
      <c r="C1242" t="str">
        <f t="shared" si="19"/>
        <v>CITY OF MAGNOLIA</v>
      </c>
      <c r="D1242" t="b">
        <v>0</v>
      </c>
    </row>
    <row r="1243" spans="1:4" x14ac:dyDescent="0.25">
      <c r="A1243" t="s">
        <v>1684</v>
      </c>
      <c r="B1243">
        <v>0.48230000000000001</v>
      </c>
      <c r="C1243" t="str">
        <f t="shared" si="19"/>
        <v>LBC HOUSTON LP</v>
      </c>
      <c r="D1243" t="b">
        <v>0</v>
      </c>
    </row>
    <row r="1244" spans="1:4" x14ac:dyDescent="0.25">
      <c r="A1244" t="s">
        <v>1230</v>
      </c>
      <c r="B1244">
        <v>0.48199999999999998</v>
      </c>
      <c r="C1244" t="str">
        <f t="shared" si="19"/>
        <v>TOWN OF ANTHONY</v>
      </c>
      <c r="D1244" t="b">
        <v>0</v>
      </c>
    </row>
    <row r="1245" spans="1:4" x14ac:dyDescent="0.25">
      <c r="A1245" t="s">
        <v>869</v>
      </c>
      <c r="B1245">
        <v>0.48</v>
      </c>
      <c r="C1245" t="str">
        <f t="shared" si="19"/>
        <v>HUNTSMAN(H) PETROCHEM;H INTRNTL FUELS;H PROPY OXIDE;BLUEHALL;TPC GROUP</v>
      </c>
      <c r="D1245" t="b">
        <v>0</v>
      </c>
    </row>
    <row r="1246" spans="1:4" x14ac:dyDescent="0.25">
      <c r="A1246" t="s">
        <v>1402</v>
      </c>
      <c r="B1246">
        <v>0.47987000000000002</v>
      </c>
      <c r="C1246" t="str">
        <f t="shared" si="19"/>
        <v>CITY OF OVERTON</v>
      </c>
      <c r="D1246" t="b">
        <v>0</v>
      </c>
    </row>
    <row r="1247" spans="1:4" x14ac:dyDescent="0.25">
      <c r="A1247" t="s">
        <v>2166</v>
      </c>
      <c r="B1247">
        <v>0.47899999999999998</v>
      </c>
      <c r="C1247" t="str">
        <f t="shared" si="19"/>
        <v>HARRIS COUNTY MUD NO 238</v>
      </c>
      <c r="D1247" t="b">
        <v>0</v>
      </c>
    </row>
    <row r="1248" spans="1:4" x14ac:dyDescent="0.25">
      <c r="A1248" t="s">
        <v>2339</v>
      </c>
      <c r="B1248">
        <v>0.47799999999999998</v>
      </c>
      <c r="C1248" t="str">
        <f t="shared" si="19"/>
        <v>HARRIS COUNTY MUD NO 148</v>
      </c>
      <c r="D1248" t="b">
        <v>0</v>
      </c>
    </row>
    <row r="1249" spans="1:4" x14ac:dyDescent="0.25">
      <c r="A1249" t="s">
        <v>2778</v>
      </c>
      <c r="B1249">
        <v>0.47699999999999998</v>
      </c>
      <c r="C1249" t="e">
        <f t="shared" si="19"/>
        <v>#N/A</v>
      </c>
      <c r="D1249" t="b">
        <v>0</v>
      </c>
    </row>
    <row r="1250" spans="1:4" x14ac:dyDescent="0.25">
      <c r="A1250" t="s">
        <v>1909</v>
      </c>
      <c r="B1250">
        <v>0.47583199999999998</v>
      </c>
      <c r="C1250" t="str">
        <f t="shared" si="19"/>
        <v>ARKEMA INC</v>
      </c>
      <c r="D1250" t="b">
        <v>0</v>
      </c>
    </row>
    <row r="1251" spans="1:4" x14ac:dyDescent="0.25">
      <c r="A1251" t="s">
        <v>1803</v>
      </c>
      <c r="B1251">
        <v>0.47499999999999998</v>
      </c>
      <c r="C1251" t="str">
        <f t="shared" si="19"/>
        <v>UNITED STATES GYPSUM CO</v>
      </c>
      <c r="D1251" t="b">
        <v>0</v>
      </c>
    </row>
    <row r="1252" spans="1:4" x14ac:dyDescent="0.25">
      <c r="A1252" t="s">
        <v>2274</v>
      </c>
      <c r="B1252">
        <v>0.47499999999999998</v>
      </c>
      <c r="C1252" t="str">
        <f t="shared" si="19"/>
        <v>NORTHGATE CROSSING MUD 2</v>
      </c>
      <c r="D1252" t="b">
        <v>0</v>
      </c>
    </row>
    <row r="1253" spans="1:4" x14ac:dyDescent="0.25">
      <c r="A1253" t="s">
        <v>852</v>
      </c>
      <c r="B1253">
        <v>0.47020000000000001</v>
      </c>
      <c r="C1253" t="str">
        <f t="shared" si="19"/>
        <v>LUCITE INTERNATIONAL INC</v>
      </c>
      <c r="D1253" t="b">
        <v>0</v>
      </c>
    </row>
    <row r="1254" spans="1:4" x14ac:dyDescent="0.25">
      <c r="A1254" t="s">
        <v>1056</v>
      </c>
      <c r="B1254">
        <v>0.47</v>
      </c>
      <c r="C1254" t="str">
        <f t="shared" si="19"/>
        <v>FLINT HILLS RESOURCES CORPUS CHRISTI LLC</v>
      </c>
      <c r="D1254" t="b">
        <v>0</v>
      </c>
    </row>
    <row r="1255" spans="1:4" x14ac:dyDescent="0.25">
      <c r="A1255" t="s">
        <v>1059</v>
      </c>
      <c r="B1255">
        <v>0.47</v>
      </c>
      <c r="C1255" t="str">
        <f t="shared" si="19"/>
        <v>FLINT HILLS RESOURCES CORPUS CHRISTI LLC</v>
      </c>
      <c r="D1255" t="b">
        <v>0</v>
      </c>
    </row>
    <row r="1256" spans="1:4" x14ac:dyDescent="0.25">
      <c r="A1256" t="s">
        <v>2786</v>
      </c>
      <c r="B1256">
        <v>0.4698</v>
      </c>
      <c r="C1256" t="str">
        <f t="shared" si="19"/>
        <v>CITY OF ALVARADO</v>
      </c>
      <c r="D1256" t="b">
        <v>0</v>
      </c>
    </row>
    <row r="1257" spans="1:4" x14ac:dyDescent="0.25">
      <c r="A1257" t="s">
        <v>75</v>
      </c>
      <c r="B1257">
        <v>0.46899999999999997</v>
      </c>
      <c r="C1257" t="str">
        <f t="shared" si="19"/>
        <v>CITY OF CLIFTON</v>
      </c>
      <c r="D1257" t="b">
        <v>0</v>
      </c>
    </row>
    <row r="1258" spans="1:4" x14ac:dyDescent="0.25">
      <c r="A1258" t="s">
        <v>2752</v>
      </c>
      <c r="B1258">
        <v>0.46899999999999997</v>
      </c>
      <c r="C1258" t="str">
        <f t="shared" si="19"/>
        <v>WEST CEDAR CREEK MUD</v>
      </c>
      <c r="D1258" t="b">
        <v>0</v>
      </c>
    </row>
    <row r="1259" spans="1:4" x14ac:dyDescent="0.25">
      <c r="A1259" t="s">
        <v>459</v>
      </c>
      <c r="B1259">
        <v>0.46899999999999997</v>
      </c>
      <c r="C1259" t="str">
        <f t="shared" si="19"/>
        <v>CITY OF SMITHVILLE</v>
      </c>
      <c r="D1259" t="b">
        <v>0</v>
      </c>
    </row>
    <row r="1260" spans="1:4" x14ac:dyDescent="0.25">
      <c r="A1260" t="s">
        <v>1868</v>
      </c>
      <c r="B1260">
        <v>0.46700000000000003</v>
      </c>
      <c r="C1260" t="str">
        <f t="shared" si="19"/>
        <v>HARRIS COUNTY FWSD 6</v>
      </c>
      <c r="D1260" t="b">
        <v>0</v>
      </c>
    </row>
    <row r="1261" spans="1:4" x14ac:dyDescent="0.25">
      <c r="A1261" t="s">
        <v>779</v>
      </c>
      <c r="B1261">
        <v>0.46600000000000003</v>
      </c>
      <c r="C1261" t="str">
        <f t="shared" si="19"/>
        <v>TPC GROUP LLC</v>
      </c>
      <c r="D1261" t="b">
        <v>0</v>
      </c>
    </row>
    <row r="1262" spans="1:4" x14ac:dyDescent="0.25">
      <c r="A1262" t="s">
        <v>10</v>
      </c>
      <c r="B1262">
        <v>0.46500000000000002</v>
      </c>
      <c r="C1262" t="str">
        <f t="shared" si="19"/>
        <v>TEXAS DEPT OF CRIMINAL JUSTICE</v>
      </c>
      <c r="D1262" t="b">
        <v>0</v>
      </c>
    </row>
    <row r="1263" spans="1:4" x14ac:dyDescent="0.25">
      <c r="A1263" t="s">
        <v>2399</v>
      </c>
      <c r="B1263">
        <v>0.46400000000000002</v>
      </c>
      <c r="C1263" t="str">
        <f t="shared" si="19"/>
        <v>MONTGOMERY COUNTY MUD 15</v>
      </c>
      <c r="D1263" t="b">
        <v>0</v>
      </c>
    </row>
    <row r="1264" spans="1:4" x14ac:dyDescent="0.25">
      <c r="A1264" t="s">
        <v>105</v>
      </c>
      <c r="B1264">
        <v>0.46400000000000002</v>
      </c>
      <c r="C1264" t="str">
        <f t="shared" si="19"/>
        <v>SHINTECH INC</v>
      </c>
      <c r="D1264" t="b">
        <v>0</v>
      </c>
    </row>
    <row r="1265" spans="1:4" x14ac:dyDescent="0.25">
      <c r="A1265" t="s">
        <v>2400</v>
      </c>
      <c r="B1265">
        <v>0.46300000000000002</v>
      </c>
      <c r="C1265" t="str">
        <f t="shared" si="19"/>
        <v>STANLEY LAKE MUD</v>
      </c>
      <c r="D1265" t="b">
        <v>0</v>
      </c>
    </row>
    <row r="1266" spans="1:4" x14ac:dyDescent="0.25">
      <c r="A1266" t="s">
        <v>1110</v>
      </c>
      <c r="B1266">
        <v>0.46300000000000002</v>
      </c>
      <c r="C1266" t="str">
        <f t="shared" si="19"/>
        <v>CITY OF JOURDANTON</v>
      </c>
      <c r="D1266" t="b">
        <v>0</v>
      </c>
    </row>
    <row r="1267" spans="1:4" x14ac:dyDescent="0.25">
      <c r="A1267" t="s">
        <v>2563</v>
      </c>
      <c r="B1267">
        <v>0.46</v>
      </c>
      <c r="C1267" t="str">
        <f t="shared" si="19"/>
        <v>COVESTRO LLC</v>
      </c>
      <c r="D1267" t="b">
        <v>0</v>
      </c>
    </row>
    <row r="1268" spans="1:4" x14ac:dyDescent="0.25">
      <c r="A1268" t="s">
        <v>1568</v>
      </c>
      <c r="B1268">
        <v>0.45988200000000001</v>
      </c>
      <c r="C1268" t="str">
        <f t="shared" si="19"/>
        <v>CITY OF OYSTER CREEK</v>
      </c>
      <c r="D1268" t="b">
        <v>0</v>
      </c>
    </row>
    <row r="1269" spans="1:4" x14ac:dyDescent="0.25">
      <c r="A1269" t="s">
        <v>965</v>
      </c>
      <c r="B1269">
        <v>0.45900000000000002</v>
      </c>
      <c r="C1269" t="str">
        <f t="shared" si="19"/>
        <v>TALL TIMBERS UTILITY CO INC</v>
      </c>
      <c r="D1269" t="b">
        <v>0</v>
      </c>
    </row>
    <row r="1270" spans="1:4" x14ac:dyDescent="0.25">
      <c r="A1270" t="s">
        <v>1934</v>
      </c>
      <c r="B1270">
        <v>0.45800000000000002</v>
      </c>
      <c r="C1270" t="str">
        <f t="shared" si="19"/>
        <v>HARRIS COUNTY MUD 23</v>
      </c>
      <c r="D1270" t="b">
        <v>0</v>
      </c>
    </row>
    <row r="1271" spans="1:4" x14ac:dyDescent="0.25">
      <c r="A1271" t="s">
        <v>824</v>
      </c>
      <c r="B1271">
        <v>0.45</v>
      </c>
      <c r="C1271" t="str">
        <f t="shared" si="19"/>
        <v>CITY OF KOUNTZE</v>
      </c>
      <c r="D1271" t="b">
        <v>0</v>
      </c>
    </row>
    <row r="1272" spans="1:4" x14ac:dyDescent="0.25">
      <c r="A1272" t="s">
        <v>1017</v>
      </c>
      <c r="B1272">
        <v>0.45</v>
      </c>
      <c r="C1272" t="str">
        <f t="shared" si="19"/>
        <v>MILITARY HIGHWAY WSC</v>
      </c>
      <c r="D1272" t="b">
        <v>0</v>
      </c>
    </row>
    <row r="1273" spans="1:4" x14ac:dyDescent="0.25">
      <c r="A1273" t="s">
        <v>481</v>
      </c>
      <c r="B1273">
        <v>0.44800000000000001</v>
      </c>
      <c r="C1273" t="str">
        <f t="shared" si="19"/>
        <v>CITY OF WEIMAR</v>
      </c>
      <c r="D1273" t="b">
        <v>0</v>
      </c>
    </row>
    <row r="1274" spans="1:4" x14ac:dyDescent="0.25">
      <c r="A1274" t="s">
        <v>1875</v>
      </c>
      <c r="B1274">
        <v>0.44790000000000002</v>
      </c>
      <c r="C1274" t="str">
        <f t="shared" si="19"/>
        <v>SOUTHERN WATER CORP</v>
      </c>
      <c r="D1274" t="b">
        <v>0</v>
      </c>
    </row>
    <row r="1275" spans="1:4" x14ac:dyDescent="0.25">
      <c r="A1275" t="s">
        <v>1842</v>
      </c>
      <c r="B1275">
        <v>0.44771</v>
      </c>
      <c r="C1275" t="str">
        <f t="shared" si="19"/>
        <v>SUNBELT FWSD</v>
      </c>
      <c r="D1275" t="b">
        <v>0</v>
      </c>
    </row>
    <row r="1276" spans="1:4" x14ac:dyDescent="0.25">
      <c r="A1276" t="s">
        <v>2690</v>
      </c>
      <c r="B1276">
        <v>0.44600000000000001</v>
      </c>
      <c r="C1276" t="str">
        <f t="shared" si="19"/>
        <v>CITY OF AUBREY</v>
      </c>
      <c r="D1276" t="b">
        <v>0</v>
      </c>
    </row>
    <row r="1277" spans="1:4" x14ac:dyDescent="0.25">
      <c r="A1277" t="s">
        <v>1365</v>
      </c>
      <c r="B1277">
        <v>0.44500000000000001</v>
      </c>
      <c r="C1277" t="str">
        <f t="shared" si="19"/>
        <v>CITY OF NEWTON</v>
      </c>
      <c r="D1277" t="b">
        <v>0</v>
      </c>
    </row>
    <row r="1278" spans="1:4" x14ac:dyDescent="0.25">
      <c r="A1278" t="s">
        <v>1788</v>
      </c>
      <c r="B1278">
        <v>0.44400000000000001</v>
      </c>
      <c r="C1278" t="str">
        <f t="shared" si="19"/>
        <v>NRG TEXAS POWER LLC</v>
      </c>
      <c r="D1278" t="b">
        <v>0</v>
      </c>
    </row>
    <row r="1279" spans="1:4" x14ac:dyDescent="0.25">
      <c r="A1279" t="s">
        <v>1796</v>
      </c>
      <c r="B1279">
        <v>0.44400000000000001</v>
      </c>
      <c r="C1279" t="str">
        <f t="shared" si="19"/>
        <v>NRG TEXAS POWER LLC</v>
      </c>
      <c r="D1279" t="b">
        <v>0</v>
      </c>
    </row>
    <row r="1280" spans="1:4" x14ac:dyDescent="0.25">
      <c r="A1280" t="s">
        <v>390</v>
      </c>
      <c r="B1280">
        <v>0.443</v>
      </c>
      <c r="C1280" t="str">
        <f t="shared" si="19"/>
        <v>CITY OF OLNEY</v>
      </c>
      <c r="D1280" t="b">
        <v>0</v>
      </c>
    </row>
    <row r="1281" spans="1:4" x14ac:dyDescent="0.25">
      <c r="A1281" t="s">
        <v>391</v>
      </c>
      <c r="B1281">
        <v>0.443</v>
      </c>
      <c r="C1281" t="e">
        <f t="shared" si="19"/>
        <v>#N/A</v>
      </c>
      <c r="D1281" t="b">
        <v>0</v>
      </c>
    </row>
    <row r="1282" spans="1:4" x14ac:dyDescent="0.25">
      <c r="A1282" t="s">
        <v>2842</v>
      </c>
      <c r="B1282">
        <v>0.442</v>
      </c>
      <c r="C1282" t="str">
        <f t="shared" ref="C1282:C1345" si="20">VLOOKUP(A1282,PERMITTEES,2,FALSE)</f>
        <v>CITY OF WILLOW PARK</v>
      </c>
      <c r="D1282" t="b">
        <v>0</v>
      </c>
    </row>
    <row r="1283" spans="1:4" x14ac:dyDescent="0.25">
      <c r="A1283" t="s">
        <v>1273</v>
      </c>
      <c r="B1283">
        <v>0.44</v>
      </c>
      <c r="C1283" t="str">
        <f t="shared" si="20"/>
        <v>SOUTHWESTERN ELECTRIC POWER CO</v>
      </c>
      <c r="D1283" t="b">
        <v>0</v>
      </c>
    </row>
    <row r="1284" spans="1:4" x14ac:dyDescent="0.25">
      <c r="A1284" t="s">
        <v>506</v>
      </c>
      <c r="B1284">
        <v>0.44</v>
      </c>
      <c r="C1284" t="str">
        <f t="shared" si="20"/>
        <v>ALON USA LP</v>
      </c>
      <c r="D1284" t="b">
        <v>0</v>
      </c>
    </row>
    <row r="1285" spans="1:4" x14ac:dyDescent="0.25">
      <c r="A1285" t="s">
        <v>2084</v>
      </c>
      <c r="B1285">
        <v>0.43980599999999997</v>
      </c>
      <c r="C1285" t="str">
        <f t="shared" si="20"/>
        <v>GREEN TRAILS MUD</v>
      </c>
      <c r="D1285" t="b">
        <v>0</v>
      </c>
    </row>
    <row r="1286" spans="1:4" x14ac:dyDescent="0.25">
      <c r="A1286" t="s">
        <v>527</v>
      </c>
      <c r="B1286">
        <v>0.437</v>
      </c>
      <c r="C1286" t="str">
        <f t="shared" si="20"/>
        <v>CITY OF BRADY</v>
      </c>
      <c r="D1286" t="b">
        <v>0</v>
      </c>
    </row>
    <row r="1287" spans="1:4" x14ac:dyDescent="0.25">
      <c r="A1287" t="s">
        <v>985</v>
      </c>
      <c r="B1287">
        <v>0.437</v>
      </c>
      <c r="C1287" t="str">
        <f t="shared" si="20"/>
        <v>CITY OF SANTA ROSA</v>
      </c>
      <c r="D1287" t="b">
        <v>0</v>
      </c>
    </row>
    <row r="1288" spans="1:4" x14ac:dyDescent="0.25">
      <c r="A1288" t="s">
        <v>2200</v>
      </c>
      <c r="B1288">
        <v>0.435</v>
      </c>
      <c r="C1288" t="str">
        <f t="shared" si="20"/>
        <v>NORTHWEST HARRIS COUNTY MUD 32</v>
      </c>
      <c r="D1288" t="b">
        <v>0</v>
      </c>
    </row>
    <row r="1289" spans="1:4" x14ac:dyDescent="0.25">
      <c r="A1289" t="s">
        <v>2288</v>
      </c>
      <c r="B1289">
        <v>0.43480000000000002</v>
      </c>
      <c r="C1289" t="str">
        <f t="shared" si="20"/>
        <v>FOREMARK PERFORMANCE CHEMICALS INC</v>
      </c>
      <c r="D1289" t="b">
        <v>0</v>
      </c>
    </row>
    <row r="1290" spans="1:4" x14ac:dyDescent="0.25">
      <c r="A1290" t="s">
        <v>2100</v>
      </c>
      <c r="B1290">
        <v>0.434</v>
      </c>
      <c r="C1290" t="str">
        <f t="shared" si="20"/>
        <v>SOLVAY CHEMICALS INC</v>
      </c>
      <c r="D1290" t="b">
        <v>0</v>
      </c>
    </row>
    <row r="1291" spans="1:4" x14ac:dyDescent="0.25">
      <c r="A1291" t="s">
        <v>475</v>
      </c>
      <c r="B1291">
        <v>0.433</v>
      </c>
      <c r="C1291" t="str">
        <f t="shared" si="20"/>
        <v>CITY OF COLEMAN</v>
      </c>
      <c r="D1291" t="b">
        <v>0</v>
      </c>
    </row>
    <row r="1292" spans="1:4" x14ac:dyDescent="0.25">
      <c r="A1292" t="s">
        <v>2561</v>
      </c>
      <c r="B1292">
        <v>0.432</v>
      </c>
      <c r="C1292" t="str">
        <f t="shared" si="20"/>
        <v>COVESTRO LLC</v>
      </c>
      <c r="D1292" t="b">
        <v>0</v>
      </c>
    </row>
    <row r="1293" spans="1:4" x14ac:dyDescent="0.25">
      <c r="A1293" t="s">
        <v>1173</v>
      </c>
      <c r="B1293">
        <v>0.43099999999999999</v>
      </c>
      <c r="C1293" t="str">
        <f t="shared" si="20"/>
        <v>CITY OF POTTSBORO</v>
      </c>
      <c r="D1293" t="b">
        <v>0</v>
      </c>
    </row>
    <row r="1294" spans="1:4" x14ac:dyDescent="0.25">
      <c r="A1294" t="s">
        <v>2135</v>
      </c>
      <c r="B1294">
        <v>0.43099999999999999</v>
      </c>
      <c r="C1294" t="str">
        <f t="shared" si="20"/>
        <v>HARRIS COUNTY UTILITY DIST NO 16</v>
      </c>
      <c r="D1294" t="b">
        <v>0</v>
      </c>
    </row>
    <row r="1295" spans="1:4" x14ac:dyDescent="0.25">
      <c r="A1295" t="s">
        <v>866</v>
      </c>
      <c r="B1295">
        <v>0.43</v>
      </c>
      <c r="C1295" t="str">
        <f t="shared" si="20"/>
        <v>HUNTSMAN(H) PETROCHEM;H INTRNTL FUELS;H PROPY OXIDE;BLUEHALL;TPC GROUP</v>
      </c>
      <c r="D1295" t="b">
        <v>0</v>
      </c>
    </row>
    <row r="1296" spans="1:4" x14ac:dyDescent="0.25">
      <c r="A1296" t="s">
        <v>225</v>
      </c>
      <c r="B1296">
        <v>0.43</v>
      </c>
      <c r="C1296" t="str">
        <f t="shared" si="20"/>
        <v>PLAINVIEW BIOENERGY LLC</v>
      </c>
      <c r="D1296" t="b">
        <v>0</v>
      </c>
    </row>
    <row r="1297" spans="1:4" x14ac:dyDescent="0.25">
      <c r="A1297" t="s">
        <v>1855</v>
      </c>
      <c r="B1297">
        <v>0.42899999999999999</v>
      </c>
      <c r="C1297" t="str">
        <f t="shared" si="20"/>
        <v>CITY OF HOUSTON</v>
      </c>
      <c r="D1297" t="b">
        <v>0</v>
      </c>
    </row>
    <row r="1298" spans="1:4" x14ac:dyDescent="0.25">
      <c r="A1298" t="s">
        <v>2142</v>
      </c>
      <c r="B1298">
        <v>0.42895499999999998</v>
      </c>
      <c r="C1298" t="str">
        <f t="shared" si="20"/>
        <v>STOLTHAVEN HOUSTON INC</v>
      </c>
      <c r="D1298" t="b">
        <v>0</v>
      </c>
    </row>
    <row r="1299" spans="1:4" x14ac:dyDescent="0.25">
      <c r="A1299" t="s">
        <v>2750</v>
      </c>
      <c r="B1299">
        <v>0.42799999999999999</v>
      </c>
      <c r="C1299" t="str">
        <f t="shared" si="20"/>
        <v>CITY OF MABANK</v>
      </c>
      <c r="D1299" t="b">
        <v>0</v>
      </c>
    </row>
    <row r="1300" spans="1:4" x14ac:dyDescent="0.25">
      <c r="A1300" t="s">
        <v>1961</v>
      </c>
      <c r="B1300">
        <v>0.42799999999999999</v>
      </c>
      <c r="C1300" t="str">
        <f t="shared" si="20"/>
        <v>BLUE BELL MANOR UTILITY CO INC</v>
      </c>
      <c r="D1300" t="b">
        <v>0</v>
      </c>
    </row>
    <row r="1301" spans="1:4" x14ac:dyDescent="0.25">
      <c r="A1301" t="s">
        <v>195</v>
      </c>
      <c r="B1301">
        <v>0.42799999999999999</v>
      </c>
      <c r="C1301" t="str">
        <f t="shared" si="20"/>
        <v>FORT BEND CO MUD NO 142</v>
      </c>
      <c r="D1301" t="b">
        <v>0</v>
      </c>
    </row>
    <row r="1302" spans="1:4" x14ac:dyDescent="0.25">
      <c r="A1302" t="s">
        <v>149</v>
      </c>
      <c r="B1302">
        <v>0.42699999999999999</v>
      </c>
      <c r="C1302" t="str">
        <f t="shared" si="20"/>
        <v>CITY OF EASTLAND</v>
      </c>
      <c r="D1302" t="b">
        <v>0</v>
      </c>
    </row>
    <row r="1303" spans="1:4" x14ac:dyDescent="0.25">
      <c r="A1303" t="s">
        <v>1623</v>
      </c>
      <c r="B1303">
        <v>0.42599999999999999</v>
      </c>
      <c r="C1303" t="str">
        <f t="shared" si="20"/>
        <v>GALVESTON COUNTY MUD 12</v>
      </c>
      <c r="D1303" t="b">
        <v>0</v>
      </c>
    </row>
    <row r="1304" spans="1:4" x14ac:dyDescent="0.25">
      <c r="A1304" t="s">
        <v>1879</v>
      </c>
      <c r="B1304">
        <v>0.42580000000000001</v>
      </c>
      <c r="C1304" t="str">
        <f t="shared" si="20"/>
        <v>AQUA UTILITIES INC</v>
      </c>
      <c r="D1304" t="b">
        <v>0</v>
      </c>
    </row>
    <row r="1305" spans="1:4" x14ac:dyDescent="0.25">
      <c r="A1305" t="s">
        <v>2094</v>
      </c>
      <c r="B1305">
        <v>0.42499999999999999</v>
      </c>
      <c r="C1305" t="str">
        <f t="shared" si="20"/>
        <v>WEST PARK MUD</v>
      </c>
      <c r="D1305" t="b">
        <v>0</v>
      </c>
    </row>
    <row r="1306" spans="1:4" x14ac:dyDescent="0.25">
      <c r="A1306" t="s">
        <v>733</v>
      </c>
      <c r="B1306">
        <v>0.42299999999999999</v>
      </c>
      <c r="C1306" t="str">
        <f t="shared" si="20"/>
        <v>CITY OF HALLETTSVILLE</v>
      </c>
      <c r="D1306" t="b">
        <v>0</v>
      </c>
    </row>
    <row r="1307" spans="1:4" x14ac:dyDescent="0.25">
      <c r="A1307" t="s">
        <v>734</v>
      </c>
      <c r="B1307">
        <v>0.42299999999999999</v>
      </c>
      <c r="C1307" t="str">
        <f t="shared" si="20"/>
        <v>CITY OF SHINER</v>
      </c>
      <c r="D1307" t="b">
        <v>0</v>
      </c>
    </row>
    <row r="1308" spans="1:4" x14ac:dyDescent="0.25">
      <c r="A1308" t="s">
        <v>1996</v>
      </c>
      <c r="B1308">
        <v>0.42199999999999999</v>
      </c>
      <c r="C1308" t="str">
        <f t="shared" si="20"/>
        <v>NORTHWEST HARRIS CO MUD 5</v>
      </c>
      <c r="D1308" t="b">
        <v>0</v>
      </c>
    </row>
    <row r="1309" spans="1:4" x14ac:dyDescent="0.25">
      <c r="A1309" t="s">
        <v>2178</v>
      </c>
      <c r="B1309">
        <v>0.42199999999999999</v>
      </c>
      <c r="C1309" t="str">
        <f t="shared" si="20"/>
        <v>HARRIS COUNTY MUD 285</v>
      </c>
      <c r="D1309" t="b">
        <v>0</v>
      </c>
    </row>
    <row r="1310" spans="1:4" x14ac:dyDescent="0.25">
      <c r="A1310" t="s">
        <v>959</v>
      </c>
      <c r="B1310">
        <v>0.42099999999999999</v>
      </c>
      <c r="C1310" t="str">
        <f t="shared" si="20"/>
        <v>DELEK REFINING LTD</v>
      </c>
      <c r="D1310" t="b">
        <v>0</v>
      </c>
    </row>
    <row r="1311" spans="1:4" x14ac:dyDescent="0.25">
      <c r="A1311" t="s">
        <v>258</v>
      </c>
      <c r="B1311">
        <v>0.42099999999999999</v>
      </c>
      <c r="C1311" t="str">
        <f t="shared" si="20"/>
        <v>CITY OF GIDDINGS</v>
      </c>
      <c r="D1311" t="b">
        <v>0</v>
      </c>
    </row>
    <row r="1312" spans="1:4" x14ac:dyDescent="0.25">
      <c r="A1312" t="s">
        <v>2065</v>
      </c>
      <c r="B1312">
        <v>0.42021999999999998</v>
      </c>
      <c r="C1312" t="str">
        <f t="shared" si="20"/>
        <v>WEST HARRIS COUNTY MUD 15</v>
      </c>
      <c r="D1312" t="b">
        <v>0</v>
      </c>
    </row>
    <row r="1313" spans="1:4" x14ac:dyDescent="0.25">
      <c r="A1313" t="s">
        <v>801</v>
      </c>
      <c r="B1313">
        <v>0.42</v>
      </c>
      <c r="C1313" t="str">
        <f t="shared" si="20"/>
        <v>CITY OF TROUP</v>
      </c>
      <c r="D1313" t="b">
        <v>0</v>
      </c>
    </row>
    <row r="1314" spans="1:4" x14ac:dyDescent="0.25">
      <c r="A1314" t="s">
        <v>398</v>
      </c>
      <c r="B1314">
        <v>0.42</v>
      </c>
      <c r="C1314" t="str">
        <f t="shared" si="20"/>
        <v>CITY OF CANADIAN</v>
      </c>
      <c r="D1314" t="b">
        <v>0</v>
      </c>
    </row>
    <row r="1315" spans="1:4" x14ac:dyDescent="0.25">
      <c r="A1315" t="s">
        <v>2554</v>
      </c>
      <c r="B1315">
        <v>0.42</v>
      </c>
      <c r="C1315" t="str">
        <f t="shared" si="20"/>
        <v>CITY OF DEPORT</v>
      </c>
      <c r="D1315" t="b">
        <v>0</v>
      </c>
    </row>
    <row r="1316" spans="1:4" x14ac:dyDescent="0.25">
      <c r="A1316" t="s">
        <v>1341</v>
      </c>
      <c r="B1316">
        <v>0.41699999999999998</v>
      </c>
      <c r="C1316" t="str">
        <f t="shared" si="20"/>
        <v>CITY OF QUINLAN</v>
      </c>
      <c r="D1316" t="b">
        <v>0</v>
      </c>
    </row>
    <row r="1317" spans="1:4" x14ac:dyDescent="0.25">
      <c r="A1317" t="s">
        <v>1464</v>
      </c>
      <c r="B1317">
        <v>0.41599999999999998</v>
      </c>
      <c r="C1317" t="str">
        <f t="shared" si="20"/>
        <v>CITY OF REFUGIO (TOWN OF REFUGIO)</v>
      </c>
      <c r="D1317" t="b">
        <v>0</v>
      </c>
    </row>
    <row r="1318" spans="1:4" x14ac:dyDescent="0.25">
      <c r="A1318" t="s">
        <v>255</v>
      </c>
      <c r="B1318">
        <v>0.41499999999999998</v>
      </c>
      <c r="C1318" t="str">
        <f t="shared" si="20"/>
        <v>CITY OF STAMFORD</v>
      </c>
      <c r="D1318" t="b">
        <v>0</v>
      </c>
    </row>
    <row r="1319" spans="1:4" x14ac:dyDescent="0.25">
      <c r="A1319" t="s">
        <v>2121</v>
      </c>
      <c r="B1319">
        <v>0.41399999999999998</v>
      </c>
      <c r="C1319" t="str">
        <f t="shared" si="20"/>
        <v>WEST HARRIS COUNTY MUD 6</v>
      </c>
      <c r="D1319" t="b">
        <v>0</v>
      </c>
    </row>
    <row r="1320" spans="1:4" x14ac:dyDescent="0.25">
      <c r="A1320" t="s">
        <v>1181</v>
      </c>
      <c r="B1320">
        <v>0.41199999999999998</v>
      </c>
      <c r="C1320" t="str">
        <f t="shared" si="20"/>
        <v>CITY OF RENO</v>
      </c>
      <c r="D1320" t="b">
        <v>0</v>
      </c>
    </row>
    <row r="1321" spans="1:4" x14ac:dyDescent="0.25">
      <c r="A1321" t="s">
        <v>2730</v>
      </c>
      <c r="B1321">
        <v>0.41099999999999998</v>
      </c>
      <c r="C1321" t="str">
        <f t="shared" si="20"/>
        <v>CITY OF FAIRFIELD</v>
      </c>
      <c r="D1321" t="b">
        <v>0</v>
      </c>
    </row>
    <row r="1322" spans="1:4" x14ac:dyDescent="0.25">
      <c r="A1322" t="s">
        <v>1400</v>
      </c>
      <c r="B1322">
        <v>0.41</v>
      </c>
      <c r="C1322" t="str">
        <f t="shared" si="20"/>
        <v>CITY OF TATUM</v>
      </c>
      <c r="D1322" t="b">
        <v>0</v>
      </c>
    </row>
    <row r="1323" spans="1:4" x14ac:dyDescent="0.25">
      <c r="A1323" t="s">
        <v>246</v>
      </c>
      <c r="B1323">
        <v>0.41</v>
      </c>
      <c r="C1323" t="str">
        <f t="shared" si="20"/>
        <v>CITY OF GRANBURY</v>
      </c>
      <c r="D1323" t="b">
        <v>0</v>
      </c>
    </row>
    <row r="1324" spans="1:4" x14ac:dyDescent="0.25">
      <c r="A1324" t="s">
        <v>576</v>
      </c>
      <c r="B1324">
        <v>0.40899999999999997</v>
      </c>
      <c r="C1324" t="str">
        <f t="shared" si="20"/>
        <v>NORTHEAST TEXAS MUNICIPAL WATER DISTRICT</v>
      </c>
      <c r="D1324" t="b">
        <v>0</v>
      </c>
    </row>
    <row r="1325" spans="1:4" x14ac:dyDescent="0.25">
      <c r="A1325" t="s">
        <v>2490</v>
      </c>
      <c r="B1325">
        <v>0.40873900000000002</v>
      </c>
      <c r="C1325" t="str">
        <f t="shared" si="20"/>
        <v>MONTGOMERY CO MUD 113</v>
      </c>
      <c r="D1325" t="b">
        <v>0</v>
      </c>
    </row>
    <row r="1326" spans="1:4" x14ac:dyDescent="0.25">
      <c r="A1326" t="s">
        <v>186</v>
      </c>
      <c r="B1326">
        <v>0.40500000000000003</v>
      </c>
      <c r="C1326" t="str">
        <f t="shared" si="20"/>
        <v>FORT BEND COUNTY MUD 118</v>
      </c>
      <c r="D1326" t="b">
        <v>0</v>
      </c>
    </row>
    <row r="1327" spans="1:4" x14ac:dyDescent="0.25">
      <c r="A1327" t="s">
        <v>2367</v>
      </c>
      <c r="B1327">
        <v>0.40400000000000003</v>
      </c>
      <c r="C1327" t="str">
        <f t="shared" si="20"/>
        <v>HARRIS COUNTY MUD 495</v>
      </c>
      <c r="D1327" t="b">
        <v>0</v>
      </c>
    </row>
    <row r="1328" spans="1:4" x14ac:dyDescent="0.25">
      <c r="A1328" t="s">
        <v>1228</v>
      </c>
      <c r="B1328">
        <v>0.40400000000000003</v>
      </c>
      <c r="C1328" t="e">
        <f t="shared" si="20"/>
        <v>#N/A</v>
      </c>
      <c r="D1328" t="b">
        <v>0</v>
      </c>
    </row>
    <row r="1329" spans="1:4" x14ac:dyDescent="0.25">
      <c r="A1329" t="s">
        <v>2333</v>
      </c>
      <c r="B1329">
        <v>0.40300000000000002</v>
      </c>
      <c r="C1329" t="str">
        <f t="shared" si="20"/>
        <v>HARRIS CO MUD NO 500</v>
      </c>
      <c r="D1329" t="b">
        <v>0</v>
      </c>
    </row>
    <row r="1330" spans="1:4" x14ac:dyDescent="0.25">
      <c r="A1330" t="s">
        <v>1121</v>
      </c>
      <c r="B1330">
        <v>0.40200000000000002</v>
      </c>
      <c r="C1330" t="str">
        <f t="shared" si="20"/>
        <v>CITY OF DILLEY</v>
      </c>
      <c r="D1330" t="b">
        <v>0</v>
      </c>
    </row>
    <row r="1331" spans="1:4" x14ac:dyDescent="0.25">
      <c r="A1331" t="s">
        <v>171</v>
      </c>
      <c r="B1331">
        <v>0.40100000000000002</v>
      </c>
      <c r="C1331" t="str">
        <f t="shared" si="20"/>
        <v>PLANTATION MUD</v>
      </c>
      <c r="D1331" t="b">
        <v>0</v>
      </c>
    </row>
    <row r="1332" spans="1:4" x14ac:dyDescent="0.25">
      <c r="A1332" t="s">
        <v>1753</v>
      </c>
      <c r="B1332">
        <v>0.4</v>
      </c>
      <c r="C1332" t="str">
        <f t="shared" si="20"/>
        <v>TPC GROUP LLC AND JOHN EDWARD FRANTZ</v>
      </c>
      <c r="D1332" t="b">
        <v>0</v>
      </c>
    </row>
    <row r="1333" spans="1:4" x14ac:dyDescent="0.25">
      <c r="A1333" t="s">
        <v>2682</v>
      </c>
      <c r="B1333">
        <v>0.4</v>
      </c>
      <c r="C1333" t="str">
        <f t="shared" si="20"/>
        <v>CITY OF JUSTIN</v>
      </c>
      <c r="D1333" t="b">
        <v>0</v>
      </c>
    </row>
    <row r="1334" spans="1:4" x14ac:dyDescent="0.25">
      <c r="A1334" t="s">
        <v>1670</v>
      </c>
      <c r="B1334">
        <v>0.4</v>
      </c>
      <c r="C1334" t="str">
        <f t="shared" si="20"/>
        <v>HARRIS COUNTY WCID NO 50</v>
      </c>
      <c r="D1334" t="b">
        <v>0</v>
      </c>
    </row>
    <row r="1335" spans="1:4" x14ac:dyDescent="0.25">
      <c r="A1335" t="s">
        <v>1435</v>
      </c>
      <c r="B1335">
        <v>0.4</v>
      </c>
      <c r="C1335" t="str">
        <f t="shared" si="20"/>
        <v>CITY OF GRAND SALINE</v>
      </c>
      <c r="D1335" t="b">
        <v>0</v>
      </c>
    </row>
    <row r="1336" spans="1:4" x14ac:dyDescent="0.25">
      <c r="A1336" t="s">
        <v>1123</v>
      </c>
      <c r="B1336">
        <v>0.4</v>
      </c>
      <c r="C1336" t="str">
        <f t="shared" si="20"/>
        <v>DIAMOND SHAMROCK REFINING CO LP</v>
      </c>
      <c r="D1336" t="b">
        <v>0</v>
      </c>
    </row>
    <row r="1337" spans="1:4" x14ac:dyDescent="0.25">
      <c r="A1337" t="s">
        <v>2341</v>
      </c>
      <c r="B1337">
        <v>0.4</v>
      </c>
      <c r="C1337" t="str">
        <f t="shared" si="20"/>
        <v>KINDER MORGAN PETCOKE LP</v>
      </c>
      <c r="D1337" t="b">
        <v>0</v>
      </c>
    </row>
    <row r="1338" spans="1:4" x14ac:dyDescent="0.25">
      <c r="A1338" t="s">
        <v>908</v>
      </c>
      <c r="B1338">
        <v>0.39910000000000001</v>
      </c>
      <c r="C1338" t="str">
        <f t="shared" si="20"/>
        <v>CAL-TEX LUMBER CO INC</v>
      </c>
      <c r="D1338" t="b">
        <v>0</v>
      </c>
    </row>
    <row r="1339" spans="1:4" x14ac:dyDescent="0.25">
      <c r="A1339" t="s">
        <v>2317</v>
      </c>
      <c r="B1339">
        <v>0.39800000000000002</v>
      </c>
      <c r="C1339" t="str">
        <f t="shared" si="20"/>
        <v>HARRIS COUNTY MUD 412</v>
      </c>
      <c r="D1339" t="b">
        <v>0</v>
      </c>
    </row>
    <row r="1340" spans="1:4" x14ac:dyDescent="0.25">
      <c r="A1340" t="s">
        <v>214</v>
      </c>
      <c r="B1340">
        <v>0.39500000000000002</v>
      </c>
      <c r="C1340" t="str">
        <f t="shared" si="20"/>
        <v>FORT BEND COUNTY MUD NO 134A</v>
      </c>
      <c r="D1340" t="b">
        <v>0</v>
      </c>
    </row>
    <row r="1341" spans="1:4" x14ac:dyDescent="0.25">
      <c r="A1341" t="s">
        <v>2547</v>
      </c>
      <c r="B1341">
        <v>0.39406200000000002</v>
      </c>
      <c r="C1341" t="str">
        <f t="shared" si="20"/>
        <v>CITY OF BLOSSOM</v>
      </c>
      <c r="D1341" t="b">
        <v>0</v>
      </c>
    </row>
    <row r="1342" spans="1:4" x14ac:dyDescent="0.25">
      <c r="A1342" t="s">
        <v>342</v>
      </c>
      <c r="B1342">
        <v>0.39400000000000002</v>
      </c>
      <c r="C1342" t="str">
        <f t="shared" si="20"/>
        <v>MAJOR OAK POWER LLC</v>
      </c>
      <c r="D1342" t="b">
        <v>0</v>
      </c>
    </row>
    <row r="1343" spans="1:4" x14ac:dyDescent="0.25">
      <c r="A1343" t="s">
        <v>1029</v>
      </c>
      <c r="B1343">
        <v>0.39400000000000002</v>
      </c>
      <c r="C1343" t="str">
        <f t="shared" si="20"/>
        <v>MILITARY HIGHWAY WSC</v>
      </c>
      <c r="D1343" t="b">
        <v>0</v>
      </c>
    </row>
    <row r="1344" spans="1:4" x14ac:dyDescent="0.25">
      <c r="A1344" t="s">
        <v>2155</v>
      </c>
      <c r="B1344">
        <v>0.39300000000000002</v>
      </c>
      <c r="C1344" t="str">
        <f t="shared" si="20"/>
        <v>CITY OF JERSEY VILLAGE</v>
      </c>
      <c r="D1344" t="b">
        <v>0</v>
      </c>
    </row>
    <row r="1345" spans="1:4" x14ac:dyDescent="0.25">
      <c r="A1345" t="s">
        <v>2746</v>
      </c>
      <c r="B1345">
        <v>0.39100000000000001</v>
      </c>
      <c r="C1345" t="str">
        <f t="shared" si="20"/>
        <v>CITY OF MALAKOFF</v>
      </c>
      <c r="D1345" t="b">
        <v>0</v>
      </c>
    </row>
    <row r="1346" spans="1:4" x14ac:dyDescent="0.25">
      <c r="A1346" t="s">
        <v>157</v>
      </c>
      <c r="B1346">
        <v>0.39100000000000001</v>
      </c>
      <c r="C1346" t="str">
        <f t="shared" ref="C1346:C1409" si="21">VLOOKUP(A1346,PERMITTEES,2,FALSE)</f>
        <v>CITY OF DUBLIN</v>
      </c>
      <c r="D1346" t="b">
        <v>0</v>
      </c>
    </row>
    <row r="1347" spans="1:4" x14ac:dyDescent="0.25">
      <c r="A1347" t="s">
        <v>762</v>
      </c>
      <c r="B1347">
        <v>0.39</v>
      </c>
      <c r="C1347" t="str">
        <f t="shared" si="21"/>
        <v>CITY OF PORT ARTHUR</v>
      </c>
      <c r="D1347" t="b">
        <v>0</v>
      </c>
    </row>
    <row r="1348" spans="1:4" x14ac:dyDescent="0.25">
      <c r="A1348" t="s">
        <v>629</v>
      </c>
      <c r="B1348">
        <v>0.39</v>
      </c>
      <c r="C1348" t="str">
        <f t="shared" si="21"/>
        <v>GUADALUPE-BLANCO RIVER AUTHORITY</v>
      </c>
      <c r="D1348" t="b">
        <v>0</v>
      </c>
    </row>
    <row r="1349" spans="1:4" x14ac:dyDescent="0.25">
      <c r="A1349" t="s">
        <v>1190</v>
      </c>
      <c r="B1349">
        <v>0.39</v>
      </c>
      <c r="C1349" t="str">
        <f t="shared" si="21"/>
        <v>CITY OF ELECTRA</v>
      </c>
      <c r="D1349" t="b">
        <v>0</v>
      </c>
    </row>
    <row r="1350" spans="1:4" x14ac:dyDescent="0.25">
      <c r="A1350" t="s">
        <v>1107</v>
      </c>
      <c r="B1350">
        <v>0.39</v>
      </c>
      <c r="C1350" t="str">
        <f t="shared" si="21"/>
        <v>CITY OF POTEET</v>
      </c>
      <c r="D1350" t="b">
        <v>0</v>
      </c>
    </row>
    <row r="1351" spans="1:4" x14ac:dyDescent="0.25">
      <c r="A1351" t="s">
        <v>2524</v>
      </c>
      <c r="B1351">
        <v>0.39</v>
      </c>
      <c r="C1351" t="str">
        <f t="shared" si="21"/>
        <v>CITY OF DE KALB</v>
      </c>
      <c r="D1351" t="b">
        <v>0</v>
      </c>
    </row>
    <row r="1352" spans="1:4" x14ac:dyDescent="0.25">
      <c r="A1352" t="s">
        <v>2134</v>
      </c>
      <c r="B1352">
        <v>0.38635199999999997</v>
      </c>
      <c r="C1352" t="str">
        <f t="shared" si="21"/>
        <v>HARRIS COUNTY MUD 130</v>
      </c>
      <c r="D1352" t="b">
        <v>0</v>
      </c>
    </row>
    <row r="1353" spans="1:4" x14ac:dyDescent="0.25">
      <c r="A1353" t="s">
        <v>239</v>
      </c>
      <c r="B1353">
        <v>0.38500000000000001</v>
      </c>
      <c r="C1353" t="str">
        <f t="shared" si="21"/>
        <v>ACTON MUD</v>
      </c>
      <c r="D1353" t="b">
        <v>0</v>
      </c>
    </row>
    <row r="1354" spans="1:4" x14ac:dyDescent="0.25">
      <c r="A1354" t="s">
        <v>928</v>
      </c>
      <c r="B1354">
        <v>0.38429999999999997</v>
      </c>
      <c r="C1354" t="str">
        <f t="shared" si="21"/>
        <v>GEORGIA-PACIFIC WOOD PRODUCTS LLC</v>
      </c>
      <c r="D1354" t="b">
        <v>0</v>
      </c>
    </row>
    <row r="1355" spans="1:4" x14ac:dyDescent="0.25">
      <c r="A1355" t="s">
        <v>2025</v>
      </c>
      <c r="B1355">
        <v>0.38400000000000001</v>
      </c>
      <c r="C1355" t="str">
        <f t="shared" si="21"/>
        <v>NORTHWEST HARRIS COUNTY MUD 16</v>
      </c>
      <c r="D1355" t="b">
        <v>0</v>
      </c>
    </row>
    <row r="1356" spans="1:4" x14ac:dyDescent="0.25">
      <c r="A1356" t="s">
        <v>2039</v>
      </c>
      <c r="B1356">
        <v>0.38400000000000001</v>
      </c>
      <c r="C1356" t="str">
        <f t="shared" si="21"/>
        <v>BILMA PUD</v>
      </c>
      <c r="D1356" t="b">
        <v>0</v>
      </c>
    </row>
    <row r="1357" spans="1:4" x14ac:dyDescent="0.25">
      <c r="A1357" t="s">
        <v>1858</v>
      </c>
      <c r="B1357">
        <v>0.38300000000000001</v>
      </c>
      <c r="C1357" t="str">
        <f t="shared" si="21"/>
        <v>EL DORADO UTILITY DISTRICT</v>
      </c>
      <c r="D1357" t="b">
        <v>0</v>
      </c>
    </row>
    <row r="1358" spans="1:4" x14ac:dyDescent="0.25">
      <c r="A1358" t="s">
        <v>2580</v>
      </c>
      <c r="B1358">
        <v>0.38</v>
      </c>
      <c r="C1358" t="str">
        <f t="shared" si="21"/>
        <v>SUEZ WTS SERVICES USA INC</v>
      </c>
      <c r="D1358" t="b">
        <v>0</v>
      </c>
    </row>
    <row r="1359" spans="1:4" x14ac:dyDescent="0.25">
      <c r="A1359" t="s">
        <v>709</v>
      </c>
      <c r="B1359">
        <v>0.3775</v>
      </c>
      <c r="C1359" t="str">
        <f t="shared" si="21"/>
        <v>AQUA TEXAS INC</v>
      </c>
      <c r="D1359" t="b">
        <v>0</v>
      </c>
    </row>
    <row r="1360" spans="1:4" x14ac:dyDescent="0.25">
      <c r="A1360" t="s">
        <v>585</v>
      </c>
      <c r="B1360">
        <v>0.37669999999999998</v>
      </c>
      <c r="C1360" t="str">
        <f t="shared" si="21"/>
        <v>CITY OF LONE STAR</v>
      </c>
      <c r="D1360" t="b">
        <v>0</v>
      </c>
    </row>
    <row r="1361" spans="1:4" x14ac:dyDescent="0.25">
      <c r="A1361" t="s">
        <v>2539</v>
      </c>
      <c r="B1361">
        <v>0.376</v>
      </c>
      <c r="C1361" t="str">
        <f t="shared" si="21"/>
        <v>CITY OF MOUNT VERNON</v>
      </c>
      <c r="D1361" t="b">
        <v>0</v>
      </c>
    </row>
    <row r="1362" spans="1:4" x14ac:dyDescent="0.25">
      <c r="A1362" t="s">
        <v>1613</v>
      </c>
      <c r="B1362">
        <v>0.3755</v>
      </c>
      <c r="C1362" t="str">
        <f t="shared" si="21"/>
        <v>BP AMOCO CHEMICAL CO</v>
      </c>
      <c r="D1362" t="b">
        <v>0</v>
      </c>
    </row>
    <row r="1363" spans="1:4" x14ac:dyDescent="0.25">
      <c r="A1363" t="s">
        <v>1003</v>
      </c>
      <c r="B1363">
        <v>0.375</v>
      </c>
      <c r="C1363" t="str">
        <f t="shared" si="21"/>
        <v>SAN DIEGO MUD 1</v>
      </c>
      <c r="D1363" t="b">
        <v>0</v>
      </c>
    </row>
    <row r="1364" spans="1:4" x14ac:dyDescent="0.25">
      <c r="A1364" t="s">
        <v>1865</v>
      </c>
      <c r="B1364">
        <v>0.375</v>
      </c>
      <c r="C1364" t="str">
        <f t="shared" si="21"/>
        <v>HARRIS COUNTY FWSD 52</v>
      </c>
      <c r="D1364" t="b">
        <v>0</v>
      </c>
    </row>
    <row r="1365" spans="1:4" x14ac:dyDescent="0.25">
      <c r="A1365" t="s">
        <v>963</v>
      </c>
      <c r="B1365">
        <v>0.375</v>
      </c>
      <c r="C1365" t="str">
        <f t="shared" si="21"/>
        <v>CITY OF ARP</v>
      </c>
      <c r="D1365" t="b">
        <v>0</v>
      </c>
    </row>
    <row r="1366" spans="1:4" x14ac:dyDescent="0.25">
      <c r="A1366" t="s">
        <v>16</v>
      </c>
      <c r="B1366">
        <v>0.375</v>
      </c>
      <c r="C1366" t="str">
        <f t="shared" si="21"/>
        <v>TEXAS DEPT OF CRIMINAL JUSTICE</v>
      </c>
      <c r="D1366" t="b">
        <v>0</v>
      </c>
    </row>
    <row r="1367" spans="1:4" x14ac:dyDescent="0.25">
      <c r="A1367" t="s">
        <v>935</v>
      </c>
      <c r="B1367">
        <v>0.375</v>
      </c>
      <c r="C1367" t="str">
        <f t="shared" si="21"/>
        <v>CITY OF CORRIGAN</v>
      </c>
      <c r="D1367" t="b">
        <v>0</v>
      </c>
    </row>
    <row r="1368" spans="1:4" x14ac:dyDescent="0.25">
      <c r="A1368" t="s">
        <v>790</v>
      </c>
      <c r="B1368">
        <v>0.374</v>
      </c>
      <c r="C1368" t="str">
        <f t="shared" si="21"/>
        <v>CITY OF HUNTINGTON</v>
      </c>
      <c r="D1368" t="b">
        <v>0</v>
      </c>
    </row>
    <row r="1369" spans="1:4" x14ac:dyDescent="0.25">
      <c r="A1369" t="s">
        <v>24</v>
      </c>
      <c r="B1369">
        <v>0.373</v>
      </c>
      <c r="C1369" t="str">
        <f t="shared" si="21"/>
        <v>CITY OF NEEDVILLE</v>
      </c>
      <c r="D1369" t="b">
        <v>0</v>
      </c>
    </row>
    <row r="1370" spans="1:4" x14ac:dyDescent="0.25">
      <c r="A1370" t="s">
        <v>207</v>
      </c>
      <c r="B1370">
        <v>0.372</v>
      </c>
      <c r="C1370" t="str">
        <f t="shared" si="21"/>
        <v>CITY OF RICHMOND</v>
      </c>
      <c r="D1370" t="b">
        <v>0</v>
      </c>
    </row>
    <row r="1371" spans="1:4" x14ac:dyDescent="0.25">
      <c r="A1371" t="s">
        <v>1860</v>
      </c>
      <c r="B1371">
        <v>0.36736799999999997</v>
      </c>
      <c r="C1371" t="str">
        <f t="shared" si="21"/>
        <v>SPENCER ROAD PUD</v>
      </c>
      <c r="D1371" t="b">
        <v>0</v>
      </c>
    </row>
    <row r="1372" spans="1:4" x14ac:dyDescent="0.25">
      <c r="A1372" t="s">
        <v>1135</v>
      </c>
      <c r="B1372">
        <v>0.36499999999999999</v>
      </c>
      <c r="C1372" t="str">
        <f t="shared" si="21"/>
        <v>CITY OF DEVINE</v>
      </c>
      <c r="D1372" t="b">
        <v>0</v>
      </c>
    </row>
    <row r="1373" spans="1:4" x14ac:dyDescent="0.25">
      <c r="A1373" t="s">
        <v>1527</v>
      </c>
      <c r="B1373">
        <v>0.36499999999999999</v>
      </c>
      <c r="C1373" t="str">
        <f t="shared" si="21"/>
        <v>CITY OF KENEDY</v>
      </c>
      <c r="D1373" t="b">
        <v>0</v>
      </c>
    </row>
    <row r="1374" spans="1:4" x14ac:dyDescent="0.25">
      <c r="A1374" t="s">
        <v>2131</v>
      </c>
      <c r="B1374">
        <v>0.36130000000000001</v>
      </c>
      <c r="C1374" t="str">
        <f t="shared" si="21"/>
        <v>SPRING WEST MUD</v>
      </c>
      <c r="D1374" t="b">
        <v>0</v>
      </c>
    </row>
    <row r="1375" spans="1:4" x14ac:dyDescent="0.25">
      <c r="A1375" t="s">
        <v>136</v>
      </c>
      <c r="B1375">
        <v>0.36099999999999999</v>
      </c>
      <c r="C1375" t="str">
        <f t="shared" si="21"/>
        <v>CITY OF COMANCHE</v>
      </c>
      <c r="D1375" t="b">
        <v>0</v>
      </c>
    </row>
    <row r="1376" spans="1:4" x14ac:dyDescent="0.25">
      <c r="A1376" t="s">
        <v>1421</v>
      </c>
      <c r="B1376">
        <v>0.36</v>
      </c>
      <c r="C1376" t="str">
        <f t="shared" si="21"/>
        <v>MCWANE INC</v>
      </c>
      <c r="D1376" t="b">
        <v>0</v>
      </c>
    </row>
    <row r="1377" spans="1:4" x14ac:dyDescent="0.25">
      <c r="A1377" t="s">
        <v>2562</v>
      </c>
      <c r="B1377">
        <v>0.36</v>
      </c>
      <c r="C1377" t="str">
        <f t="shared" si="21"/>
        <v>COVESTRO LLC</v>
      </c>
      <c r="D1377" t="b">
        <v>0</v>
      </c>
    </row>
    <row r="1378" spans="1:4" x14ac:dyDescent="0.25">
      <c r="A1378" t="s">
        <v>2236</v>
      </c>
      <c r="B1378">
        <v>0.36</v>
      </c>
      <c r="C1378" t="str">
        <f t="shared" si="21"/>
        <v>HARRIS COUNTY MUD 11</v>
      </c>
      <c r="D1378" t="b">
        <v>0</v>
      </c>
    </row>
    <row r="1379" spans="1:4" x14ac:dyDescent="0.25">
      <c r="A1379" t="s">
        <v>953</v>
      </c>
      <c r="B1379">
        <v>0.35899999999999999</v>
      </c>
      <c r="C1379" t="str">
        <f t="shared" si="21"/>
        <v>DELEK REFINING LTD</v>
      </c>
      <c r="D1379" t="b">
        <v>0</v>
      </c>
    </row>
    <row r="1380" spans="1:4" x14ac:dyDescent="0.25">
      <c r="A1380" t="s">
        <v>518</v>
      </c>
      <c r="B1380">
        <v>0.35899999999999999</v>
      </c>
      <c r="C1380" t="str">
        <f t="shared" si="21"/>
        <v>KINGSLAND MUD</v>
      </c>
      <c r="D1380" t="b">
        <v>0</v>
      </c>
    </row>
    <row r="1381" spans="1:4" x14ac:dyDescent="0.25">
      <c r="A1381" t="s">
        <v>1129</v>
      </c>
      <c r="B1381">
        <v>0.35899999999999999</v>
      </c>
      <c r="C1381" t="str">
        <f t="shared" si="21"/>
        <v>CITY OF GEORGE WEST</v>
      </c>
      <c r="D1381" t="b">
        <v>0</v>
      </c>
    </row>
    <row r="1382" spans="1:4" x14ac:dyDescent="0.25">
      <c r="A1382" t="s">
        <v>1955</v>
      </c>
      <c r="B1382">
        <v>0.3584</v>
      </c>
      <c r="C1382" t="str">
        <f t="shared" si="21"/>
        <v>SUNBELT FWSD</v>
      </c>
      <c r="D1382" t="b">
        <v>0</v>
      </c>
    </row>
    <row r="1383" spans="1:4" x14ac:dyDescent="0.25">
      <c r="A1383" t="s">
        <v>676</v>
      </c>
      <c r="B1383">
        <v>0.35699999999999998</v>
      </c>
      <c r="C1383" t="str">
        <f t="shared" si="21"/>
        <v>AQUA TEXAS INC</v>
      </c>
      <c r="D1383" t="b">
        <v>0</v>
      </c>
    </row>
    <row r="1384" spans="1:4" x14ac:dyDescent="0.25">
      <c r="A1384" t="s">
        <v>1149</v>
      </c>
      <c r="B1384">
        <v>0.35699999999999998</v>
      </c>
      <c r="C1384" t="str">
        <f t="shared" si="21"/>
        <v>CITY OF CHILDRESS</v>
      </c>
      <c r="D1384" t="b">
        <v>0</v>
      </c>
    </row>
    <row r="1385" spans="1:4" x14ac:dyDescent="0.25">
      <c r="A1385" t="s">
        <v>817</v>
      </c>
      <c r="B1385">
        <v>0.35666599999999998</v>
      </c>
      <c r="C1385" t="str">
        <f t="shared" si="21"/>
        <v>SOUTH HAMPTON RESOURCES INC</v>
      </c>
      <c r="D1385" t="b">
        <v>0</v>
      </c>
    </row>
    <row r="1386" spans="1:4" x14ac:dyDescent="0.25">
      <c r="A1386" t="s">
        <v>1139</v>
      </c>
      <c r="B1386">
        <v>0.35599999999999998</v>
      </c>
      <c r="C1386" t="str">
        <f t="shared" si="21"/>
        <v>CITY OF UVALDE</v>
      </c>
      <c r="D1386" t="b">
        <v>0</v>
      </c>
    </row>
    <row r="1387" spans="1:4" x14ac:dyDescent="0.25">
      <c r="A1387" t="s">
        <v>2015</v>
      </c>
      <c r="B1387">
        <v>0.35599999999999998</v>
      </c>
      <c r="C1387" t="str">
        <f t="shared" si="21"/>
        <v>MILLS ROAD MUD</v>
      </c>
      <c r="D1387" t="b">
        <v>0</v>
      </c>
    </row>
    <row r="1388" spans="1:4" x14ac:dyDescent="0.25">
      <c r="A1388" t="s">
        <v>2017</v>
      </c>
      <c r="B1388">
        <v>0.35599999999999998</v>
      </c>
      <c r="C1388" t="str">
        <f t="shared" si="21"/>
        <v>NORTHWEST FREEWAY MUD</v>
      </c>
      <c r="D1388" t="b">
        <v>0</v>
      </c>
    </row>
    <row r="1389" spans="1:4" x14ac:dyDescent="0.25">
      <c r="A1389" t="s">
        <v>2448</v>
      </c>
      <c r="B1389">
        <v>0.35399999999999998</v>
      </c>
      <c r="C1389" t="str">
        <f t="shared" si="21"/>
        <v>MONTGOMERY COUNTY MUD NO 18</v>
      </c>
      <c r="D1389" t="b">
        <v>0</v>
      </c>
    </row>
    <row r="1390" spans="1:4" x14ac:dyDescent="0.25">
      <c r="A1390" t="s">
        <v>454</v>
      </c>
      <c r="B1390">
        <v>0.35299999999999998</v>
      </c>
      <c r="C1390" t="str">
        <f t="shared" si="21"/>
        <v>CITY OF SMITHVILLE</v>
      </c>
      <c r="D1390" t="b">
        <v>0</v>
      </c>
    </row>
    <row r="1391" spans="1:4" x14ac:dyDescent="0.25">
      <c r="A1391" t="s">
        <v>1902</v>
      </c>
      <c r="B1391">
        <v>0.35299999999999998</v>
      </c>
      <c r="C1391" t="str">
        <f t="shared" si="21"/>
        <v>CYPRESS-KLEIN UD</v>
      </c>
      <c r="D1391" t="b">
        <v>0</v>
      </c>
    </row>
    <row r="1392" spans="1:4" x14ac:dyDescent="0.25">
      <c r="A1392" t="s">
        <v>1839</v>
      </c>
      <c r="B1392">
        <v>0.35277399999999998</v>
      </c>
      <c r="C1392" t="str">
        <f t="shared" si="21"/>
        <v>SUNBELT FWSD</v>
      </c>
      <c r="D1392" t="b">
        <v>0</v>
      </c>
    </row>
    <row r="1393" spans="1:4" x14ac:dyDescent="0.25">
      <c r="A1393" t="s">
        <v>1656</v>
      </c>
      <c r="B1393">
        <v>0.35099999999999998</v>
      </c>
      <c r="C1393" t="str">
        <f t="shared" si="21"/>
        <v>THE DOW CHEMICAL CO</v>
      </c>
      <c r="D1393" t="b">
        <v>0</v>
      </c>
    </row>
    <row r="1394" spans="1:4" x14ac:dyDescent="0.25">
      <c r="A1394" t="s">
        <v>2029</v>
      </c>
      <c r="B1394">
        <v>0.35099999999999998</v>
      </c>
      <c r="C1394" t="str">
        <f t="shared" si="21"/>
        <v>FRY ROAD MUD</v>
      </c>
      <c r="D1394" t="b">
        <v>0</v>
      </c>
    </row>
    <row r="1395" spans="1:4" x14ac:dyDescent="0.25">
      <c r="A1395" t="s">
        <v>2056</v>
      </c>
      <c r="B1395">
        <v>0.35</v>
      </c>
      <c r="C1395" t="str">
        <f t="shared" si="21"/>
        <v>HARRIS COUNTY MUD 185</v>
      </c>
      <c r="D1395" t="b">
        <v>0</v>
      </c>
    </row>
    <row r="1396" spans="1:4" x14ac:dyDescent="0.25">
      <c r="A1396" t="s">
        <v>1363</v>
      </c>
      <c r="B1396">
        <v>0.348437</v>
      </c>
      <c r="C1396" t="str">
        <f t="shared" si="21"/>
        <v>SABINE RIVER AUTHORITY (SRA) OF TX, SRA-STATE OF LA AND ENTERGY TX INC</v>
      </c>
      <c r="D1396" t="b">
        <v>0</v>
      </c>
    </row>
    <row r="1397" spans="1:4" x14ac:dyDescent="0.25">
      <c r="A1397" t="s">
        <v>1422</v>
      </c>
      <c r="B1397">
        <v>0.34799999999999998</v>
      </c>
      <c r="C1397" t="str">
        <f t="shared" si="21"/>
        <v>MCWANE INC</v>
      </c>
      <c r="D1397" t="b">
        <v>0</v>
      </c>
    </row>
    <row r="1398" spans="1:4" x14ac:dyDescent="0.25">
      <c r="A1398" t="s">
        <v>1614</v>
      </c>
      <c r="B1398">
        <v>0.34749999999999998</v>
      </c>
      <c r="C1398" t="str">
        <f t="shared" si="21"/>
        <v>BP AMOCO CHEMICAL CO</v>
      </c>
      <c r="D1398" t="b">
        <v>0</v>
      </c>
    </row>
    <row r="1399" spans="1:4" x14ac:dyDescent="0.25">
      <c r="A1399" t="s">
        <v>780</v>
      </c>
      <c r="B1399">
        <v>0.34699999999999998</v>
      </c>
      <c r="C1399" t="str">
        <f t="shared" si="21"/>
        <v>TPC GROUP LLC</v>
      </c>
      <c r="D1399" t="b">
        <v>0</v>
      </c>
    </row>
    <row r="1400" spans="1:4" x14ac:dyDescent="0.25">
      <c r="A1400" t="s">
        <v>2536</v>
      </c>
      <c r="B1400">
        <v>0.34697800000000001</v>
      </c>
      <c r="C1400" t="str">
        <f t="shared" si="21"/>
        <v>CITY OF COOPER</v>
      </c>
      <c r="D1400" t="b">
        <v>0</v>
      </c>
    </row>
    <row r="1401" spans="1:4" x14ac:dyDescent="0.25">
      <c r="A1401" t="s">
        <v>329</v>
      </c>
      <c r="B1401">
        <v>0.34499999999999997</v>
      </c>
      <c r="C1401" t="str">
        <f t="shared" si="21"/>
        <v>CITY OF MINERAL WELLS</v>
      </c>
      <c r="D1401" t="b">
        <v>0</v>
      </c>
    </row>
    <row r="1402" spans="1:4" x14ac:dyDescent="0.25">
      <c r="A1402" t="s">
        <v>15</v>
      </c>
      <c r="B1402">
        <v>0.34499999999999997</v>
      </c>
      <c r="C1402" t="str">
        <f t="shared" si="21"/>
        <v>TEXAS DEPT OF CRIMINAL JUSTICE</v>
      </c>
      <c r="D1402" t="b">
        <v>0</v>
      </c>
    </row>
    <row r="1403" spans="1:4" x14ac:dyDescent="0.25">
      <c r="A1403" t="s">
        <v>100</v>
      </c>
      <c r="B1403">
        <v>0.34399999999999997</v>
      </c>
      <c r="C1403" t="str">
        <f t="shared" si="21"/>
        <v>VENATOR CHEMICALS LLC</v>
      </c>
      <c r="D1403" t="b">
        <v>0</v>
      </c>
    </row>
    <row r="1404" spans="1:4" x14ac:dyDescent="0.25">
      <c r="A1404" t="s">
        <v>2696</v>
      </c>
      <c r="B1404">
        <v>0.34399999999999997</v>
      </c>
      <c r="C1404" t="str">
        <f t="shared" si="21"/>
        <v>CITY OF DENTON</v>
      </c>
      <c r="D1404" t="b">
        <v>0</v>
      </c>
    </row>
    <row r="1405" spans="1:4" x14ac:dyDescent="0.25">
      <c r="A1405" t="s">
        <v>234</v>
      </c>
      <c r="B1405">
        <v>0.34300000000000003</v>
      </c>
      <c r="C1405" t="str">
        <f t="shared" si="21"/>
        <v>CITY OF WHITNEY</v>
      </c>
      <c r="D1405" t="b">
        <v>0</v>
      </c>
    </row>
    <row r="1406" spans="1:4" x14ac:dyDescent="0.25">
      <c r="A1406" t="s">
        <v>875</v>
      </c>
      <c r="B1406">
        <v>0.3412</v>
      </c>
      <c r="C1406" t="e">
        <f t="shared" si="21"/>
        <v>#N/A</v>
      </c>
      <c r="D1406" t="b">
        <v>0</v>
      </c>
    </row>
    <row r="1407" spans="1:4" x14ac:dyDescent="0.25">
      <c r="A1407" t="s">
        <v>881</v>
      </c>
      <c r="B1407">
        <v>0.34</v>
      </c>
      <c r="C1407" t="str">
        <f t="shared" si="21"/>
        <v>CITY OF NOME</v>
      </c>
      <c r="D1407" t="b">
        <v>0</v>
      </c>
    </row>
    <row r="1408" spans="1:4" x14ac:dyDescent="0.25">
      <c r="A1408" t="s">
        <v>2239</v>
      </c>
      <c r="B1408">
        <v>0.34</v>
      </c>
      <c r="C1408" t="str">
        <f t="shared" si="21"/>
        <v>ADDICKS UD</v>
      </c>
      <c r="D1408" t="b">
        <v>0</v>
      </c>
    </row>
    <row r="1409" spans="1:4" x14ac:dyDescent="0.25">
      <c r="A1409" t="s">
        <v>603</v>
      </c>
      <c r="B1409">
        <v>0.33900000000000002</v>
      </c>
      <c r="C1409" t="str">
        <f t="shared" si="21"/>
        <v>CITY OF LULING</v>
      </c>
      <c r="D1409" t="b">
        <v>0</v>
      </c>
    </row>
    <row r="1410" spans="1:4" x14ac:dyDescent="0.25">
      <c r="A1410" t="s">
        <v>457</v>
      </c>
      <c r="B1410">
        <v>0.33900000000000002</v>
      </c>
      <c r="C1410" t="str">
        <f t="shared" ref="C1410:C1473" si="22">VLOOKUP(A1410,PERMITTEES,2,FALSE)</f>
        <v>LCRA</v>
      </c>
      <c r="D1410" t="b">
        <v>0</v>
      </c>
    </row>
    <row r="1411" spans="1:4" x14ac:dyDescent="0.25">
      <c r="A1411" t="s">
        <v>1707</v>
      </c>
      <c r="B1411">
        <v>0.33900000000000002</v>
      </c>
      <c r="C1411" t="str">
        <f t="shared" si="22"/>
        <v>FORT BEND COUNTY MUD NO 50</v>
      </c>
      <c r="D1411" t="b">
        <v>0</v>
      </c>
    </row>
    <row r="1412" spans="1:4" x14ac:dyDescent="0.25">
      <c r="A1412" t="s">
        <v>2054</v>
      </c>
      <c r="B1412">
        <v>0.33800000000000002</v>
      </c>
      <c r="C1412" t="str">
        <f t="shared" si="22"/>
        <v>WEST HARRIS COUNTY MUD 7</v>
      </c>
      <c r="D1412" t="b">
        <v>0</v>
      </c>
    </row>
    <row r="1413" spans="1:4" x14ac:dyDescent="0.25">
      <c r="A1413" t="s">
        <v>1612</v>
      </c>
      <c r="B1413">
        <v>0.3372</v>
      </c>
      <c r="C1413" t="str">
        <f t="shared" si="22"/>
        <v>BP AMOCO CHEMICAL CO</v>
      </c>
      <c r="D1413" t="b">
        <v>0</v>
      </c>
    </row>
    <row r="1414" spans="1:4" x14ac:dyDescent="0.25">
      <c r="A1414" t="s">
        <v>1383</v>
      </c>
      <c r="B1414">
        <v>0.33600000000000002</v>
      </c>
      <c r="C1414" t="str">
        <f t="shared" si="22"/>
        <v>ORANGEFIELD WSC</v>
      </c>
      <c r="D1414" t="b">
        <v>0</v>
      </c>
    </row>
    <row r="1415" spans="1:4" x14ac:dyDescent="0.25">
      <c r="A1415" t="s">
        <v>2251</v>
      </c>
      <c r="B1415">
        <v>0.33500000000000002</v>
      </c>
      <c r="C1415" t="str">
        <f t="shared" si="22"/>
        <v>HARRIS COUNTY MUD 249</v>
      </c>
      <c r="D1415" t="b">
        <v>0</v>
      </c>
    </row>
    <row r="1416" spans="1:4" x14ac:dyDescent="0.25">
      <c r="A1416" t="s">
        <v>725</v>
      </c>
      <c r="B1416">
        <v>0.33300000000000002</v>
      </c>
      <c r="C1416" t="str">
        <f t="shared" si="22"/>
        <v>CITY OF SCHULENBURG</v>
      </c>
      <c r="D1416" t="b">
        <v>0</v>
      </c>
    </row>
    <row r="1417" spans="1:4" x14ac:dyDescent="0.25">
      <c r="A1417" t="s">
        <v>853</v>
      </c>
      <c r="B1417">
        <v>0.33229999999999998</v>
      </c>
      <c r="C1417" t="str">
        <f t="shared" si="22"/>
        <v>LUCITE INTERNATIONAL INC</v>
      </c>
      <c r="D1417" t="b">
        <v>0</v>
      </c>
    </row>
    <row r="1418" spans="1:4" x14ac:dyDescent="0.25">
      <c r="A1418" t="s">
        <v>1767</v>
      </c>
      <c r="B1418">
        <v>0.33224999999999999</v>
      </c>
      <c r="C1418" t="str">
        <f t="shared" si="22"/>
        <v>SASOL CHEMICALS USA LLC</v>
      </c>
      <c r="D1418" t="b">
        <v>0</v>
      </c>
    </row>
    <row r="1419" spans="1:4" x14ac:dyDescent="0.25">
      <c r="A1419" t="s">
        <v>270</v>
      </c>
      <c r="B1419">
        <v>0.33200000000000002</v>
      </c>
      <c r="C1419" t="str">
        <f t="shared" si="22"/>
        <v>CITY OF GROESBECK</v>
      </c>
      <c r="D1419" t="b">
        <v>0</v>
      </c>
    </row>
    <row r="1420" spans="1:4" x14ac:dyDescent="0.25">
      <c r="A1420" t="s">
        <v>1566</v>
      </c>
      <c r="B1420">
        <v>0.33200000000000002</v>
      </c>
      <c r="C1420" t="str">
        <f t="shared" si="22"/>
        <v>CITY OF DANBURY</v>
      </c>
      <c r="D1420" t="b">
        <v>0</v>
      </c>
    </row>
    <row r="1421" spans="1:4" x14ac:dyDescent="0.25">
      <c r="A1421" t="s">
        <v>2008</v>
      </c>
      <c r="B1421">
        <v>0.33100000000000002</v>
      </c>
      <c r="C1421" t="str">
        <f t="shared" si="22"/>
        <v>BRASKEM AMERICA INC</v>
      </c>
      <c r="D1421" t="b">
        <v>0</v>
      </c>
    </row>
    <row r="1422" spans="1:4" x14ac:dyDescent="0.25">
      <c r="A1422" t="s">
        <v>2180</v>
      </c>
      <c r="B1422">
        <v>0.33100000000000002</v>
      </c>
      <c r="C1422" t="str">
        <f t="shared" si="22"/>
        <v>HARRIS COUNTY MUD 276</v>
      </c>
      <c r="D1422" t="b">
        <v>0</v>
      </c>
    </row>
    <row r="1423" spans="1:4" x14ac:dyDescent="0.25">
      <c r="A1423" t="s">
        <v>473</v>
      </c>
      <c r="B1423">
        <v>0.33100000000000002</v>
      </c>
      <c r="C1423" t="str">
        <f t="shared" si="22"/>
        <v>CITY OF CLYDE</v>
      </c>
      <c r="D1423" t="b">
        <v>0</v>
      </c>
    </row>
    <row r="1424" spans="1:4" x14ac:dyDescent="0.25">
      <c r="A1424" t="s">
        <v>2480</v>
      </c>
      <c r="B1424">
        <v>0.32941900000000002</v>
      </c>
      <c r="C1424" t="str">
        <f t="shared" si="22"/>
        <v>MONTGOMERY COUNTY MUD NO 99</v>
      </c>
      <c r="D1424" t="b">
        <v>0</v>
      </c>
    </row>
    <row r="1425" spans="1:4" x14ac:dyDescent="0.25">
      <c r="A1425" t="s">
        <v>2140</v>
      </c>
      <c r="B1425">
        <v>0.32906299999999999</v>
      </c>
      <c r="C1425" t="str">
        <f t="shared" si="22"/>
        <v>STOLTHAVEN HOUSTON INC</v>
      </c>
      <c r="D1425" t="b">
        <v>0</v>
      </c>
    </row>
    <row r="1426" spans="1:4" x14ac:dyDescent="0.25">
      <c r="A1426" t="s">
        <v>486</v>
      </c>
      <c r="B1426">
        <v>0.32900000000000001</v>
      </c>
      <c r="C1426" t="str">
        <f t="shared" si="22"/>
        <v>CITY OF EDEN</v>
      </c>
      <c r="D1426" t="b">
        <v>0</v>
      </c>
    </row>
    <row r="1427" spans="1:4" x14ac:dyDescent="0.25">
      <c r="A1427" t="s">
        <v>14</v>
      </c>
      <c r="B1427">
        <v>0.32900000000000001</v>
      </c>
      <c r="C1427" t="str">
        <f t="shared" si="22"/>
        <v>TEXAS DEPT OF CRIMINAL JUSTICE</v>
      </c>
      <c r="D1427" t="b">
        <v>0</v>
      </c>
    </row>
    <row r="1428" spans="1:4" x14ac:dyDescent="0.25">
      <c r="A1428" t="s">
        <v>1828</v>
      </c>
      <c r="B1428">
        <v>0.32741900000000002</v>
      </c>
      <c r="C1428" t="str">
        <f t="shared" si="22"/>
        <v>HARRIS COUNTY WCID - FONDREN ROAD</v>
      </c>
      <c r="D1428" t="b">
        <v>0</v>
      </c>
    </row>
    <row r="1429" spans="1:4" x14ac:dyDescent="0.25">
      <c r="A1429" t="s">
        <v>565</v>
      </c>
      <c r="B1429">
        <v>0.32600000000000001</v>
      </c>
      <c r="C1429" t="str">
        <f t="shared" si="22"/>
        <v>CITY OF LINDEN</v>
      </c>
      <c r="D1429" t="b">
        <v>0</v>
      </c>
    </row>
    <row r="1430" spans="1:4" x14ac:dyDescent="0.25">
      <c r="A1430" t="s">
        <v>479</v>
      </c>
      <c r="B1430">
        <v>0.32400000000000001</v>
      </c>
      <c r="C1430" t="str">
        <f t="shared" si="22"/>
        <v>CITY OF COLUMBUS</v>
      </c>
      <c r="D1430" t="b">
        <v>0</v>
      </c>
    </row>
    <row r="1431" spans="1:4" x14ac:dyDescent="0.25">
      <c r="A1431" t="s">
        <v>2241</v>
      </c>
      <c r="B1431">
        <v>0.32400000000000001</v>
      </c>
      <c r="C1431" t="str">
        <f t="shared" si="22"/>
        <v>HARRIS COUNTY MUD 360</v>
      </c>
      <c r="D1431" t="b">
        <v>0</v>
      </c>
    </row>
    <row r="1432" spans="1:4" x14ac:dyDescent="0.25">
      <c r="A1432" t="s">
        <v>2127</v>
      </c>
      <c r="B1432">
        <v>0.32300000000000001</v>
      </c>
      <c r="C1432" t="str">
        <f t="shared" si="22"/>
        <v>HARRIS COUNTY MUD NO 191</v>
      </c>
      <c r="D1432" t="b">
        <v>0</v>
      </c>
    </row>
    <row r="1433" spans="1:4" x14ac:dyDescent="0.25">
      <c r="A1433" t="s">
        <v>1857</v>
      </c>
      <c r="B1433">
        <v>0.32267699999999999</v>
      </c>
      <c r="C1433" t="str">
        <f t="shared" si="22"/>
        <v>HARRIS COUNTY WCID 70</v>
      </c>
      <c r="D1433" t="b">
        <v>0</v>
      </c>
    </row>
    <row r="1434" spans="1:4" x14ac:dyDescent="0.25">
      <c r="A1434" t="s">
        <v>826</v>
      </c>
      <c r="B1434">
        <v>0.32212800000000003</v>
      </c>
      <c r="C1434" t="str">
        <f t="shared" si="22"/>
        <v>CITY OF CHANDLER</v>
      </c>
      <c r="D1434" t="b">
        <v>0</v>
      </c>
    </row>
    <row r="1435" spans="1:4" x14ac:dyDescent="0.25">
      <c r="A1435" t="s">
        <v>1862</v>
      </c>
      <c r="B1435">
        <v>0.32200000000000001</v>
      </c>
      <c r="C1435" t="str">
        <f t="shared" si="22"/>
        <v>HARRIS COUNTY MUD 6</v>
      </c>
      <c r="D1435" t="b">
        <v>0</v>
      </c>
    </row>
    <row r="1436" spans="1:4" x14ac:dyDescent="0.25">
      <c r="A1436" t="s">
        <v>1222</v>
      </c>
      <c r="B1436">
        <v>0.32200000000000001</v>
      </c>
      <c r="C1436" t="e">
        <f t="shared" si="22"/>
        <v>#N/A</v>
      </c>
      <c r="D1436" t="b">
        <v>0</v>
      </c>
    </row>
    <row r="1437" spans="1:4" x14ac:dyDescent="0.25">
      <c r="A1437" t="s">
        <v>1906</v>
      </c>
      <c r="B1437">
        <v>0.32100000000000001</v>
      </c>
      <c r="C1437" t="str">
        <f t="shared" si="22"/>
        <v>TIMBERLAKE IMPROVEMENT DISTRICT</v>
      </c>
      <c r="D1437" t="b">
        <v>0</v>
      </c>
    </row>
    <row r="1438" spans="1:4" x14ac:dyDescent="0.25">
      <c r="A1438" t="s">
        <v>1678</v>
      </c>
      <c r="B1438">
        <v>0.32</v>
      </c>
      <c r="C1438" t="str">
        <f t="shared" si="22"/>
        <v>LYONDELL CHEMICAL CO</v>
      </c>
      <c r="D1438" t="b">
        <v>0</v>
      </c>
    </row>
    <row r="1439" spans="1:4" x14ac:dyDescent="0.25">
      <c r="A1439" t="s">
        <v>544</v>
      </c>
      <c r="B1439">
        <v>0.32</v>
      </c>
      <c r="C1439" t="str">
        <f t="shared" si="22"/>
        <v>CITY OF AUSTIN</v>
      </c>
      <c r="D1439" t="b">
        <v>0</v>
      </c>
    </row>
    <row r="1440" spans="1:4" x14ac:dyDescent="0.25">
      <c r="A1440" t="s">
        <v>1442</v>
      </c>
      <c r="B1440">
        <v>0.317</v>
      </c>
      <c r="C1440" t="str">
        <f t="shared" si="22"/>
        <v>CITY OF HAWKINS</v>
      </c>
      <c r="D1440" t="b">
        <v>0</v>
      </c>
    </row>
    <row r="1441" spans="1:4" x14ac:dyDescent="0.25">
      <c r="A1441" t="s">
        <v>196</v>
      </c>
      <c r="B1441">
        <v>0.317</v>
      </c>
      <c r="C1441" t="str">
        <f t="shared" si="22"/>
        <v>FORT BEND CO MUD NO 142</v>
      </c>
      <c r="D1441" t="b">
        <v>0</v>
      </c>
    </row>
    <row r="1442" spans="1:4" x14ac:dyDescent="0.25">
      <c r="A1442" t="s">
        <v>711</v>
      </c>
      <c r="B1442">
        <v>0.31545200000000001</v>
      </c>
      <c r="C1442" t="str">
        <f t="shared" si="22"/>
        <v>VICTORIA COUNTY WCID 1</v>
      </c>
      <c r="D1442" t="b">
        <v>0</v>
      </c>
    </row>
    <row r="1443" spans="1:4" x14ac:dyDescent="0.25">
      <c r="A1443" t="s">
        <v>1243</v>
      </c>
      <c r="B1443">
        <v>0.315</v>
      </c>
      <c r="C1443" t="str">
        <f t="shared" si="22"/>
        <v>CITY OF SONORA</v>
      </c>
      <c r="D1443" t="b">
        <v>0</v>
      </c>
    </row>
    <row r="1444" spans="1:4" x14ac:dyDescent="0.25">
      <c r="A1444" t="s">
        <v>2908</v>
      </c>
      <c r="B1444">
        <v>0.315</v>
      </c>
      <c r="C1444" t="str">
        <f t="shared" si="22"/>
        <v>CITY OF RUNAWAY BAY</v>
      </c>
      <c r="D1444" t="b">
        <v>0</v>
      </c>
    </row>
    <row r="1445" spans="1:4" x14ac:dyDescent="0.25">
      <c r="A1445" t="s">
        <v>678</v>
      </c>
      <c r="B1445">
        <v>0.315</v>
      </c>
      <c r="C1445" t="str">
        <f t="shared" si="22"/>
        <v>AQUA TEXAS INC</v>
      </c>
      <c r="D1445" t="b">
        <v>0</v>
      </c>
    </row>
    <row r="1446" spans="1:4" x14ac:dyDescent="0.25">
      <c r="A1446" t="s">
        <v>1988</v>
      </c>
      <c r="B1446">
        <v>0.315</v>
      </c>
      <c r="C1446" t="str">
        <f t="shared" si="22"/>
        <v>FOREST HILLS MUD</v>
      </c>
      <c r="D1446" t="b">
        <v>0</v>
      </c>
    </row>
    <row r="1447" spans="1:4" x14ac:dyDescent="0.25">
      <c r="A1447" t="s">
        <v>1991</v>
      </c>
      <c r="B1447">
        <v>0.315</v>
      </c>
      <c r="C1447" t="str">
        <f t="shared" si="22"/>
        <v>GEORGIA GULF CHEMICALS &amp; VINYL LLC</v>
      </c>
      <c r="D1447" t="b">
        <v>0</v>
      </c>
    </row>
    <row r="1448" spans="1:4" x14ac:dyDescent="0.25">
      <c r="A1448" t="s">
        <v>724</v>
      </c>
      <c r="B1448">
        <v>0.313</v>
      </c>
      <c r="C1448" t="str">
        <f t="shared" si="22"/>
        <v>CITY OF SCHULENBURG</v>
      </c>
      <c r="D1448" t="b">
        <v>0</v>
      </c>
    </row>
    <row r="1449" spans="1:4" x14ac:dyDescent="0.25">
      <c r="A1449" t="s">
        <v>2709</v>
      </c>
      <c r="B1449">
        <v>0.311</v>
      </c>
      <c r="C1449" t="str">
        <f t="shared" si="22"/>
        <v>CITY OF PALMER</v>
      </c>
      <c r="D1449" t="b">
        <v>0</v>
      </c>
    </row>
    <row r="1450" spans="1:4" x14ac:dyDescent="0.25">
      <c r="A1450" t="s">
        <v>557</v>
      </c>
      <c r="B1450">
        <v>0.311</v>
      </c>
      <c r="C1450" t="str">
        <f t="shared" si="22"/>
        <v>CITY OF WHARTON</v>
      </c>
      <c r="D1450" t="b">
        <v>0</v>
      </c>
    </row>
    <row r="1451" spans="1:4" x14ac:dyDescent="0.25">
      <c r="A1451" t="s">
        <v>914</v>
      </c>
      <c r="B1451">
        <v>0.31</v>
      </c>
      <c r="C1451" t="str">
        <f t="shared" si="22"/>
        <v>WESTROCK TEXAS LP</v>
      </c>
      <c r="D1451" t="b">
        <v>0</v>
      </c>
    </row>
    <row r="1452" spans="1:4" x14ac:dyDescent="0.25">
      <c r="A1452" t="s">
        <v>288</v>
      </c>
      <c r="B1452">
        <v>0.31</v>
      </c>
      <c r="C1452" t="str">
        <f t="shared" si="22"/>
        <v>CITY OF MART</v>
      </c>
      <c r="D1452" t="b">
        <v>0</v>
      </c>
    </row>
    <row r="1453" spans="1:4" x14ac:dyDescent="0.25">
      <c r="A1453" t="s">
        <v>2190</v>
      </c>
      <c r="B1453">
        <v>0.31</v>
      </c>
      <c r="C1453" t="str">
        <f t="shared" si="22"/>
        <v>HARRIS COUNTY MUD 286</v>
      </c>
      <c r="D1453" t="b">
        <v>0</v>
      </c>
    </row>
    <row r="1454" spans="1:4" x14ac:dyDescent="0.25">
      <c r="A1454" t="s">
        <v>1586</v>
      </c>
      <c r="B1454">
        <v>0.31</v>
      </c>
      <c r="C1454" t="str">
        <f t="shared" si="22"/>
        <v>BRAZORIA COUNTY MUD 31</v>
      </c>
      <c r="D1454" t="b">
        <v>0</v>
      </c>
    </row>
    <row r="1455" spans="1:4" x14ac:dyDescent="0.25">
      <c r="A1455" t="s">
        <v>2555</v>
      </c>
      <c r="B1455">
        <v>0.309</v>
      </c>
      <c r="C1455" t="str">
        <f t="shared" si="22"/>
        <v>CITY OF BOGATA</v>
      </c>
      <c r="D1455" t="b">
        <v>0</v>
      </c>
    </row>
    <row r="1456" spans="1:4" x14ac:dyDescent="0.25">
      <c r="A1456" t="s">
        <v>76</v>
      </c>
      <c r="B1456">
        <v>0.309</v>
      </c>
      <c r="C1456" t="str">
        <f t="shared" si="22"/>
        <v>CITY OF MERIDIAN</v>
      </c>
      <c r="D1456" t="b">
        <v>0</v>
      </c>
    </row>
    <row r="1457" spans="1:4" x14ac:dyDescent="0.25">
      <c r="A1457" t="s">
        <v>2467</v>
      </c>
      <c r="B1457">
        <v>0.309</v>
      </c>
      <c r="C1457" t="str">
        <f t="shared" si="22"/>
        <v>WOODLAND OAKS UTILITY LP</v>
      </c>
      <c r="D1457" t="b">
        <v>0</v>
      </c>
    </row>
    <row r="1458" spans="1:4" x14ac:dyDescent="0.25">
      <c r="A1458" t="s">
        <v>175</v>
      </c>
      <c r="B1458">
        <v>0.30725799999999998</v>
      </c>
      <c r="C1458" t="str">
        <f t="shared" si="22"/>
        <v>PALMER PLANTATION MUD 1</v>
      </c>
      <c r="D1458" t="b">
        <v>0</v>
      </c>
    </row>
    <row r="1459" spans="1:4" x14ac:dyDescent="0.25">
      <c r="A1459" t="s">
        <v>2019</v>
      </c>
      <c r="B1459">
        <v>0.307</v>
      </c>
      <c r="C1459" t="str">
        <f t="shared" si="22"/>
        <v>CITY OF HOUSTON</v>
      </c>
      <c r="D1459" t="b">
        <v>0</v>
      </c>
    </row>
    <row r="1460" spans="1:4" x14ac:dyDescent="0.25">
      <c r="A1460" t="s">
        <v>1432</v>
      </c>
      <c r="B1460">
        <v>0.30599999999999999</v>
      </c>
      <c r="C1460" t="str">
        <f t="shared" si="22"/>
        <v>CITY OF BIG SANDY</v>
      </c>
      <c r="D1460" t="b">
        <v>0</v>
      </c>
    </row>
    <row r="1461" spans="1:4" x14ac:dyDescent="0.25">
      <c r="A1461" t="s">
        <v>259</v>
      </c>
      <c r="B1461">
        <v>0.30499999999999999</v>
      </c>
      <c r="C1461" t="str">
        <f t="shared" si="22"/>
        <v>CITY OF GIDDINGS</v>
      </c>
      <c r="D1461" t="b">
        <v>0</v>
      </c>
    </row>
    <row r="1462" spans="1:4" x14ac:dyDescent="0.25">
      <c r="A1462" t="s">
        <v>139</v>
      </c>
      <c r="B1462">
        <v>0.30399999999999999</v>
      </c>
      <c r="C1462" t="str">
        <f t="shared" si="22"/>
        <v>UPPER LEON RIVER MUNCIPAL WATER DIST</v>
      </c>
      <c r="D1462" t="b">
        <v>0</v>
      </c>
    </row>
    <row r="1463" spans="1:4" x14ac:dyDescent="0.25">
      <c r="A1463" t="s">
        <v>2299</v>
      </c>
      <c r="B1463">
        <v>0.30399999999999999</v>
      </c>
      <c r="C1463" t="str">
        <f t="shared" si="22"/>
        <v>HARRIS COUNTY MUD 374</v>
      </c>
      <c r="D1463" t="b">
        <v>0</v>
      </c>
    </row>
    <row r="1464" spans="1:4" x14ac:dyDescent="0.25">
      <c r="A1464" t="s">
        <v>1030</v>
      </c>
      <c r="B1464">
        <v>0.30199999999999999</v>
      </c>
      <c r="C1464" t="str">
        <f t="shared" si="22"/>
        <v>NORTH ALAMO WATER SUPPLY CORP</v>
      </c>
      <c r="D1464" t="b">
        <v>0</v>
      </c>
    </row>
    <row r="1465" spans="1:4" x14ac:dyDescent="0.25">
      <c r="A1465" t="s">
        <v>1603</v>
      </c>
      <c r="B1465">
        <v>0.3</v>
      </c>
      <c r="C1465" t="str">
        <f t="shared" si="22"/>
        <v>MARATHON PETROLEUM CO LP</v>
      </c>
      <c r="D1465" t="b">
        <v>0</v>
      </c>
    </row>
    <row r="1466" spans="1:4" x14ac:dyDescent="0.25">
      <c r="A1466" t="s">
        <v>2779</v>
      </c>
      <c r="B1466">
        <v>0.3</v>
      </c>
      <c r="C1466" t="str">
        <f t="shared" si="22"/>
        <v>CITY OF GRANDVIEW</v>
      </c>
      <c r="D1466" t="b">
        <v>0</v>
      </c>
    </row>
    <row r="1467" spans="1:4" x14ac:dyDescent="0.25">
      <c r="A1467" t="s">
        <v>890</v>
      </c>
      <c r="B1467">
        <v>0.3</v>
      </c>
      <c r="C1467" t="str">
        <f t="shared" si="22"/>
        <v>EXXONMOBIL OIL CORP</v>
      </c>
      <c r="D1467" t="b">
        <v>0</v>
      </c>
    </row>
    <row r="1468" spans="1:4" x14ac:dyDescent="0.25">
      <c r="A1468" t="s">
        <v>2714</v>
      </c>
      <c r="B1468">
        <v>0.3</v>
      </c>
      <c r="C1468" t="str">
        <f t="shared" si="22"/>
        <v>ASH GROVE CEMENT COMPANY</v>
      </c>
      <c r="D1468" t="b">
        <v>0</v>
      </c>
    </row>
    <row r="1469" spans="1:4" x14ac:dyDescent="0.25">
      <c r="A1469" t="s">
        <v>2216</v>
      </c>
      <c r="B1469">
        <v>0.3</v>
      </c>
      <c r="C1469" t="str">
        <f t="shared" si="22"/>
        <v>KINDER MORGAN PETCOKE LP</v>
      </c>
      <c r="D1469" t="b">
        <v>0</v>
      </c>
    </row>
    <row r="1470" spans="1:4" x14ac:dyDescent="0.25">
      <c r="A1470" t="s">
        <v>1103</v>
      </c>
      <c r="B1470">
        <v>0.29980000000000001</v>
      </c>
      <c r="C1470" t="str">
        <f t="shared" si="22"/>
        <v>NORTH ALAMO WSC</v>
      </c>
      <c r="D1470" t="b">
        <v>0</v>
      </c>
    </row>
    <row r="1471" spans="1:4" x14ac:dyDescent="0.25">
      <c r="A1471" t="s">
        <v>635</v>
      </c>
      <c r="B1471">
        <v>0.29799999999999999</v>
      </c>
      <c r="C1471" t="str">
        <f t="shared" si="22"/>
        <v>SUNFIELD MUD NO 4 &amp; GBRA</v>
      </c>
      <c r="D1471" t="b">
        <v>0</v>
      </c>
    </row>
    <row r="1472" spans="1:4" x14ac:dyDescent="0.25">
      <c r="A1472" t="s">
        <v>636</v>
      </c>
      <c r="B1472">
        <v>0.29799999999999999</v>
      </c>
      <c r="C1472" t="e">
        <f t="shared" si="22"/>
        <v>#N/A</v>
      </c>
      <c r="D1472" t="b">
        <v>0</v>
      </c>
    </row>
    <row r="1473" spans="1:4" x14ac:dyDescent="0.25">
      <c r="A1473" t="s">
        <v>1277</v>
      </c>
      <c r="B1473">
        <v>0.29699999999999999</v>
      </c>
      <c r="C1473" t="str">
        <f t="shared" si="22"/>
        <v>CITY OF LAKEPORT</v>
      </c>
      <c r="D1473" t="b">
        <v>0</v>
      </c>
    </row>
    <row r="1474" spans="1:4" x14ac:dyDescent="0.25">
      <c r="A1474" t="s">
        <v>2528</v>
      </c>
      <c r="B1474">
        <v>0.29670000000000002</v>
      </c>
      <c r="C1474" t="str">
        <f t="shared" ref="C1474:C1537" si="23">VLOOKUP(A1474,PERMITTEES,2,FALSE)</f>
        <v>CITY OF MAUD</v>
      </c>
      <c r="D1474" t="b">
        <v>0</v>
      </c>
    </row>
    <row r="1475" spans="1:4" x14ac:dyDescent="0.25">
      <c r="A1475" t="s">
        <v>419</v>
      </c>
      <c r="B1475">
        <v>0.296516</v>
      </c>
      <c r="C1475" t="e">
        <f t="shared" si="23"/>
        <v>#N/A</v>
      </c>
      <c r="D1475" t="b">
        <v>0</v>
      </c>
    </row>
    <row r="1476" spans="1:4" x14ac:dyDescent="0.25">
      <c r="A1476" t="s">
        <v>2461</v>
      </c>
      <c r="B1476">
        <v>0.29616100000000001</v>
      </c>
      <c r="C1476" t="str">
        <f t="shared" si="23"/>
        <v>MONTGOMERY COUNTY MUD 89</v>
      </c>
      <c r="D1476" t="b">
        <v>0</v>
      </c>
    </row>
    <row r="1477" spans="1:4" x14ac:dyDescent="0.25">
      <c r="A1477" t="s">
        <v>2204</v>
      </c>
      <c r="B1477">
        <v>0.29598000000000002</v>
      </c>
      <c r="C1477" t="str">
        <f t="shared" si="23"/>
        <v>OPTIM ENERGY ALTURA COGEN LLC</v>
      </c>
      <c r="D1477" t="b">
        <v>0</v>
      </c>
    </row>
    <row r="1478" spans="1:4" x14ac:dyDescent="0.25">
      <c r="A1478" t="s">
        <v>1967</v>
      </c>
      <c r="B1478">
        <v>0.29399999999999998</v>
      </c>
      <c r="C1478" t="str">
        <f t="shared" si="23"/>
        <v>INTERCONTINENTAL TERMINALS CO LLC</v>
      </c>
      <c r="D1478" t="b">
        <v>0</v>
      </c>
    </row>
    <row r="1479" spans="1:4" x14ac:dyDescent="0.25">
      <c r="A1479" t="s">
        <v>1876</v>
      </c>
      <c r="B1479">
        <v>0.29299999999999998</v>
      </c>
      <c r="C1479" t="str">
        <f t="shared" si="23"/>
        <v>DOUGLAS UTILITY CO</v>
      </c>
      <c r="D1479" t="b">
        <v>0</v>
      </c>
    </row>
    <row r="1480" spans="1:4" x14ac:dyDescent="0.25">
      <c r="A1480" t="s">
        <v>2635</v>
      </c>
      <c r="B1480">
        <v>0.29199999999999998</v>
      </c>
      <c r="C1480" t="str">
        <f t="shared" si="23"/>
        <v>CITY OF ELKHART</v>
      </c>
      <c r="D1480" t="b">
        <v>0</v>
      </c>
    </row>
    <row r="1481" spans="1:4" x14ac:dyDescent="0.25">
      <c r="A1481" t="s">
        <v>61</v>
      </c>
      <c r="B1481">
        <v>0.29199999999999998</v>
      </c>
      <c r="C1481" t="str">
        <f t="shared" si="23"/>
        <v>CITY OF BARTLETT</v>
      </c>
      <c r="D1481" t="b">
        <v>0</v>
      </c>
    </row>
    <row r="1482" spans="1:4" x14ac:dyDescent="0.25">
      <c r="A1482" t="s">
        <v>1968</v>
      </c>
      <c r="B1482">
        <v>0.29199999999999998</v>
      </c>
      <c r="C1482" t="str">
        <f t="shared" si="23"/>
        <v>INTERCONTINENTAL TERMINALS CO LLC</v>
      </c>
      <c r="D1482" t="b">
        <v>0</v>
      </c>
    </row>
    <row r="1483" spans="1:4" x14ac:dyDescent="0.25">
      <c r="A1483" t="s">
        <v>2101</v>
      </c>
      <c r="B1483">
        <v>0.29199999999999998</v>
      </c>
      <c r="C1483" t="str">
        <f t="shared" si="23"/>
        <v>SOLVAY CHEMICALS INC</v>
      </c>
      <c r="D1483" t="b">
        <v>0</v>
      </c>
    </row>
    <row r="1484" spans="1:4" x14ac:dyDescent="0.25">
      <c r="A1484" t="s">
        <v>1233</v>
      </c>
      <c r="B1484">
        <v>0.29199999999999998</v>
      </c>
      <c r="C1484" t="str">
        <f t="shared" si="23"/>
        <v>CITY OF PENITAS</v>
      </c>
      <c r="D1484" t="b">
        <v>0</v>
      </c>
    </row>
    <row r="1485" spans="1:4" x14ac:dyDescent="0.25">
      <c r="A1485" t="s">
        <v>2305</v>
      </c>
      <c r="B1485">
        <v>0.29148400000000002</v>
      </c>
      <c r="C1485" t="str">
        <f t="shared" si="23"/>
        <v>HARRIS COUNTY MUD NO 401</v>
      </c>
      <c r="D1485" t="b">
        <v>0</v>
      </c>
    </row>
    <row r="1486" spans="1:4" x14ac:dyDescent="0.25">
      <c r="A1486" t="s">
        <v>11</v>
      </c>
      <c r="B1486">
        <v>0.28999999999999998</v>
      </c>
      <c r="C1486" t="str">
        <f t="shared" si="23"/>
        <v>TEXAS DEPT OF CRIMINAL JUSTICE</v>
      </c>
      <c r="D1486" t="b">
        <v>0</v>
      </c>
    </row>
    <row r="1487" spans="1:4" x14ac:dyDescent="0.25">
      <c r="A1487" t="s">
        <v>884</v>
      </c>
      <c r="B1487">
        <v>0.28999999999999998</v>
      </c>
      <c r="C1487" t="str">
        <f t="shared" si="23"/>
        <v>INEOS CALABRIAN CORP</v>
      </c>
      <c r="D1487" t="b">
        <v>0</v>
      </c>
    </row>
    <row r="1488" spans="1:4" x14ac:dyDescent="0.25">
      <c r="A1488" t="s">
        <v>1694</v>
      </c>
      <c r="B1488">
        <v>0.28999999999999998</v>
      </c>
      <c r="C1488" t="str">
        <f t="shared" si="23"/>
        <v>BATTLEGROUND OIL SPECIALTY TERMINAL COMPANY LLC</v>
      </c>
      <c r="D1488" t="b">
        <v>0</v>
      </c>
    </row>
    <row r="1489" spans="1:4" x14ac:dyDescent="0.25">
      <c r="A1489" t="s">
        <v>2398</v>
      </c>
      <c r="B1489">
        <v>0.28899999999999998</v>
      </c>
      <c r="C1489" t="str">
        <f t="shared" si="23"/>
        <v>CITY OF PANORAMA VILLAGE</v>
      </c>
      <c r="D1489" t="b">
        <v>0</v>
      </c>
    </row>
    <row r="1490" spans="1:4" x14ac:dyDescent="0.25">
      <c r="A1490" t="s">
        <v>338</v>
      </c>
      <c r="B1490">
        <v>0.28899999999999998</v>
      </c>
      <c r="C1490" t="str">
        <f t="shared" si="23"/>
        <v>CITY OF CALVERT</v>
      </c>
      <c r="D1490" t="b">
        <v>0</v>
      </c>
    </row>
    <row r="1491" spans="1:4" x14ac:dyDescent="0.25">
      <c r="A1491" t="s">
        <v>1344</v>
      </c>
      <c r="B1491">
        <v>0.28810000000000002</v>
      </c>
      <c r="C1491" t="str">
        <f t="shared" si="23"/>
        <v>CITY OF WEST TAWAKONI</v>
      </c>
      <c r="D1491" t="b">
        <v>0</v>
      </c>
    </row>
    <row r="1492" spans="1:4" x14ac:dyDescent="0.25">
      <c r="A1492" t="s">
        <v>1731</v>
      </c>
      <c r="B1492">
        <v>0.28799999999999998</v>
      </c>
      <c r="C1492" t="str">
        <f t="shared" si="23"/>
        <v>EQUISTAR CHEMICALS LP</v>
      </c>
      <c r="D1492" t="b">
        <v>0</v>
      </c>
    </row>
    <row r="1493" spans="1:4" x14ac:dyDescent="0.25">
      <c r="A1493" t="s">
        <v>229</v>
      </c>
      <c r="B1493">
        <v>0.28720000000000001</v>
      </c>
      <c r="C1493" t="str">
        <f t="shared" si="23"/>
        <v>CITY OF HASKELL</v>
      </c>
      <c r="D1493" t="b">
        <v>0</v>
      </c>
    </row>
    <row r="1494" spans="1:4" x14ac:dyDescent="0.25">
      <c r="A1494" t="s">
        <v>882</v>
      </c>
      <c r="B1494">
        <v>0.28599999999999998</v>
      </c>
      <c r="C1494" t="str">
        <f t="shared" si="23"/>
        <v>CITY OF BEVIL OAKS</v>
      </c>
      <c r="D1494" t="b">
        <v>0</v>
      </c>
    </row>
    <row r="1495" spans="1:4" x14ac:dyDescent="0.25">
      <c r="A1495" t="s">
        <v>2361</v>
      </c>
      <c r="B1495">
        <v>0.28599999999999998</v>
      </c>
      <c r="C1495" t="str">
        <f t="shared" si="23"/>
        <v>GRANT ROAD PUD</v>
      </c>
      <c r="D1495" t="b">
        <v>0</v>
      </c>
    </row>
    <row r="1496" spans="1:4" x14ac:dyDescent="0.25">
      <c r="A1496" t="s">
        <v>567</v>
      </c>
      <c r="B1496">
        <v>0.28499999999999998</v>
      </c>
      <c r="C1496" t="str">
        <f t="shared" si="23"/>
        <v>CITY OF WASKOM</v>
      </c>
      <c r="D1496" t="b">
        <v>0</v>
      </c>
    </row>
    <row r="1497" spans="1:4" x14ac:dyDescent="0.25">
      <c r="A1497" t="s">
        <v>501</v>
      </c>
      <c r="B1497">
        <v>0.28499999999999998</v>
      </c>
      <c r="C1497" t="str">
        <f t="shared" si="23"/>
        <v>METRO WATER SYSTEMS INC</v>
      </c>
      <c r="D1497" t="b">
        <v>0</v>
      </c>
    </row>
    <row r="1498" spans="1:4" x14ac:dyDescent="0.25">
      <c r="A1498" t="s">
        <v>1621</v>
      </c>
      <c r="B1498">
        <v>0.28399999999999997</v>
      </c>
      <c r="C1498" t="str">
        <f t="shared" si="23"/>
        <v>CITY OF JAMAICA BEACH</v>
      </c>
      <c r="D1498" t="b">
        <v>0</v>
      </c>
    </row>
    <row r="1499" spans="1:4" x14ac:dyDescent="0.25">
      <c r="A1499" t="s">
        <v>2095</v>
      </c>
      <c r="B1499">
        <v>0.28399999999999997</v>
      </c>
      <c r="C1499" t="str">
        <f t="shared" si="23"/>
        <v>HARRIS COUNTY MUD NO 345</v>
      </c>
      <c r="D1499" t="b">
        <v>0</v>
      </c>
    </row>
    <row r="1500" spans="1:4" x14ac:dyDescent="0.25">
      <c r="A1500" t="s">
        <v>2211</v>
      </c>
      <c r="B1500">
        <v>0.28399999999999997</v>
      </c>
      <c r="C1500" t="str">
        <f t="shared" si="23"/>
        <v>POWELL JACKIE DIANE</v>
      </c>
      <c r="D1500" t="b">
        <v>0</v>
      </c>
    </row>
    <row r="1501" spans="1:4" x14ac:dyDescent="0.25">
      <c r="A1501" t="s">
        <v>174</v>
      </c>
      <c r="B1501">
        <v>0.28345199999999998</v>
      </c>
      <c r="C1501" t="str">
        <f t="shared" si="23"/>
        <v>FORT BEND COUNTY MUD 41</v>
      </c>
      <c r="D1501" t="b">
        <v>0</v>
      </c>
    </row>
    <row r="1502" spans="1:4" x14ac:dyDescent="0.25">
      <c r="A1502" t="s">
        <v>1625</v>
      </c>
      <c r="B1502">
        <v>0.28299999999999997</v>
      </c>
      <c r="C1502" t="str">
        <f t="shared" si="23"/>
        <v>BAYVIEW MUD</v>
      </c>
      <c r="D1502" t="b">
        <v>0</v>
      </c>
    </row>
    <row r="1503" spans="1:4" x14ac:dyDescent="0.25">
      <c r="A1503" t="s">
        <v>2401</v>
      </c>
      <c r="B1503">
        <v>0.28299999999999997</v>
      </c>
      <c r="C1503" t="str">
        <f t="shared" si="23"/>
        <v>POINT AQUARIUS MUD</v>
      </c>
      <c r="D1503" t="b">
        <v>0</v>
      </c>
    </row>
    <row r="1504" spans="1:4" x14ac:dyDescent="0.25">
      <c r="A1504" t="s">
        <v>792</v>
      </c>
      <c r="B1504">
        <v>0.282889</v>
      </c>
      <c r="C1504" t="str">
        <f t="shared" si="23"/>
        <v>ANGELINA &amp; NECHES RIVER AUTHORITY</v>
      </c>
      <c r="D1504" t="b">
        <v>0</v>
      </c>
    </row>
    <row r="1505" spans="1:4" x14ac:dyDescent="0.25">
      <c r="A1505" t="s">
        <v>1423</v>
      </c>
      <c r="B1505">
        <v>0.28260000000000002</v>
      </c>
      <c r="C1505" t="str">
        <f t="shared" si="23"/>
        <v>MCWANE INC</v>
      </c>
      <c r="D1505" t="b">
        <v>0</v>
      </c>
    </row>
    <row r="1506" spans="1:4" x14ac:dyDescent="0.25">
      <c r="A1506" t="s">
        <v>746</v>
      </c>
      <c r="B1506">
        <v>0.28079999999999999</v>
      </c>
      <c r="C1506" t="str">
        <f t="shared" si="23"/>
        <v>BASF CORPORATION</v>
      </c>
      <c r="D1506" t="b">
        <v>0</v>
      </c>
    </row>
    <row r="1507" spans="1:4" x14ac:dyDescent="0.25">
      <c r="A1507" t="s">
        <v>1534</v>
      </c>
      <c r="B1507">
        <v>0.28000000000000003</v>
      </c>
      <c r="C1507" t="str">
        <f t="shared" si="23"/>
        <v>CITY OF STOCKDALE</v>
      </c>
      <c r="D1507" t="b">
        <v>0</v>
      </c>
    </row>
    <row r="1508" spans="1:4" x14ac:dyDescent="0.25">
      <c r="A1508" t="s">
        <v>379</v>
      </c>
      <c r="B1508">
        <v>0.28000000000000003</v>
      </c>
      <c r="C1508" t="str">
        <f t="shared" si="23"/>
        <v>CITY OF FLORENCE</v>
      </c>
      <c r="D1508" t="b">
        <v>0</v>
      </c>
    </row>
    <row r="1509" spans="1:4" x14ac:dyDescent="0.25">
      <c r="A1509" t="s">
        <v>2165</v>
      </c>
      <c r="B1509">
        <v>0.28000000000000003</v>
      </c>
      <c r="C1509" t="str">
        <f t="shared" si="23"/>
        <v>NORTHWEST HARRIS COUNTY MUD 29</v>
      </c>
      <c r="D1509" t="b">
        <v>0</v>
      </c>
    </row>
    <row r="1510" spans="1:4" x14ac:dyDescent="0.25">
      <c r="A1510" t="s">
        <v>1100</v>
      </c>
      <c r="B1510">
        <v>0.28000000000000003</v>
      </c>
      <c r="C1510" t="str">
        <f t="shared" si="23"/>
        <v>NORTH ALAMO WSC</v>
      </c>
      <c r="D1510" t="b">
        <v>0</v>
      </c>
    </row>
    <row r="1511" spans="1:4" x14ac:dyDescent="0.25">
      <c r="A1511" t="s">
        <v>1336</v>
      </c>
      <c r="B1511">
        <v>0.27922999999999998</v>
      </c>
      <c r="C1511" t="str">
        <f t="shared" si="23"/>
        <v>NE TX ELECTRIC COOP INC; ENTERGY POWER OP US INC; E TX ELECTRIC COOP</v>
      </c>
      <c r="D1511" t="b">
        <v>0</v>
      </c>
    </row>
    <row r="1512" spans="1:4" x14ac:dyDescent="0.25">
      <c r="A1512" t="s">
        <v>52</v>
      </c>
      <c r="B1512">
        <v>0.27900000000000003</v>
      </c>
      <c r="C1512" t="str">
        <f t="shared" si="23"/>
        <v>CITY OF SEYMOUR</v>
      </c>
      <c r="D1512" t="b">
        <v>0</v>
      </c>
    </row>
    <row r="1513" spans="1:4" x14ac:dyDescent="0.25">
      <c r="A1513" t="s">
        <v>1408</v>
      </c>
      <c r="B1513">
        <v>0.27710000000000001</v>
      </c>
      <c r="C1513" t="str">
        <f t="shared" si="23"/>
        <v>CITY OF HEMPHILL</v>
      </c>
      <c r="D1513" t="b">
        <v>0</v>
      </c>
    </row>
    <row r="1514" spans="1:4" x14ac:dyDescent="0.25">
      <c r="A1514" t="s">
        <v>1018</v>
      </c>
      <c r="B1514">
        <v>0.27700000000000002</v>
      </c>
      <c r="C1514" t="str">
        <f t="shared" si="23"/>
        <v>CITY OF ELSA</v>
      </c>
      <c r="D1514" t="b">
        <v>0</v>
      </c>
    </row>
    <row r="1515" spans="1:4" x14ac:dyDescent="0.25">
      <c r="A1515" t="s">
        <v>2154</v>
      </c>
      <c r="B1515">
        <v>0.27500000000000002</v>
      </c>
      <c r="C1515" t="str">
        <f t="shared" si="23"/>
        <v>HARRIS COUNTY MUD 216</v>
      </c>
      <c r="D1515" t="b">
        <v>0</v>
      </c>
    </row>
    <row r="1516" spans="1:4" x14ac:dyDescent="0.25">
      <c r="A1516" t="s">
        <v>1218</v>
      </c>
      <c r="B1516">
        <v>0.27500000000000002</v>
      </c>
      <c r="C1516" t="str">
        <f t="shared" si="23"/>
        <v>EL PASO WATER UTILITIES PUBLIC SERVICE BOARD</v>
      </c>
      <c r="D1516" t="b">
        <v>0</v>
      </c>
    </row>
    <row r="1517" spans="1:4" x14ac:dyDescent="0.25">
      <c r="A1517" t="s">
        <v>1964</v>
      </c>
      <c r="B1517">
        <v>0.27400000000000002</v>
      </c>
      <c r="C1517" t="str">
        <f t="shared" si="23"/>
        <v>INTERCONTINENTAL TERMINALS CO LLC</v>
      </c>
      <c r="D1517" t="b">
        <v>0</v>
      </c>
    </row>
    <row r="1518" spans="1:4" x14ac:dyDescent="0.25">
      <c r="A1518" t="s">
        <v>2020</v>
      </c>
      <c r="B1518">
        <v>0.27300000000000002</v>
      </c>
      <c r="C1518" t="str">
        <f t="shared" si="23"/>
        <v>WOODCREEK MUD</v>
      </c>
      <c r="D1518" t="b">
        <v>0</v>
      </c>
    </row>
    <row r="1519" spans="1:4" x14ac:dyDescent="0.25">
      <c r="A1519" t="s">
        <v>2481</v>
      </c>
      <c r="B1519">
        <v>0.27300000000000002</v>
      </c>
      <c r="C1519" t="str">
        <f t="shared" si="23"/>
        <v>CITY OF MONTGOMERY</v>
      </c>
      <c r="D1519" t="b">
        <v>0</v>
      </c>
    </row>
    <row r="1520" spans="1:4" x14ac:dyDescent="0.25">
      <c r="A1520" t="s">
        <v>2520</v>
      </c>
      <c r="B1520">
        <v>0.27200000000000002</v>
      </c>
      <c r="C1520" t="str">
        <f t="shared" si="23"/>
        <v>WILLOW CREEK FARMS MUD</v>
      </c>
      <c r="D1520" t="b">
        <v>0</v>
      </c>
    </row>
    <row r="1521" spans="1:4" x14ac:dyDescent="0.25">
      <c r="A1521" t="s">
        <v>580</v>
      </c>
      <c r="B1521">
        <v>0.27</v>
      </c>
      <c r="C1521" t="e">
        <f t="shared" si="23"/>
        <v>#N/A</v>
      </c>
      <c r="D1521" t="b">
        <v>0</v>
      </c>
    </row>
    <row r="1522" spans="1:4" x14ac:dyDescent="0.25">
      <c r="A1522" t="s">
        <v>1356</v>
      </c>
      <c r="B1522">
        <v>0.27</v>
      </c>
      <c r="C1522" t="str">
        <f t="shared" si="23"/>
        <v>CITY OF CADDO MILLS</v>
      </c>
      <c r="D1522" t="b">
        <v>0</v>
      </c>
    </row>
    <row r="1523" spans="1:4" x14ac:dyDescent="0.25">
      <c r="A1523" t="s">
        <v>855</v>
      </c>
      <c r="B1523">
        <v>0.26929999999999998</v>
      </c>
      <c r="C1523" t="str">
        <f t="shared" si="23"/>
        <v>LUCITE INTERNATIONAL INC</v>
      </c>
      <c r="D1523" t="b">
        <v>0</v>
      </c>
    </row>
    <row r="1524" spans="1:4" x14ac:dyDescent="0.25">
      <c r="A1524" t="s">
        <v>2027</v>
      </c>
      <c r="B1524">
        <v>0.26900000000000002</v>
      </c>
      <c r="C1524" t="str">
        <f t="shared" si="23"/>
        <v>WHITE OAK BEND MUD</v>
      </c>
      <c r="D1524" t="b">
        <v>0</v>
      </c>
    </row>
    <row r="1525" spans="1:4" x14ac:dyDescent="0.25">
      <c r="A1525" t="s">
        <v>2195</v>
      </c>
      <c r="B1525">
        <v>0.26900000000000002</v>
      </c>
      <c r="C1525" t="str">
        <f t="shared" si="23"/>
        <v>ROLLING CREEK UTILITY DISTRICT</v>
      </c>
      <c r="D1525" t="b">
        <v>0</v>
      </c>
    </row>
    <row r="1526" spans="1:4" x14ac:dyDescent="0.25">
      <c r="A1526" t="s">
        <v>2576</v>
      </c>
      <c r="B1526">
        <v>0.26900000000000002</v>
      </c>
      <c r="C1526" t="str">
        <f t="shared" si="23"/>
        <v>ENTERPRISE PRODUCTS OPERATING LLC</v>
      </c>
      <c r="D1526" t="b">
        <v>0</v>
      </c>
    </row>
    <row r="1527" spans="1:4" x14ac:dyDescent="0.25">
      <c r="A1527" t="s">
        <v>1183</v>
      </c>
      <c r="B1527">
        <v>0.26900000000000002</v>
      </c>
      <c r="C1527" t="str">
        <f t="shared" si="23"/>
        <v>PARIS GENERATION LP</v>
      </c>
      <c r="D1527" t="b">
        <v>0</v>
      </c>
    </row>
    <row r="1528" spans="1:4" x14ac:dyDescent="0.25">
      <c r="A1528" t="s">
        <v>1101</v>
      </c>
      <c r="B1528">
        <v>0.2656</v>
      </c>
      <c r="C1528" t="str">
        <f t="shared" si="23"/>
        <v>NORTH ALAMO WSC</v>
      </c>
      <c r="D1528" t="b">
        <v>0</v>
      </c>
    </row>
    <row r="1529" spans="1:4" x14ac:dyDescent="0.25">
      <c r="A1529" t="s">
        <v>2652</v>
      </c>
      <c r="B1529">
        <v>0.26500000000000001</v>
      </c>
      <c r="C1529" t="str">
        <f t="shared" si="23"/>
        <v>EXIDE TECHNOLOGIES</v>
      </c>
      <c r="D1529" t="b">
        <v>0</v>
      </c>
    </row>
    <row r="1530" spans="1:4" x14ac:dyDescent="0.25">
      <c r="A1530" t="s">
        <v>671</v>
      </c>
      <c r="B1530">
        <v>0.26400000000000001</v>
      </c>
      <c r="C1530" t="str">
        <f t="shared" si="23"/>
        <v>PORT OCONNOR IMPROVEMENT DISTRICT</v>
      </c>
      <c r="D1530" t="b">
        <v>0</v>
      </c>
    </row>
    <row r="1531" spans="1:4" x14ac:dyDescent="0.25">
      <c r="A1531" t="s">
        <v>582</v>
      </c>
      <c r="B1531">
        <v>0.26300000000000001</v>
      </c>
      <c r="C1531" t="str">
        <f t="shared" si="23"/>
        <v>CITY OF NAPLES</v>
      </c>
      <c r="D1531" t="b">
        <v>0</v>
      </c>
    </row>
    <row r="1532" spans="1:4" x14ac:dyDescent="0.25">
      <c r="A1532" t="s">
        <v>1186</v>
      </c>
      <c r="B1532">
        <v>0.26300000000000001</v>
      </c>
      <c r="C1532" t="str">
        <f t="shared" si="23"/>
        <v>CITY OF NOCONA</v>
      </c>
      <c r="D1532" t="b">
        <v>0</v>
      </c>
    </row>
    <row r="1533" spans="1:4" x14ac:dyDescent="0.25">
      <c r="A1533" t="s">
        <v>1209</v>
      </c>
      <c r="B1533">
        <v>0.2621</v>
      </c>
      <c r="C1533" t="str">
        <f t="shared" si="23"/>
        <v>CROCKETT COUNTY WCID 1</v>
      </c>
      <c r="D1533" t="b">
        <v>0</v>
      </c>
    </row>
    <row r="1534" spans="1:4" x14ac:dyDescent="0.25">
      <c r="A1534" t="s">
        <v>990</v>
      </c>
      <c r="B1534">
        <v>0.2621</v>
      </c>
      <c r="C1534" t="str">
        <f t="shared" si="23"/>
        <v>LAGUNA MADRE WATER DISTRICT</v>
      </c>
      <c r="D1534" t="b">
        <v>0</v>
      </c>
    </row>
    <row r="1535" spans="1:4" x14ac:dyDescent="0.25">
      <c r="A1535" t="s">
        <v>1419</v>
      </c>
      <c r="B1535">
        <v>0.26200000000000001</v>
      </c>
      <c r="C1535" t="str">
        <f t="shared" si="23"/>
        <v>CITY OF TIMPSON</v>
      </c>
      <c r="D1535" t="b">
        <v>0</v>
      </c>
    </row>
    <row r="1536" spans="1:4" x14ac:dyDescent="0.25">
      <c r="A1536" t="s">
        <v>951</v>
      </c>
      <c r="B1536">
        <v>0.26100000000000001</v>
      </c>
      <c r="C1536" t="str">
        <f t="shared" si="23"/>
        <v>DELEK REFINING LTD</v>
      </c>
      <c r="D1536" t="b">
        <v>0</v>
      </c>
    </row>
    <row r="1537" spans="1:4" x14ac:dyDescent="0.25">
      <c r="A1537" t="s">
        <v>955</v>
      </c>
      <c r="B1537">
        <v>0.26100000000000001</v>
      </c>
      <c r="C1537" t="str">
        <f t="shared" si="23"/>
        <v>DELEK REFINING LTD</v>
      </c>
      <c r="D1537" t="b">
        <v>0</v>
      </c>
    </row>
    <row r="1538" spans="1:4" x14ac:dyDescent="0.25">
      <c r="A1538" t="s">
        <v>1155</v>
      </c>
      <c r="B1538">
        <v>0.26026100000000002</v>
      </c>
      <c r="C1538" t="str">
        <f t="shared" ref="C1538:C1601" si="24">VLOOKUP(A1538,PERMITTEES,2,FALSE)</f>
        <v>WE HEREFORD LLC</v>
      </c>
      <c r="D1538" t="b">
        <v>0</v>
      </c>
    </row>
    <row r="1539" spans="1:4" x14ac:dyDescent="0.25">
      <c r="A1539" t="s">
        <v>1503</v>
      </c>
      <c r="B1539">
        <v>0.26</v>
      </c>
      <c r="C1539" t="str">
        <f t="shared" si="24"/>
        <v>CITY PUBLIC SERVICE OF SAN ANTONIO</v>
      </c>
      <c r="D1539" t="b">
        <v>0</v>
      </c>
    </row>
    <row r="1540" spans="1:4" x14ac:dyDescent="0.25">
      <c r="A1540" t="s">
        <v>2327</v>
      </c>
      <c r="B1540">
        <v>0.26</v>
      </c>
      <c r="C1540" t="str">
        <f t="shared" si="24"/>
        <v>HARRIS COUNTY MUD NO 449</v>
      </c>
      <c r="D1540" t="b">
        <v>0</v>
      </c>
    </row>
    <row r="1541" spans="1:4" x14ac:dyDescent="0.25">
      <c r="A1541" t="s">
        <v>942</v>
      </c>
      <c r="B1541">
        <v>0.25950000000000001</v>
      </c>
      <c r="C1541" t="str">
        <f t="shared" si="24"/>
        <v>CITY OF PINELAND</v>
      </c>
      <c r="D1541" t="b">
        <v>0</v>
      </c>
    </row>
    <row r="1542" spans="1:4" x14ac:dyDescent="0.25">
      <c r="A1542" t="s">
        <v>818</v>
      </c>
      <c r="B1542">
        <v>0.25900000000000001</v>
      </c>
      <c r="C1542" t="str">
        <f t="shared" si="24"/>
        <v>CITY OF SILSBEE</v>
      </c>
      <c r="D1542" t="b">
        <v>0</v>
      </c>
    </row>
    <row r="1543" spans="1:4" x14ac:dyDescent="0.25">
      <c r="A1543" t="s">
        <v>2755</v>
      </c>
      <c r="B1543">
        <v>0.25879999999999997</v>
      </c>
      <c r="C1543" t="str">
        <f t="shared" si="24"/>
        <v>MONARCH UTILITIES I LP</v>
      </c>
      <c r="D1543" t="b">
        <v>0</v>
      </c>
    </row>
    <row r="1544" spans="1:4" x14ac:dyDescent="0.25">
      <c r="A1544" t="s">
        <v>1866</v>
      </c>
      <c r="B1544">
        <v>0.25800000000000001</v>
      </c>
      <c r="C1544" t="str">
        <f t="shared" si="24"/>
        <v>ROLLING FORK PUD</v>
      </c>
      <c r="D1544" t="b">
        <v>0</v>
      </c>
    </row>
    <row r="1545" spans="1:4" x14ac:dyDescent="0.25">
      <c r="A1545" t="s">
        <v>566</v>
      </c>
      <c r="B1545">
        <v>0.256517</v>
      </c>
      <c r="C1545" t="str">
        <f t="shared" si="24"/>
        <v>CITY OF LINDEN</v>
      </c>
      <c r="D1545" t="b">
        <v>0</v>
      </c>
    </row>
    <row r="1546" spans="1:4" x14ac:dyDescent="0.25">
      <c r="A1546" t="s">
        <v>1969</v>
      </c>
      <c r="B1546">
        <v>0.25600000000000001</v>
      </c>
      <c r="C1546" t="str">
        <f t="shared" si="24"/>
        <v>INTERCONTINENTAL TERMINALS CO LLC</v>
      </c>
      <c r="D1546" t="b">
        <v>0</v>
      </c>
    </row>
    <row r="1547" spans="1:4" x14ac:dyDescent="0.25">
      <c r="A1547" t="s">
        <v>2647</v>
      </c>
      <c r="B1547">
        <v>0.254</v>
      </c>
      <c r="C1547" t="str">
        <f t="shared" si="24"/>
        <v>SEIS LAGOS UD</v>
      </c>
      <c r="D1547" t="b">
        <v>0</v>
      </c>
    </row>
    <row r="1548" spans="1:4" x14ac:dyDescent="0.25">
      <c r="A1548" t="s">
        <v>2838</v>
      </c>
      <c r="B1548">
        <v>0.253</v>
      </c>
      <c r="C1548" t="str">
        <f t="shared" si="24"/>
        <v>CITY OF AZLE</v>
      </c>
      <c r="D1548" t="b">
        <v>0</v>
      </c>
    </row>
    <row r="1549" spans="1:4" x14ac:dyDescent="0.25">
      <c r="A1549" t="s">
        <v>727</v>
      </c>
      <c r="B1549">
        <v>0.253</v>
      </c>
      <c r="C1549" t="str">
        <f t="shared" si="24"/>
        <v>CITY OF GANADO</v>
      </c>
      <c r="D1549" t="b">
        <v>0</v>
      </c>
    </row>
    <row r="1550" spans="1:4" x14ac:dyDescent="0.25">
      <c r="A1550" t="s">
        <v>2473</v>
      </c>
      <c r="B1550">
        <v>0.253</v>
      </c>
      <c r="C1550" t="str">
        <f t="shared" si="24"/>
        <v>MONTGOMERY COUNTY MUD NO 83</v>
      </c>
      <c r="D1550" t="b">
        <v>0</v>
      </c>
    </row>
    <row r="1551" spans="1:4" x14ac:dyDescent="0.25">
      <c r="A1551" t="s">
        <v>903</v>
      </c>
      <c r="B1551">
        <v>0.253</v>
      </c>
      <c r="C1551" t="str">
        <f t="shared" si="24"/>
        <v>CITY OF DAISETTA</v>
      </c>
      <c r="D1551" t="b">
        <v>0</v>
      </c>
    </row>
    <row r="1552" spans="1:4" x14ac:dyDescent="0.25">
      <c r="A1552" t="s">
        <v>515</v>
      </c>
      <c r="B1552">
        <v>0.251</v>
      </c>
      <c r="C1552" t="str">
        <f t="shared" si="24"/>
        <v>CORIX UTILITIES TEXAS INC</v>
      </c>
      <c r="D1552" t="b">
        <v>0</v>
      </c>
    </row>
    <row r="1553" spans="1:4" x14ac:dyDescent="0.25">
      <c r="A1553" t="s">
        <v>1605</v>
      </c>
      <c r="B1553">
        <v>0.25</v>
      </c>
      <c r="C1553" t="str">
        <f t="shared" si="24"/>
        <v>MARATHON PETROLEUM CO LP</v>
      </c>
      <c r="D1553" t="b">
        <v>0</v>
      </c>
    </row>
    <row r="1554" spans="1:4" x14ac:dyDescent="0.25">
      <c r="A1554" t="s">
        <v>560</v>
      </c>
      <c r="B1554">
        <v>0.25</v>
      </c>
      <c r="C1554" t="str">
        <f t="shared" si="24"/>
        <v>CITY OF PITTSBURG</v>
      </c>
      <c r="D1554" t="b">
        <v>0</v>
      </c>
    </row>
    <row r="1555" spans="1:4" x14ac:dyDescent="0.25">
      <c r="A1555" t="s">
        <v>1635</v>
      </c>
      <c r="B1555">
        <v>0.25</v>
      </c>
      <c r="C1555" t="str">
        <f t="shared" si="24"/>
        <v>NUSTAR TERMINALS PARTNERS TX LP</v>
      </c>
      <c r="D1555" t="b">
        <v>0</v>
      </c>
    </row>
    <row r="1556" spans="1:4" x14ac:dyDescent="0.25">
      <c r="A1556" t="s">
        <v>498</v>
      </c>
      <c r="B1556">
        <v>0.25</v>
      </c>
      <c r="C1556" t="str">
        <f t="shared" si="24"/>
        <v>COOPER NATURAL RESOURCES INC</v>
      </c>
      <c r="D1556" t="b">
        <v>0</v>
      </c>
    </row>
    <row r="1557" spans="1:4" x14ac:dyDescent="0.25">
      <c r="A1557" t="s">
        <v>2343</v>
      </c>
      <c r="B1557">
        <v>0.25</v>
      </c>
      <c r="C1557" t="str">
        <f t="shared" si="24"/>
        <v>HARRIS COUNTY MUD NO 433</v>
      </c>
      <c r="D1557" t="b">
        <v>0</v>
      </c>
    </row>
    <row r="1558" spans="1:4" x14ac:dyDescent="0.25">
      <c r="A1558" t="s">
        <v>2013</v>
      </c>
      <c r="B1558">
        <v>0.24943299999999999</v>
      </c>
      <c r="C1558" t="str">
        <f t="shared" si="24"/>
        <v>HARRIS COUNTY MUD NO 104</v>
      </c>
      <c r="D1558" t="b">
        <v>0</v>
      </c>
    </row>
    <row r="1559" spans="1:4" x14ac:dyDescent="0.25">
      <c r="A1559" t="s">
        <v>2205</v>
      </c>
      <c r="B1559">
        <v>0.24879999999999999</v>
      </c>
      <c r="C1559" t="str">
        <f t="shared" si="24"/>
        <v>OPTIM ENERGY ALTURA COGEN LLC</v>
      </c>
      <c r="D1559" t="b">
        <v>0</v>
      </c>
    </row>
    <row r="1560" spans="1:4" x14ac:dyDescent="0.25">
      <c r="A1560" t="s">
        <v>999</v>
      </c>
      <c r="B1560">
        <v>0.243838</v>
      </c>
      <c r="C1560" t="str">
        <f t="shared" si="24"/>
        <v>US DEPT OF JUSTICE</v>
      </c>
      <c r="D1560" t="b">
        <v>0</v>
      </c>
    </row>
    <row r="1561" spans="1:4" x14ac:dyDescent="0.25">
      <c r="A1561" t="s">
        <v>2872</v>
      </c>
      <c r="B1561">
        <v>0.2429</v>
      </c>
      <c r="C1561" t="str">
        <f t="shared" si="24"/>
        <v>CITY OF SHEPHERD</v>
      </c>
      <c r="D1561" t="b">
        <v>0</v>
      </c>
    </row>
    <row r="1562" spans="1:4" x14ac:dyDescent="0.25">
      <c r="A1562" t="s">
        <v>1391</v>
      </c>
      <c r="B1562">
        <v>0.24199999999999999</v>
      </c>
      <c r="C1562" t="e">
        <f t="shared" si="24"/>
        <v>#N/A</v>
      </c>
      <c r="D1562" t="b">
        <v>0</v>
      </c>
    </row>
    <row r="1563" spans="1:4" x14ac:dyDescent="0.25">
      <c r="A1563" t="s">
        <v>1734</v>
      </c>
      <c r="B1563">
        <v>0.24</v>
      </c>
      <c r="C1563" t="str">
        <f t="shared" si="24"/>
        <v>CEMEX CONSTRUCTION MATERIALS SOUTH LLC</v>
      </c>
      <c r="D1563" t="b">
        <v>0</v>
      </c>
    </row>
    <row r="1564" spans="1:4" x14ac:dyDescent="0.25">
      <c r="A1564" t="s">
        <v>231</v>
      </c>
      <c r="B1564">
        <v>0.24</v>
      </c>
      <c r="C1564" t="str">
        <f t="shared" si="24"/>
        <v>CITY OF ITASCA</v>
      </c>
      <c r="D1564" t="b">
        <v>0</v>
      </c>
    </row>
    <row r="1565" spans="1:4" x14ac:dyDescent="0.25">
      <c r="A1565" t="s">
        <v>741</v>
      </c>
      <c r="B1565">
        <v>0.24</v>
      </c>
      <c r="C1565" t="str">
        <f t="shared" si="24"/>
        <v>GULF WEST LANDFILL TX LP</v>
      </c>
      <c r="D1565" t="b">
        <v>0</v>
      </c>
    </row>
    <row r="1566" spans="1:4" x14ac:dyDescent="0.25">
      <c r="A1566" t="s">
        <v>2631</v>
      </c>
      <c r="B1566">
        <v>0.24</v>
      </c>
      <c r="C1566" t="str">
        <f t="shared" si="24"/>
        <v>LCY ELASTOMERS LP</v>
      </c>
      <c r="D1566" t="b">
        <v>0</v>
      </c>
    </row>
    <row r="1567" spans="1:4" x14ac:dyDescent="0.25">
      <c r="A1567" t="s">
        <v>2655</v>
      </c>
      <c r="B1567">
        <v>0.23899999999999999</v>
      </c>
      <c r="C1567" t="str">
        <f t="shared" si="24"/>
        <v>CITY OF LAVON</v>
      </c>
      <c r="D1567" t="b">
        <v>0</v>
      </c>
    </row>
    <row r="1568" spans="1:4" x14ac:dyDescent="0.25">
      <c r="A1568" t="s">
        <v>525</v>
      </c>
      <c r="B1568">
        <v>0.23799999999999999</v>
      </c>
      <c r="C1568" t="str">
        <f t="shared" si="24"/>
        <v>MATAGORDA WASTE DISPOSAL &amp; WSC</v>
      </c>
      <c r="D1568" t="b">
        <v>0</v>
      </c>
    </row>
    <row r="1569" spans="1:4" x14ac:dyDescent="0.25">
      <c r="A1569" t="s">
        <v>1970</v>
      </c>
      <c r="B1569">
        <v>0.23799999999999999</v>
      </c>
      <c r="C1569" t="str">
        <f t="shared" si="24"/>
        <v>INTERCONTINENTAL TERMINALS CO LLC</v>
      </c>
      <c r="D1569" t="b">
        <v>0</v>
      </c>
    </row>
    <row r="1570" spans="1:4" x14ac:dyDescent="0.25">
      <c r="A1570" t="s">
        <v>1971</v>
      </c>
      <c r="B1570">
        <v>0.23799999999999999</v>
      </c>
      <c r="C1570" t="str">
        <f t="shared" si="24"/>
        <v>INTERCONTINENTAL TERMINALS CO LLC</v>
      </c>
      <c r="D1570" t="b">
        <v>0</v>
      </c>
    </row>
    <row r="1571" spans="1:4" x14ac:dyDescent="0.25">
      <c r="A1571" t="s">
        <v>2160</v>
      </c>
      <c r="B1571">
        <v>0.23799999999999999</v>
      </c>
      <c r="C1571" t="str">
        <f t="shared" si="24"/>
        <v>RICHEY ROAD MUD</v>
      </c>
      <c r="D1571" t="b">
        <v>0</v>
      </c>
    </row>
    <row r="1572" spans="1:4" x14ac:dyDescent="0.25">
      <c r="A1572" t="s">
        <v>2575</v>
      </c>
      <c r="B1572">
        <v>0.23799999999999999</v>
      </c>
      <c r="C1572" t="str">
        <f t="shared" si="24"/>
        <v>ENTERPRISE PRODUCTS OPERATING LLC</v>
      </c>
      <c r="D1572" t="b">
        <v>0</v>
      </c>
    </row>
    <row r="1573" spans="1:4" x14ac:dyDescent="0.25">
      <c r="A1573" t="s">
        <v>2485</v>
      </c>
      <c r="B1573">
        <v>0.2379</v>
      </c>
      <c r="C1573" t="str">
        <f t="shared" si="24"/>
        <v>MONTGOMERY COUNTY MUD NO 112</v>
      </c>
      <c r="D1573" t="b">
        <v>0</v>
      </c>
    </row>
    <row r="1574" spans="1:4" x14ac:dyDescent="0.25">
      <c r="A1574" t="s">
        <v>803</v>
      </c>
      <c r="B1574">
        <v>0.23630000000000001</v>
      </c>
      <c r="C1574" t="str">
        <f t="shared" si="24"/>
        <v>CITY OF WELLS</v>
      </c>
      <c r="D1574" t="b">
        <v>0</v>
      </c>
    </row>
    <row r="1575" spans="1:4" x14ac:dyDescent="0.25">
      <c r="A1575" t="s">
        <v>1836</v>
      </c>
      <c r="B1575">
        <v>0.23599999999999999</v>
      </c>
      <c r="C1575" t="str">
        <f t="shared" si="24"/>
        <v>SHELDON ROAD MUD</v>
      </c>
      <c r="D1575" t="b">
        <v>0</v>
      </c>
    </row>
    <row r="1576" spans="1:4" x14ac:dyDescent="0.25">
      <c r="A1576" t="s">
        <v>1169</v>
      </c>
      <c r="B1576">
        <v>0.23599999999999999</v>
      </c>
      <c r="C1576" t="str">
        <f t="shared" si="24"/>
        <v>CITY OF DENISON</v>
      </c>
      <c r="D1576" t="b">
        <v>0</v>
      </c>
    </row>
    <row r="1577" spans="1:4" x14ac:dyDescent="0.25">
      <c r="A1577" t="s">
        <v>597</v>
      </c>
      <c r="B1577">
        <v>0.2356</v>
      </c>
      <c r="C1577" t="str">
        <f t="shared" si="24"/>
        <v>CITY OF ORE CITY</v>
      </c>
      <c r="D1577" t="b">
        <v>0</v>
      </c>
    </row>
    <row r="1578" spans="1:4" x14ac:dyDescent="0.25">
      <c r="A1578" t="s">
        <v>2440</v>
      </c>
      <c r="B1578">
        <v>0.23449999999999999</v>
      </c>
      <c r="C1578" t="str">
        <f t="shared" si="24"/>
        <v>ROMAN FOREST CONSOLIDATED MUD</v>
      </c>
      <c r="D1578" t="b">
        <v>0</v>
      </c>
    </row>
    <row r="1579" spans="1:4" x14ac:dyDescent="0.25">
      <c r="A1579" t="s">
        <v>1655</v>
      </c>
      <c r="B1579">
        <v>0.2344</v>
      </c>
      <c r="C1579" t="str">
        <f t="shared" si="24"/>
        <v>BP PRODUCTS NORTH AMERICA INC</v>
      </c>
      <c r="D1579" t="b">
        <v>0</v>
      </c>
    </row>
    <row r="1580" spans="1:4" x14ac:dyDescent="0.25">
      <c r="A1580" t="s">
        <v>2894</v>
      </c>
      <c r="B1580">
        <v>0.23400000000000001</v>
      </c>
      <c r="C1580" t="str">
        <f t="shared" si="24"/>
        <v>CITY OF GROVETON</v>
      </c>
      <c r="D1580" t="b">
        <v>0</v>
      </c>
    </row>
    <row r="1581" spans="1:4" x14ac:dyDescent="0.25">
      <c r="A1581" t="s">
        <v>1478</v>
      </c>
      <c r="B1581">
        <v>0.23400000000000001</v>
      </c>
      <c r="C1581" t="str">
        <f t="shared" si="24"/>
        <v>CITY OF GREGORY</v>
      </c>
      <c r="D1581" t="b">
        <v>0</v>
      </c>
    </row>
    <row r="1582" spans="1:4" x14ac:dyDescent="0.25">
      <c r="A1582" t="s">
        <v>624</v>
      </c>
      <c r="B1582">
        <v>0.23300000000000001</v>
      </c>
      <c r="C1582" t="str">
        <f t="shared" si="24"/>
        <v>CITY OF NIXON</v>
      </c>
      <c r="D1582" t="b">
        <v>0</v>
      </c>
    </row>
    <row r="1583" spans="1:4" x14ac:dyDescent="0.25">
      <c r="A1583" t="s">
        <v>396</v>
      </c>
      <c r="B1583">
        <v>0.23200000000000001</v>
      </c>
      <c r="C1583" t="str">
        <f t="shared" si="24"/>
        <v>CITY OF SPEARMAN</v>
      </c>
      <c r="D1583" t="b">
        <v>0</v>
      </c>
    </row>
    <row r="1584" spans="1:4" x14ac:dyDescent="0.25">
      <c r="A1584" t="s">
        <v>2463</v>
      </c>
      <c r="B1584">
        <v>0.23122500000000001</v>
      </c>
      <c r="C1584" t="str">
        <f t="shared" si="24"/>
        <v>CRYSTAL SPRINGS WATER CO INC</v>
      </c>
      <c r="D1584" t="b">
        <v>0</v>
      </c>
    </row>
    <row r="1585" spans="1:4" x14ac:dyDescent="0.25">
      <c r="A1585" t="s">
        <v>134</v>
      </c>
      <c r="B1585">
        <v>0.23100000000000001</v>
      </c>
      <c r="C1585" t="str">
        <f t="shared" si="24"/>
        <v>CITY OF SOMERVILLE</v>
      </c>
      <c r="D1585" t="b">
        <v>0</v>
      </c>
    </row>
    <row r="1586" spans="1:4" x14ac:dyDescent="0.25">
      <c r="A1586" t="s">
        <v>1109</v>
      </c>
      <c r="B1586">
        <v>0.23</v>
      </c>
      <c r="C1586" t="str">
        <f t="shared" si="24"/>
        <v>CITY OF LYTLE</v>
      </c>
      <c r="D1586" t="b">
        <v>0</v>
      </c>
    </row>
    <row r="1587" spans="1:4" x14ac:dyDescent="0.25">
      <c r="A1587" t="s">
        <v>2436</v>
      </c>
      <c r="B1587">
        <v>0.23</v>
      </c>
      <c r="C1587" t="str">
        <f t="shared" si="24"/>
        <v>CHATEAU WOODS MUD</v>
      </c>
      <c r="D1587" t="b">
        <v>0</v>
      </c>
    </row>
    <row r="1588" spans="1:4" x14ac:dyDescent="0.25">
      <c r="A1588" t="s">
        <v>546</v>
      </c>
      <c r="B1588">
        <v>0.23</v>
      </c>
      <c r="C1588" t="str">
        <f t="shared" si="24"/>
        <v>NXP USA INC</v>
      </c>
      <c r="D1588" t="b">
        <v>0</v>
      </c>
    </row>
    <row r="1589" spans="1:4" x14ac:dyDescent="0.25">
      <c r="A1589" t="s">
        <v>547</v>
      </c>
      <c r="B1589">
        <v>0.23</v>
      </c>
      <c r="C1589" t="str">
        <f t="shared" si="24"/>
        <v>AQUA DEVELOPMENT INC</v>
      </c>
      <c r="D1589" t="b">
        <v>0</v>
      </c>
    </row>
    <row r="1590" spans="1:4" x14ac:dyDescent="0.25">
      <c r="A1590" t="s">
        <v>1024</v>
      </c>
      <c r="B1590">
        <v>0.23</v>
      </c>
      <c r="C1590" t="str">
        <f t="shared" si="24"/>
        <v>MILITARY HIGHWAY WSC</v>
      </c>
      <c r="D1590" t="b">
        <v>0</v>
      </c>
    </row>
    <row r="1591" spans="1:4" x14ac:dyDescent="0.25">
      <c r="A1591" t="s">
        <v>1239</v>
      </c>
      <c r="B1591">
        <v>0.23</v>
      </c>
      <c r="C1591" t="str">
        <f t="shared" si="24"/>
        <v>CITY OF PRESIDIO</v>
      </c>
      <c r="D1591" t="b">
        <v>0</v>
      </c>
    </row>
    <row r="1592" spans="1:4" x14ac:dyDescent="0.25">
      <c r="A1592" t="s">
        <v>954</v>
      </c>
      <c r="B1592">
        <v>0.22900000000000001</v>
      </c>
      <c r="C1592" t="str">
        <f t="shared" si="24"/>
        <v>DELEK REFINING LTD</v>
      </c>
      <c r="D1592" t="b">
        <v>0</v>
      </c>
    </row>
    <row r="1593" spans="1:4" x14ac:dyDescent="0.25">
      <c r="A1593" t="s">
        <v>2827</v>
      </c>
      <c r="B1593">
        <v>0.22900000000000001</v>
      </c>
      <c r="C1593" t="str">
        <f t="shared" si="24"/>
        <v>CITY OF KERENS</v>
      </c>
      <c r="D1593" t="b">
        <v>0</v>
      </c>
    </row>
    <row r="1594" spans="1:4" x14ac:dyDescent="0.25">
      <c r="A1594" t="s">
        <v>1649</v>
      </c>
      <c r="B1594">
        <v>0.22844400000000001</v>
      </c>
      <c r="C1594" t="str">
        <f t="shared" si="24"/>
        <v>CLEAN HARBORS SAN LEON INC</v>
      </c>
      <c r="D1594" t="b">
        <v>0</v>
      </c>
    </row>
    <row r="1595" spans="1:4" x14ac:dyDescent="0.25">
      <c r="A1595" t="s">
        <v>362</v>
      </c>
      <c r="B1595">
        <v>0.22600000000000001</v>
      </c>
      <c r="C1595" t="str">
        <f t="shared" si="24"/>
        <v>CITY OF MERKEL</v>
      </c>
      <c r="D1595" t="b">
        <v>0</v>
      </c>
    </row>
    <row r="1596" spans="1:4" x14ac:dyDescent="0.25">
      <c r="A1596" t="s">
        <v>1249</v>
      </c>
      <c r="B1596">
        <v>0.225858</v>
      </c>
      <c r="C1596" t="str">
        <f t="shared" si="24"/>
        <v>US DEPT OF THE AIR FORCE</v>
      </c>
      <c r="D1596" t="b">
        <v>0</v>
      </c>
    </row>
    <row r="1597" spans="1:4" x14ac:dyDescent="0.25">
      <c r="A1597" t="s">
        <v>287</v>
      </c>
      <c r="B1597">
        <v>0.22570599999999999</v>
      </c>
      <c r="C1597" t="str">
        <f t="shared" si="24"/>
        <v>CITY OF MOODY</v>
      </c>
      <c r="D1597" t="b">
        <v>0</v>
      </c>
    </row>
    <row r="1598" spans="1:4" x14ac:dyDescent="0.25">
      <c r="A1598" t="s">
        <v>1890</v>
      </c>
      <c r="B1598">
        <v>0.22500000000000001</v>
      </c>
      <c r="C1598" t="str">
        <f t="shared" si="24"/>
        <v>ENCANTO REAL UD</v>
      </c>
      <c r="D1598" t="b">
        <v>0</v>
      </c>
    </row>
    <row r="1599" spans="1:4" x14ac:dyDescent="0.25">
      <c r="A1599" t="s">
        <v>2185</v>
      </c>
      <c r="B1599">
        <v>0.22500000000000001</v>
      </c>
      <c r="C1599" t="str">
        <f t="shared" si="24"/>
        <v>HARRIS COUNTY MUD 284</v>
      </c>
      <c r="D1599" t="b">
        <v>0</v>
      </c>
    </row>
    <row r="1600" spans="1:4" x14ac:dyDescent="0.25">
      <c r="A1600" t="s">
        <v>1242</v>
      </c>
      <c r="B1600">
        <v>0.22500000000000001</v>
      </c>
      <c r="C1600" t="str">
        <f t="shared" si="24"/>
        <v>CITY OF ROMA</v>
      </c>
      <c r="D1600" t="b">
        <v>0</v>
      </c>
    </row>
    <row r="1601" spans="1:4" x14ac:dyDescent="0.25">
      <c r="A1601" t="s">
        <v>201</v>
      </c>
      <c r="B1601">
        <v>0.22500000000000001</v>
      </c>
      <c r="C1601" t="str">
        <f t="shared" si="24"/>
        <v>SIENNA PLANTATION MUD NO 5</v>
      </c>
      <c r="D1601" t="b">
        <v>0</v>
      </c>
    </row>
    <row r="1602" spans="1:4" x14ac:dyDescent="0.25">
      <c r="A1602" t="s">
        <v>2649</v>
      </c>
      <c r="B1602">
        <v>0.224</v>
      </c>
      <c r="C1602" t="str">
        <f t="shared" ref="C1602:C1665" si="25">VLOOKUP(A1602,PERMITTEES,2,FALSE)</f>
        <v>CITY OF FRISCO</v>
      </c>
      <c r="D1602" t="b">
        <v>0</v>
      </c>
    </row>
    <row r="1603" spans="1:4" x14ac:dyDescent="0.25">
      <c r="A1603" t="s">
        <v>1144</v>
      </c>
      <c r="B1603">
        <v>0.224</v>
      </c>
      <c r="C1603" t="str">
        <f t="shared" si="25"/>
        <v>CITY OF ARCHER CITY</v>
      </c>
      <c r="D1603" t="b">
        <v>0</v>
      </c>
    </row>
    <row r="1604" spans="1:4" x14ac:dyDescent="0.25">
      <c r="A1604" t="s">
        <v>2791</v>
      </c>
      <c r="B1604">
        <v>0.2238</v>
      </c>
      <c r="C1604" t="str">
        <f t="shared" si="25"/>
        <v>CITY OF KEMP</v>
      </c>
      <c r="D1604" t="b">
        <v>0</v>
      </c>
    </row>
    <row r="1605" spans="1:4" x14ac:dyDescent="0.25">
      <c r="A1605" t="s">
        <v>98</v>
      </c>
      <c r="B1605">
        <v>0.223</v>
      </c>
      <c r="C1605" t="str">
        <f t="shared" si="25"/>
        <v>GULF CHEMICAL &amp; METALLURGICAL CORP</v>
      </c>
      <c r="D1605" t="b">
        <v>0</v>
      </c>
    </row>
    <row r="1606" spans="1:4" x14ac:dyDescent="0.25">
      <c r="A1606" t="s">
        <v>137</v>
      </c>
      <c r="B1606">
        <v>0.223</v>
      </c>
      <c r="C1606" t="str">
        <f t="shared" si="25"/>
        <v>CITY OF DE LEON</v>
      </c>
      <c r="D1606" t="b">
        <v>0</v>
      </c>
    </row>
    <row r="1607" spans="1:4" x14ac:dyDescent="0.25">
      <c r="A1607" t="s">
        <v>2701</v>
      </c>
      <c r="B1607">
        <v>0.223</v>
      </c>
      <c r="C1607" t="str">
        <f t="shared" si="25"/>
        <v>TOWN OF PONDER</v>
      </c>
      <c r="D1607" t="b">
        <v>0</v>
      </c>
    </row>
    <row r="1608" spans="1:4" x14ac:dyDescent="0.25">
      <c r="A1608" t="s">
        <v>2533</v>
      </c>
      <c r="B1608">
        <v>0.2225</v>
      </c>
      <c r="C1608" t="str">
        <f t="shared" si="25"/>
        <v>CITY OF QUEEN CITY</v>
      </c>
      <c r="D1608" t="b">
        <v>0</v>
      </c>
    </row>
    <row r="1609" spans="1:4" x14ac:dyDescent="0.25">
      <c r="A1609" t="s">
        <v>1177</v>
      </c>
      <c r="B1609">
        <v>0.222</v>
      </c>
      <c r="C1609" t="str">
        <f t="shared" si="25"/>
        <v>CITY OF QUANAH</v>
      </c>
      <c r="D1609" t="b">
        <v>0</v>
      </c>
    </row>
    <row r="1610" spans="1:4" x14ac:dyDescent="0.25">
      <c r="A1610" t="s">
        <v>200</v>
      </c>
      <c r="B1610">
        <v>0.222</v>
      </c>
      <c r="C1610" t="str">
        <f t="shared" si="25"/>
        <v>FORT BEND CO MUD NO 162</v>
      </c>
      <c r="D1610" t="b">
        <v>0</v>
      </c>
    </row>
    <row r="1611" spans="1:4" x14ac:dyDescent="0.25">
      <c r="A1611" t="s">
        <v>837</v>
      </c>
      <c r="B1611">
        <v>0.221</v>
      </c>
      <c r="C1611" t="str">
        <f t="shared" si="25"/>
        <v>EVADALE WCID 1</v>
      </c>
      <c r="D1611" t="b">
        <v>0</v>
      </c>
    </row>
    <row r="1612" spans="1:4" x14ac:dyDescent="0.25">
      <c r="A1612" t="s">
        <v>2497</v>
      </c>
      <c r="B1612">
        <v>0.2208</v>
      </c>
      <c r="C1612" t="str">
        <f t="shared" si="25"/>
        <v>QUADVEST LP</v>
      </c>
      <c r="D1612" t="b">
        <v>0</v>
      </c>
    </row>
    <row r="1613" spans="1:4" x14ac:dyDescent="0.25">
      <c r="A1613" t="s">
        <v>2077</v>
      </c>
      <c r="B1613">
        <v>0.22</v>
      </c>
      <c r="C1613" t="str">
        <f t="shared" si="25"/>
        <v>WEST HARRIS COUNTY MUD 17</v>
      </c>
      <c r="D1613" t="b">
        <v>0</v>
      </c>
    </row>
    <row r="1614" spans="1:4" x14ac:dyDescent="0.25">
      <c r="A1614" t="s">
        <v>249</v>
      </c>
      <c r="B1614">
        <v>0.22</v>
      </c>
      <c r="C1614" t="str">
        <f t="shared" si="25"/>
        <v>CITY OF GODLEY</v>
      </c>
      <c r="D1614" t="b">
        <v>0</v>
      </c>
    </row>
    <row r="1615" spans="1:4" x14ac:dyDescent="0.25">
      <c r="A1615" t="s">
        <v>1531</v>
      </c>
      <c r="B1615">
        <v>0.22</v>
      </c>
      <c r="C1615" t="str">
        <f t="shared" si="25"/>
        <v>CITY OF LA COSTE</v>
      </c>
      <c r="D1615" t="b">
        <v>0</v>
      </c>
    </row>
    <row r="1616" spans="1:4" x14ac:dyDescent="0.25">
      <c r="A1616" t="s">
        <v>2308</v>
      </c>
      <c r="B1616">
        <v>0.22</v>
      </c>
      <c r="C1616" t="str">
        <f t="shared" si="25"/>
        <v>MARMAC LLC</v>
      </c>
      <c r="D1616" t="b">
        <v>0</v>
      </c>
    </row>
    <row r="1617" spans="1:4" x14ac:dyDescent="0.25">
      <c r="A1617" t="s">
        <v>386</v>
      </c>
      <c r="B1617">
        <v>0.2195</v>
      </c>
      <c r="C1617" t="e">
        <f t="shared" si="25"/>
        <v>#N/A</v>
      </c>
      <c r="D1617" t="b">
        <v>0</v>
      </c>
    </row>
    <row r="1618" spans="1:4" x14ac:dyDescent="0.25">
      <c r="A1618" t="s">
        <v>769</v>
      </c>
      <c r="B1618">
        <v>0.21909999999999999</v>
      </c>
      <c r="C1618" t="str">
        <f t="shared" si="25"/>
        <v>CITY OF CHINA</v>
      </c>
      <c r="D1618" t="b">
        <v>0</v>
      </c>
    </row>
    <row r="1619" spans="1:4" x14ac:dyDescent="0.25">
      <c r="A1619" t="s">
        <v>352</v>
      </c>
      <c r="B1619">
        <v>0.219</v>
      </c>
      <c r="C1619" t="str">
        <f t="shared" si="25"/>
        <v>CITY OF ALBANY</v>
      </c>
      <c r="D1619" t="b">
        <v>0</v>
      </c>
    </row>
    <row r="1620" spans="1:4" x14ac:dyDescent="0.25">
      <c r="A1620" t="s">
        <v>1163</v>
      </c>
      <c r="B1620">
        <v>0.219</v>
      </c>
      <c r="C1620" t="str">
        <f t="shared" si="25"/>
        <v>CITY OF CROWELL</v>
      </c>
      <c r="D1620" t="b">
        <v>0</v>
      </c>
    </row>
    <row r="1621" spans="1:4" x14ac:dyDescent="0.25">
      <c r="A1621" t="s">
        <v>2738</v>
      </c>
      <c r="B1621">
        <v>0.219</v>
      </c>
      <c r="C1621" t="str">
        <f t="shared" si="25"/>
        <v>CITY OF GUNTER</v>
      </c>
      <c r="D1621" t="b">
        <v>0</v>
      </c>
    </row>
    <row r="1622" spans="1:4" x14ac:dyDescent="0.25">
      <c r="A1622" t="s">
        <v>2724</v>
      </c>
      <c r="B1622">
        <v>0.219</v>
      </c>
      <c r="C1622" t="str">
        <f t="shared" si="25"/>
        <v>CITY OF TEAGUE</v>
      </c>
      <c r="D1622" t="b">
        <v>0</v>
      </c>
    </row>
    <row r="1623" spans="1:4" x14ac:dyDescent="0.25">
      <c r="A1623" t="s">
        <v>33</v>
      </c>
      <c r="B1623">
        <v>0.21870000000000001</v>
      </c>
      <c r="C1623" t="str">
        <f t="shared" si="25"/>
        <v>WHARTON COUNTY WCID NO 2</v>
      </c>
      <c r="D1623" t="b">
        <v>0</v>
      </c>
    </row>
    <row r="1624" spans="1:4" x14ac:dyDescent="0.25">
      <c r="A1624" t="s">
        <v>1485</v>
      </c>
      <c r="B1624">
        <v>0.21829999999999999</v>
      </c>
      <c r="C1624" t="str">
        <f t="shared" si="25"/>
        <v>CITY OF ODEM</v>
      </c>
      <c r="D1624" t="b">
        <v>0</v>
      </c>
    </row>
    <row r="1625" spans="1:4" x14ac:dyDescent="0.25">
      <c r="A1625" t="s">
        <v>1798</v>
      </c>
      <c r="B1625">
        <v>0.218</v>
      </c>
      <c r="C1625" t="str">
        <f t="shared" si="25"/>
        <v>NRG TEXAS POWER LLC</v>
      </c>
      <c r="D1625" t="b">
        <v>0</v>
      </c>
    </row>
    <row r="1626" spans="1:4" x14ac:dyDescent="0.25">
      <c r="A1626" t="s">
        <v>618</v>
      </c>
      <c r="B1626">
        <v>0.218</v>
      </c>
      <c r="C1626" t="str">
        <f t="shared" si="25"/>
        <v>CITY OF YORKTOWN</v>
      </c>
      <c r="D1626" t="b">
        <v>0</v>
      </c>
    </row>
    <row r="1627" spans="1:4" x14ac:dyDescent="0.25">
      <c r="A1627" t="s">
        <v>1219</v>
      </c>
      <c r="B1627">
        <v>0.218</v>
      </c>
      <c r="C1627" t="e">
        <f t="shared" si="25"/>
        <v>#N/A</v>
      </c>
      <c r="D1627" t="b">
        <v>0</v>
      </c>
    </row>
    <row r="1628" spans="1:4" x14ac:dyDescent="0.25">
      <c r="A1628" t="s">
        <v>213</v>
      </c>
      <c r="B1628">
        <v>0.218</v>
      </c>
      <c r="C1628" t="str">
        <f t="shared" si="25"/>
        <v>FORT BEND COUNTY MUD 134E</v>
      </c>
      <c r="D1628" t="b">
        <v>0</v>
      </c>
    </row>
    <row r="1629" spans="1:4" x14ac:dyDescent="0.25">
      <c r="A1629" t="s">
        <v>1171</v>
      </c>
      <c r="B1629">
        <v>0.217</v>
      </c>
      <c r="C1629" t="str">
        <f t="shared" si="25"/>
        <v>CITY OF BELLS</v>
      </c>
      <c r="D1629" t="b">
        <v>0</v>
      </c>
    </row>
    <row r="1630" spans="1:4" x14ac:dyDescent="0.25">
      <c r="A1630" t="s">
        <v>1210</v>
      </c>
      <c r="B1630">
        <v>0.217</v>
      </c>
      <c r="C1630" t="str">
        <f t="shared" si="25"/>
        <v>TOWN OF VAN HORN</v>
      </c>
      <c r="D1630" t="b">
        <v>0</v>
      </c>
    </row>
    <row r="1631" spans="1:4" x14ac:dyDescent="0.25">
      <c r="A1631" t="s">
        <v>2515</v>
      </c>
      <c r="B1631">
        <v>0.217</v>
      </c>
      <c r="C1631" t="str">
        <f t="shared" si="25"/>
        <v>STEELY LUMBER CO INC</v>
      </c>
      <c r="D1631" t="b">
        <v>0</v>
      </c>
    </row>
    <row r="1632" spans="1:4" x14ac:dyDescent="0.25">
      <c r="A1632" t="s">
        <v>2183</v>
      </c>
      <c r="B1632">
        <v>0.216</v>
      </c>
      <c r="C1632" t="str">
        <f t="shared" si="25"/>
        <v>KMCO LLC</v>
      </c>
      <c r="D1632" t="b">
        <v>0</v>
      </c>
    </row>
    <row r="1633" spans="1:4" x14ac:dyDescent="0.25">
      <c r="A1633" t="s">
        <v>1585</v>
      </c>
      <c r="B1633">
        <v>0.215033</v>
      </c>
      <c r="C1633" t="str">
        <f t="shared" si="25"/>
        <v>BRAZORIA CO MUD NO 29</v>
      </c>
      <c r="D1633" t="b">
        <v>0</v>
      </c>
    </row>
    <row r="1634" spans="1:4" x14ac:dyDescent="0.25">
      <c r="A1634" t="s">
        <v>1657</v>
      </c>
      <c r="B1634">
        <v>0.215</v>
      </c>
      <c r="C1634" t="str">
        <f t="shared" si="25"/>
        <v>AIR PRODUCTS LLC</v>
      </c>
      <c r="D1634" t="b">
        <v>0</v>
      </c>
    </row>
    <row r="1635" spans="1:4" x14ac:dyDescent="0.25">
      <c r="A1635" t="s">
        <v>1359</v>
      </c>
      <c r="B1635">
        <v>0.215</v>
      </c>
      <c r="C1635" t="str">
        <f t="shared" si="25"/>
        <v>JASPER COUNTY WCID 1</v>
      </c>
      <c r="D1635" t="b">
        <v>0</v>
      </c>
    </row>
    <row r="1636" spans="1:4" x14ac:dyDescent="0.25">
      <c r="A1636" t="s">
        <v>1928</v>
      </c>
      <c r="B1636">
        <v>0.215</v>
      </c>
      <c r="C1636" t="str">
        <f t="shared" si="25"/>
        <v>NORTH FOREST MUD</v>
      </c>
      <c r="D1636" t="b">
        <v>0</v>
      </c>
    </row>
    <row r="1637" spans="1:4" x14ac:dyDescent="0.25">
      <c r="A1637" t="s">
        <v>2070</v>
      </c>
      <c r="B1637">
        <v>0.214419</v>
      </c>
      <c r="C1637" t="str">
        <f t="shared" si="25"/>
        <v>HARRIS COUNTY MUD 36</v>
      </c>
      <c r="D1637" t="b">
        <v>0</v>
      </c>
    </row>
    <row r="1638" spans="1:4" x14ac:dyDescent="0.25">
      <c r="A1638" t="s">
        <v>2010</v>
      </c>
      <c r="B1638">
        <v>0.21440000000000001</v>
      </c>
      <c r="C1638" t="str">
        <f t="shared" si="25"/>
        <v>HARRIS COUNTY MUD 58</v>
      </c>
      <c r="D1638" t="b">
        <v>0</v>
      </c>
    </row>
    <row r="1639" spans="1:4" x14ac:dyDescent="0.25">
      <c r="A1639" t="s">
        <v>2775</v>
      </c>
      <c r="B1639">
        <v>0.214</v>
      </c>
      <c r="C1639" t="str">
        <f t="shared" si="25"/>
        <v>MILLER WASTE MILLS INC</v>
      </c>
      <c r="D1639" t="b">
        <v>0</v>
      </c>
    </row>
    <row r="1640" spans="1:4" x14ac:dyDescent="0.25">
      <c r="A1640" t="s">
        <v>1412</v>
      </c>
      <c r="B1640">
        <v>0.2135</v>
      </c>
      <c r="C1640" t="str">
        <f t="shared" si="25"/>
        <v>CITY OF TENAHA</v>
      </c>
      <c r="D1640" t="b">
        <v>0</v>
      </c>
    </row>
    <row r="1641" spans="1:4" x14ac:dyDescent="0.25">
      <c r="A1641" t="s">
        <v>619</v>
      </c>
      <c r="B1641">
        <v>0.21240000000000001</v>
      </c>
      <c r="C1641" t="str">
        <f t="shared" si="25"/>
        <v>CITY OF FLATONIA</v>
      </c>
      <c r="D1641" t="b">
        <v>0</v>
      </c>
    </row>
    <row r="1642" spans="1:4" x14ac:dyDescent="0.25">
      <c r="A1642" t="s">
        <v>952</v>
      </c>
      <c r="B1642">
        <v>0.21199999999999999</v>
      </c>
      <c r="C1642" t="str">
        <f t="shared" si="25"/>
        <v>DELEK REFINING LTD</v>
      </c>
      <c r="D1642" t="b">
        <v>0</v>
      </c>
    </row>
    <row r="1643" spans="1:4" x14ac:dyDescent="0.25">
      <c r="A1643" t="s">
        <v>2224</v>
      </c>
      <c r="B1643">
        <v>0.21099999999999999</v>
      </c>
      <c r="C1643" t="str">
        <f t="shared" si="25"/>
        <v>KINGS MANOR MUD</v>
      </c>
      <c r="D1643" t="b">
        <v>0</v>
      </c>
    </row>
    <row r="1644" spans="1:4" x14ac:dyDescent="0.25">
      <c r="A1644" t="s">
        <v>2721</v>
      </c>
      <c r="B1644">
        <v>0.21099000000000001</v>
      </c>
      <c r="C1644" t="str">
        <f t="shared" si="25"/>
        <v>CITY OF TRENTON</v>
      </c>
      <c r="D1644" t="b">
        <v>0</v>
      </c>
    </row>
    <row r="1645" spans="1:4" x14ac:dyDescent="0.25">
      <c r="A1645" t="s">
        <v>469</v>
      </c>
      <c r="B1645">
        <v>0.21048800000000001</v>
      </c>
      <c r="C1645" t="str">
        <f t="shared" si="25"/>
        <v>CITY OF JOHNSON CITY</v>
      </c>
      <c r="D1645" t="b">
        <v>0</v>
      </c>
    </row>
    <row r="1646" spans="1:4" x14ac:dyDescent="0.25">
      <c r="A1646" t="s">
        <v>2904</v>
      </c>
      <c r="B1646">
        <v>0.21</v>
      </c>
      <c r="C1646" t="str">
        <f t="shared" si="25"/>
        <v>CITY OF BOYD</v>
      </c>
      <c r="D1646" t="b">
        <v>0</v>
      </c>
    </row>
    <row r="1647" spans="1:4" x14ac:dyDescent="0.25">
      <c r="A1647" t="s">
        <v>509</v>
      </c>
      <c r="B1647">
        <v>0.20979999999999999</v>
      </c>
      <c r="C1647" t="str">
        <f t="shared" si="25"/>
        <v>CITY OF JUNCTION</v>
      </c>
      <c r="D1647" t="b">
        <v>0</v>
      </c>
    </row>
    <row r="1648" spans="1:4" x14ac:dyDescent="0.25">
      <c r="A1648" t="s">
        <v>1081</v>
      </c>
      <c r="B1648">
        <v>0.20799999999999999</v>
      </c>
      <c r="C1648" t="str">
        <f t="shared" si="25"/>
        <v>MAGELLAN TERMINALS HOLDINGS LP, MAGELLAN PROCESSING LP</v>
      </c>
      <c r="D1648" t="b">
        <v>0</v>
      </c>
    </row>
    <row r="1649" spans="1:4" x14ac:dyDescent="0.25">
      <c r="A1649" t="s">
        <v>2470</v>
      </c>
      <c r="B1649">
        <v>0.20799999999999999</v>
      </c>
      <c r="C1649" t="str">
        <f t="shared" si="25"/>
        <v>C &amp; R WATER SUPPLY INC</v>
      </c>
      <c r="D1649" t="b">
        <v>0</v>
      </c>
    </row>
    <row r="1650" spans="1:4" x14ac:dyDescent="0.25">
      <c r="A1650" t="s">
        <v>1715</v>
      </c>
      <c r="B1650">
        <v>0.20799999999999999</v>
      </c>
      <c r="C1650" t="str">
        <f t="shared" si="25"/>
        <v>FORT BEND MUD #185</v>
      </c>
      <c r="D1650" t="b">
        <v>0</v>
      </c>
    </row>
    <row r="1651" spans="1:4" x14ac:dyDescent="0.25">
      <c r="A1651" t="s">
        <v>226</v>
      </c>
      <c r="B1651">
        <v>0.20780000000000001</v>
      </c>
      <c r="C1651" t="str">
        <f t="shared" si="25"/>
        <v>CITY OF HICO</v>
      </c>
      <c r="D1651" t="b">
        <v>0</v>
      </c>
    </row>
    <row r="1652" spans="1:4" x14ac:dyDescent="0.25">
      <c r="A1652" t="s">
        <v>1936</v>
      </c>
      <c r="B1652">
        <v>0.20699999999999999</v>
      </c>
      <c r="C1652" t="str">
        <f t="shared" si="25"/>
        <v>ROYALWOOD MUD</v>
      </c>
      <c r="D1652" t="b">
        <v>0</v>
      </c>
    </row>
    <row r="1653" spans="1:4" x14ac:dyDescent="0.25">
      <c r="A1653" t="s">
        <v>182</v>
      </c>
      <c r="B1653">
        <v>0.20699999999999999</v>
      </c>
      <c r="C1653" t="str">
        <f t="shared" si="25"/>
        <v>FORT BEND COUNTY MUD 81</v>
      </c>
      <c r="D1653" t="b">
        <v>0</v>
      </c>
    </row>
    <row r="1654" spans="1:4" x14ac:dyDescent="0.25">
      <c r="A1654" t="s">
        <v>1151</v>
      </c>
      <c r="B1654">
        <v>0.20499999999999999</v>
      </c>
      <c r="C1654" t="str">
        <f t="shared" si="25"/>
        <v>CITY OF HENRIETTA</v>
      </c>
      <c r="D1654" t="b">
        <v>0</v>
      </c>
    </row>
    <row r="1655" spans="1:4" x14ac:dyDescent="0.25">
      <c r="A1655" t="s">
        <v>2765</v>
      </c>
      <c r="B1655">
        <v>0.20499999999999999</v>
      </c>
      <c r="C1655" t="str">
        <f t="shared" si="25"/>
        <v>CITY OF HUBBARD</v>
      </c>
      <c r="D1655" t="b">
        <v>0</v>
      </c>
    </row>
    <row r="1656" spans="1:4" x14ac:dyDescent="0.25">
      <c r="A1656" t="s">
        <v>2661</v>
      </c>
      <c r="B1656">
        <v>0.20499999999999999</v>
      </c>
      <c r="C1656" t="str">
        <f t="shared" si="25"/>
        <v>CITY OF VALLEY VIEW</v>
      </c>
      <c r="D1656" t="b">
        <v>0</v>
      </c>
    </row>
    <row r="1657" spans="1:4" x14ac:dyDescent="0.25">
      <c r="A1657" t="s">
        <v>720</v>
      </c>
      <c r="B1657">
        <v>0.20499999999999999</v>
      </c>
      <c r="C1657" t="str">
        <f t="shared" si="25"/>
        <v>AQUA TEXAS INC</v>
      </c>
      <c r="D1657" t="b">
        <v>0</v>
      </c>
    </row>
    <row r="1658" spans="1:4" x14ac:dyDescent="0.25">
      <c r="A1658" t="s">
        <v>35</v>
      </c>
      <c r="B1658">
        <v>0.20480000000000001</v>
      </c>
      <c r="C1658" t="str">
        <f t="shared" si="25"/>
        <v>LAMBERTI USA INC</v>
      </c>
      <c r="D1658" t="b">
        <v>0</v>
      </c>
    </row>
    <row r="1659" spans="1:4" x14ac:dyDescent="0.25">
      <c r="A1659" t="s">
        <v>958</v>
      </c>
      <c r="B1659">
        <v>0.20399999999999999</v>
      </c>
      <c r="C1659" t="str">
        <f t="shared" si="25"/>
        <v>DELEK REFINING LTD</v>
      </c>
      <c r="D1659" t="b">
        <v>0</v>
      </c>
    </row>
    <row r="1660" spans="1:4" x14ac:dyDescent="0.25">
      <c r="A1660" t="s">
        <v>1524</v>
      </c>
      <c r="B1660">
        <v>0.20399999999999999</v>
      </c>
      <c r="C1660" t="str">
        <f t="shared" si="25"/>
        <v>CITY OF GOLIAD</v>
      </c>
      <c r="D1660" t="b">
        <v>0</v>
      </c>
    </row>
    <row r="1661" spans="1:4" x14ac:dyDescent="0.25">
      <c r="A1661" t="s">
        <v>2457</v>
      </c>
      <c r="B1661">
        <v>0.20399999999999999</v>
      </c>
      <c r="C1661" t="str">
        <f t="shared" si="25"/>
        <v>QUADVEST LP</v>
      </c>
      <c r="D1661" t="b">
        <v>0</v>
      </c>
    </row>
    <row r="1662" spans="1:4" x14ac:dyDescent="0.25">
      <c r="A1662" t="s">
        <v>2366</v>
      </c>
      <c r="B1662">
        <v>0.20399999999999999</v>
      </c>
      <c r="C1662" t="str">
        <f t="shared" si="25"/>
        <v>LINDE LLC</v>
      </c>
      <c r="D1662" t="b">
        <v>0</v>
      </c>
    </row>
    <row r="1663" spans="1:4" x14ac:dyDescent="0.25">
      <c r="A1663" t="s">
        <v>697</v>
      </c>
      <c r="B1663">
        <v>0.2031</v>
      </c>
      <c r="C1663" t="str">
        <f t="shared" si="25"/>
        <v>AQUA TEXAS INC</v>
      </c>
      <c r="D1663" t="b">
        <v>0</v>
      </c>
    </row>
    <row r="1664" spans="1:4" x14ac:dyDescent="0.25">
      <c r="A1664" t="s">
        <v>109</v>
      </c>
      <c r="B1664">
        <v>0.20250000000000001</v>
      </c>
      <c r="C1664" t="str">
        <f t="shared" si="25"/>
        <v>DSM NUTRITIONAL PRODUCTS INC</v>
      </c>
      <c r="D1664" t="b">
        <v>0</v>
      </c>
    </row>
    <row r="1665" spans="1:4" x14ac:dyDescent="0.25">
      <c r="A1665" t="s">
        <v>1874</v>
      </c>
      <c r="B1665">
        <v>0.20219999999999999</v>
      </c>
      <c r="C1665" t="str">
        <f t="shared" si="25"/>
        <v>VOPAK LOGISTICS SERVICES USA INC</v>
      </c>
      <c r="D1665" t="b">
        <v>0</v>
      </c>
    </row>
    <row r="1666" spans="1:4" x14ac:dyDescent="0.25">
      <c r="A1666" t="s">
        <v>1794</v>
      </c>
      <c r="B1666">
        <v>0.20200000000000001</v>
      </c>
      <c r="C1666" t="str">
        <f t="shared" ref="C1666:C1729" si="26">VLOOKUP(A1666,PERMITTEES,2,FALSE)</f>
        <v>NRG TEXAS POWER LLC</v>
      </c>
      <c r="D1666" t="b">
        <v>0</v>
      </c>
    </row>
    <row r="1667" spans="1:4" x14ac:dyDescent="0.25">
      <c r="A1667" t="s">
        <v>1708</v>
      </c>
      <c r="B1667">
        <v>0.20200000000000001</v>
      </c>
      <c r="C1667" t="str">
        <f t="shared" si="26"/>
        <v>FORT BEND COUNTY MUD NO 130</v>
      </c>
      <c r="D1667" t="b">
        <v>0</v>
      </c>
    </row>
    <row r="1668" spans="1:4" x14ac:dyDescent="0.25">
      <c r="A1668" t="s">
        <v>604</v>
      </c>
      <c r="B1668">
        <v>0.20100000000000001</v>
      </c>
      <c r="C1668" t="str">
        <f t="shared" si="26"/>
        <v>CITY OF LULING</v>
      </c>
      <c r="D1668" t="b">
        <v>0</v>
      </c>
    </row>
    <row r="1669" spans="1:4" x14ac:dyDescent="0.25">
      <c r="A1669" t="s">
        <v>1601</v>
      </c>
      <c r="B1669">
        <v>0.2</v>
      </c>
      <c r="C1669" t="str">
        <f t="shared" si="26"/>
        <v>MARATHON PETROLEUM CO LP</v>
      </c>
      <c r="D1669" t="b">
        <v>0</v>
      </c>
    </row>
    <row r="1670" spans="1:4" x14ac:dyDescent="0.25">
      <c r="A1670" t="s">
        <v>1552</v>
      </c>
      <c r="B1670">
        <v>0.2</v>
      </c>
      <c r="C1670" t="str">
        <f t="shared" si="26"/>
        <v>PHILLIPS 66 CO</v>
      </c>
      <c r="D1670" t="b">
        <v>0</v>
      </c>
    </row>
    <row r="1671" spans="1:4" x14ac:dyDescent="0.25">
      <c r="A1671" t="s">
        <v>313</v>
      </c>
      <c r="B1671">
        <v>0.2</v>
      </c>
      <c r="C1671" t="str">
        <f t="shared" si="26"/>
        <v>DOUBLE DIAMOND UTILITIES CO</v>
      </c>
      <c r="D1671" t="b">
        <v>0</v>
      </c>
    </row>
    <row r="1672" spans="1:4" x14ac:dyDescent="0.25">
      <c r="A1672" t="s">
        <v>1361</v>
      </c>
      <c r="B1672">
        <v>0.2</v>
      </c>
      <c r="C1672" t="str">
        <f t="shared" si="26"/>
        <v>SOUTHERN FOREST PRODUCTS LLC</v>
      </c>
      <c r="D1672" t="b">
        <v>0</v>
      </c>
    </row>
    <row r="1673" spans="1:4" x14ac:dyDescent="0.25">
      <c r="A1673" t="s">
        <v>1622</v>
      </c>
      <c r="B1673">
        <v>0.19836599999999999</v>
      </c>
      <c r="C1673" t="str">
        <f t="shared" si="26"/>
        <v>GALVESTON COUNTY FWSD 6</v>
      </c>
      <c r="D1673" t="b">
        <v>0</v>
      </c>
    </row>
    <row r="1674" spans="1:4" x14ac:dyDescent="0.25">
      <c r="A1674" t="s">
        <v>522</v>
      </c>
      <c r="B1674">
        <v>0.19800000000000001</v>
      </c>
      <c r="C1674" t="str">
        <f t="shared" si="26"/>
        <v>CITY OF MASON</v>
      </c>
      <c r="D1674" t="b">
        <v>0</v>
      </c>
    </row>
    <row r="1675" spans="1:4" x14ac:dyDescent="0.25">
      <c r="A1675" t="s">
        <v>995</v>
      </c>
      <c r="B1675">
        <v>0.19700000000000001</v>
      </c>
      <c r="C1675" t="str">
        <f t="shared" si="26"/>
        <v>VALLEY MUNICIPAL UTILITY DISTRICT NO 2</v>
      </c>
      <c r="D1675" t="b">
        <v>0</v>
      </c>
    </row>
    <row r="1676" spans="1:4" x14ac:dyDescent="0.25">
      <c r="A1676" t="s">
        <v>205</v>
      </c>
      <c r="B1676">
        <v>0.19639999999999999</v>
      </c>
      <c r="C1676" t="str">
        <f t="shared" si="26"/>
        <v>FORT BEND COUNTY MUD NO 5</v>
      </c>
      <c r="D1676" t="b">
        <v>0</v>
      </c>
    </row>
    <row r="1677" spans="1:4" x14ac:dyDescent="0.25">
      <c r="A1677" t="s">
        <v>1069</v>
      </c>
      <c r="B1677">
        <v>0.1963</v>
      </c>
      <c r="C1677" t="str">
        <f t="shared" si="26"/>
        <v>CITY OF BISHOP</v>
      </c>
      <c r="D1677" t="b">
        <v>0</v>
      </c>
    </row>
    <row r="1678" spans="1:4" x14ac:dyDescent="0.25">
      <c r="A1678" t="s">
        <v>2712</v>
      </c>
      <c r="B1678">
        <v>0.19500000000000001</v>
      </c>
      <c r="C1678" t="str">
        <f t="shared" si="26"/>
        <v>CITY OF MAYPEARL</v>
      </c>
      <c r="D1678" t="b">
        <v>0</v>
      </c>
    </row>
    <row r="1679" spans="1:4" x14ac:dyDescent="0.25">
      <c r="A1679" t="s">
        <v>17</v>
      </c>
      <c r="B1679">
        <v>0.19500000000000001</v>
      </c>
      <c r="C1679" t="str">
        <f t="shared" si="26"/>
        <v>TEXAS DEPT OF CRIMINAL JUSTICE</v>
      </c>
      <c r="D1679" t="b">
        <v>0</v>
      </c>
    </row>
    <row r="1680" spans="1:4" x14ac:dyDescent="0.25">
      <c r="A1680" t="s">
        <v>206</v>
      </c>
      <c r="B1680">
        <v>0.19500000000000001</v>
      </c>
      <c r="C1680" t="str">
        <f t="shared" si="26"/>
        <v>FORT BEND COUNTY MUD NO 182</v>
      </c>
      <c r="D1680" t="b">
        <v>0</v>
      </c>
    </row>
    <row r="1681" spans="1:4" x14ac:dyDescent="0.25">
      <c r="A1681" t="s">
        <v>1451</v>
      </c>
      <c r="B1681">
        <v>0.19436600000000001</v>
      </c>
      <c r="C1681" t="str">
        <f t="shared" si="26"/>
        <v>NESTLE WATERS NORTH AMERICA INC</v>
      </c>
      <c r="D1681" t="b">
        <v>0</v>
      </c>
    </row>
    <row r="1682" spans="1:4" x14ac:dyDescent="0.25">
      <c r="A1682" t="s">
        <v>1157</v>
      </c>
      <c r="B1682">
        <v>0.19400000000000001</v>
      </c>
      <c r="C1682" t="str">
        <f t="shared" si="26"/>
        <v>CITY OF SAVOY</v>
      </c>
      <c r="D1682" t="b">
        <v>0</v>
      </c>
    </row>
    <row r="1683" spans="1:4" x14ac:dyDescent="0.25">
      <c r="A1683" t="s">
        <v>2544</v>
      </c>
      <c r="B1683">
        <v>0.19400000000000001</v>
      </c>
      <c r="C1683" t="str">
        <f t="shared" si="26"/>
        <v>CITY OF WOLFE CITY</v>
      </c>
      <c r="D1683" t="b">
        <v>0</v>
      </c>
    </row>
    <row r="1684" spans="1:4" x14ac:dyDescent="0.25">
      <c r="A1684" t="s">
        <v>971</v>
      </c>
      <c r="B1684">
        <v>0.19400000000000001</v>
      </c>
      <c r="C1684" t="str">
        <f t="shared" si="26"/>
        <v>EAST TEXAS ELECTRIC COOPERATIVE INC</v>
      </c>
      <c r="D1684" t="b">
        <v>0</v>
      </c>
    </row>
    <row r="1685" spans="1:4" x14ac:dyDescent="0.25">
      <c r="A1685" t="s">
        <v>23</v>
      </c>
      <c r="B1685">
        <v>0.19400000000000001</v>
      </c>
      <c r="C1685" t="str">
        <f t="shared" si="26"/>
        <v>CHEVRON PHILLIPS CHEMICAL COMPANY LP</v>
      </c>
      <c r="D1685" t="b">
        <v>0</v>
      </c>
    </row>
    <row r="1686" spans="1:4" x14ac:dyDescent="0.25">
      <c r="A1686" t="s">
        <v>933</v>
      </c>
      <c r="B1686">
        <v>0.19350000000000001</v>
      </c>
      <c r="C1686" t="str">
        <f t="shared" si="26"/>
        <v>GEORGIA-PACIFIC WOOD PRODUCTS WOUTH LLC</v>
      </c>
      <c r="D1686" t="b">
        <v>0</v>
      </c>
    </row>
    <row r="1687" spans="1:4" x14ac:dyDescent="0.25">
      <c r="A1687" t="s">
        <v>2141</v>
      </c>
      <c r="B1687">
        <v>0.193387</v>
      </c>
      <c r="C1687" t="str">
        <f t="shared" si="26"/>
        <v>STOLTHAVEN HOUSTON INC</v>
      </c>
      <c r="D1687" t="b">
        <v>0</v>
      </c>
    </row>
    <row r="1688" spans="1:4" x14ac:dyDescent="0.25">
      <c r="A1688" t="s">
        <v>156</v>
      </c>
      <c r="B1688">
        <v>0.193</v>
      </c>
      <c r="C1688" t="str">
        <f t="shared" si="26"/>
        <v>CITY OF STEPHENVILLE</v>
      </c>
      <c r="D1688" t="b">
        <v>0</v>
      </c>
    </row>
    <row r="1689" spans="1:4" x14ac:dyDescent="0.25">
      <c r="A1689" t="s">
        <v>2192</v>
      </c>
      <c r="B1689">
        <v>0.193</v>
      </c>
      <c r="C1689" t="str">
        <f t="shared" si="26"/>
        <v>HARRIS CO MUD 278</v>
      </c>
      <c r="D1689" t="b">
        <v>0</v>
      </c>
    </row>
    <row r="1690" spans="1:4" x14ac:dyDescent="0.25">
      <c r="A1690" t="s">
        <v>2564</v>
      </c>
      <c r="B1690">
        <v>0.192</v>
      </c>
      <c r="C1690" t="str">
        <f t="shared" si="26"/>
        <v>COVESTRO LLC</v>
      </c>
      <c r="D1690" t="b">
        <v>0</v>
      </c>
    </row>
    <row r="1691" spans="1:4" x14ac:dyDescent="0.25">
      <c r="A1691" t="s">
        <v>1465</v>
      </c>
      <c r="B1691">
        <v>0.192</v>
      </c>
      <c r="C1691" t="str">
        <f t="shared" si="26"/>
        <v>TOWN OF WOODSBORO</v>
      </c>
      <c r="D1691" t="b">
        <v>0</v>
      </c>
    </row>
    <row r="1692" spans="1:4" x14ac:dyDescent="0.25">
      <c r="A1692" t="s">
        <v>275</v>
      </c>
      <c r="B1692">
        <v>0.192</v>
      </c>
      <c r="C1692" t="str">
        <f t="shared" si="26"/>
        <v>TOWN OF RANSOM CANYON</v>
      </c>
      <c r="D1692" t="b">
        <v>0</v>
      </c>
    </row>
    <row r="1693" spans="1:4" x14ac:dyDescent="0.25">
      <c r="A1693" t="s">
        <v>2321</v>
      </c>
      <c r="B1693">
        <v>0.1913</v>
      </c>
      <c r="C1693" t="str">
        <f t="shared" si="26"/>
        <v>HARRIS COUNTY MUD NO 432</v>
      </c>
      <c r="D1693" t="b">
        <v>0</v>
      </c>
    </row>
    <row r="1694" spans="1:4" x14ac:dyDescent="0.25">
      <c r="A1694" t="s">
        <v>602</v>
      </c>
      <c r="B1694">
        <v>0.191</v>
      </c>
      <c r="C1694" t="str">
        <f t="shared" si="26"/>
        <v>CITY OF BLANCO</v>
      </c>
      <c r="D1694" t="b">
        <v>0</v>
      </c>
    </row>
    <row r="1695" spans="1:4" x14ac:dyDescent="0.25">
      <c r="A1695" t="s">
        <v>1232</v>
      </c>
      <c r="B1695">
        <v>0.1905</v>
      </c>
      <c r="C1695" t="str">
        <f t="shared" si="26"/>
        <v>AGUA SUD</v>
      </c>
      <c r="D1695" t="b">
        <v>0</v>
      </c>
    </row>
    <row r="1696" spans="1:4" x14ac:dyDescent="0.25">
      <c r="A1696" t="s">
        <v>577</v>
      </c>
      <c r="B1696">
        <v>0.19</v>
      </c>
      <c r="C1696" t="str">
        <f t="shared" si="26"/>
        <v>US STEEL TUBULAR PRODUCTS INC</v>
      </c>
      <c r="D1696" t="b">
        <v>0</v>
      </c>
    </row>
    <row r="1697" spans="1:4" x14ac:dyDescent="0.25">
      <c r="A1697" t="s">
        <v>335</v>
      </c>
      <c r="B1697">
        <v>0.19</v>
      </c>
      <c r="C1697" t="str">
        <f t="shared" si="26"/>
        <v>CITY OF FRANKLIN</v>
      </c>
      <c r="D1697" t="b">
        <v>0</v>
      </c>
    </row>
    <row r="1698" spans="1:4" x14ac:dyDescent="0.25">
      <c r="A1698" t="s">
        <v>2725</v>
      </c>
      <c r="B1698">
        <v>0.19</v>
      </c>
      <c r="C1698" t="str">
        <f t="shared" si="26"/>
        <v>CITY OF TEAGUE</v>
      </c>
      <c r="D1698" t="b">
        <v>0</v>
      </c>
    </row>
    <row r="1699" spans="1:4" x14ac:dyDescent="0.25">
      <c r="A1699" t="s">
        <v>1896</v>
      </c>
      <c r="B1699">
        <v>0.19</v>
      </c>
      <c r="C1699" t="str">
        <f t="shared" si="26"/>
        <v>MEMORIAL HILLS UD</v>
      </c>
      <c r="D1699" t="b">
        <v>0</v>
      </c>
    </row>
    <row r="1700" spans="1:4" x14ac:dyDescent="0.25">
      <c r="A1700" t="s">
        <v>2805</v>
      </c>
      <c r="B1700">
        <v>0.19</v>
      </c>
      <c r="C1700" t="str">
        <f t="shared" si="26"/>
        <v>CITY OF BUFFALO</v>
      </c>
      <c r="D1700" t="b">
        <v>0</v>
      </c>
    </row>
    <row r="1701" spans="1:4" x14ac:dyDescent="0.25">
      <c r="A1701" t="s">
        <v>2590</v>
      </c>
      <c r="B1701">
        <v>0.19</v>
      </c>
      <c r="C1701" t="str">
        <f t="shared" si="26"/>
        <v>ENTERPRISE PRODUCTS OPERATING LLC</v>
      </c>
      <c r="D1701" t="b">
        <v>0</v>
      </c>
    </row>
    <row r="1702" spans="1:4" x14ac:dyDescent="0.25">
      <c r="A1702" t="s">
        <v>2383</v>
      </c>
      <c r="B1702">
        <v>0.1895</v>
      </c>
      <c r="C1702" t="str">
        <f t="shared" si="26"/>
        <v>TARGA TERMINALS LLC</v>
      </c>
      <c r="D1702" t="b">
        <v>0</v>
      </c>
    </row>
    <row r="1703" spans="1:4" x14ac:dyDescent="0.25">
      <c r="A1703" t="s">
        <v>2523</v>
      </c>
      <c r="B1703">
        <v>0.18909999999999999</v>
      </c>
      <c r="C1703" t="str">
        <f t="shared" si="26"/>
        <v>CITY OF REDWATER</v>
      </c>
      <c r="D1703" t="b">
        <v>0</v>
      </c>
    </row>
    <row r="1704" spans="1:4" x14ac:dyDescent="0.25">
      <c r="A1704" t="s">
        <v>1851</v>
      </c>
      <c r="B1704">
        <v>0.189</v>
      </c>
      <c r="C1704" t="str">
        <f t="shared" si="26"/>
        <v>INVERNESS FOREST IMPROVEMENT DIST</v>
      </c>
      <c r="D1704" t="b">
        <v>0</v>
      </c>
    </row>
    <row r="1705" spans="1:4" x14ac:dyDescent="0.25">
      <c r="A1705" t="s">
        <v>208</v>
      </c>
      <c r="B1705">
        <v>0.189</v>
      </c>
      <c r="C1705" t="str">
        <f t="shared" si="26"/>
        <v>FORT BEND COUNTY MUD 25</v>
      </c>
      <c r="D1705" t="b">
        <v>0</v>
      </c>
    </row>
    <row r="1706" spans="1:4" x14ac:dyDescent="0.25">
      <c r="A1706" t="s">
        <v>2521</v>
      </c>
      <c r="B1706">
        <v>0.189</v>
      </c>
      <c r="C1706" t="str">
        <f t="shared" si="26"/>
        <v>CARDET WHOLESALE INC</v>
      </c>
      <c r="D1706" t="b">
        <v>0</v>
      </c>
    </row>
    <row r="1707" spans="1:4" x14ac:dyDescent="0.25">
      <c r="A1707" t="s">
        <v>377</v>
      </c>
      <c r="B1707">
        <v>0.188</v>
      </c>
      <c r="C1707" t="str">
        <f t="shared" si="26"/>
        <v>CITY OF GRANGER</v>
      </c>
      <c r="D1707" t="b">
        <v>0</v>
      </c>
    </row>
    <row r="1708" spans="1:4" x14ac:dyDescent="0.25">
      <c r="A1708" t="s">
        <v>2330</v>
      </c>
      <c r="B1708">
        <v>0.188</v>
      </c>
      <c r="C1708" t="str">
        <f t="shared" si="26"/>
        <v>CITY OF HOUSTON</v>
      </c>
      <c r="D1708" t="b">
        <v>0</v>
      </c>
    </row>
    <row r="1709" spans="1:4" x14ac:dyDescent="0.25">
      <c r="A1709" t="s">
        <v>956</v>
      </c>
      <c r="B1709">
        <v>0.187</v>
      </c>
      <c r="C1709" t="str">
        <f t="shared" si="26"/>
        <v>DELEK REFINING LTD</v>
      </c>
      <c r="D1709" t="b">
        <v>0</v>
      </c>
    </row>
    <row r="1710" spans="1:4" x14ac:dyDescent="0.25">
      <c r="A1710" t="s">
        <v>2619</v>
      </c>
      <c r="B1710">
        <v>0.187</v>
      </c>
      <c r="C1710" t="str">
        <f t="shared" si="26"/>
        <v>CHEVRON PHILLIPS CHEMICAL CO LP</v>
      </c>
      <c r="D1710" t="b">
        <v>0</v>
      </c>
    </row>
    <row r="1711" spans="1:4" x14ac:dyDescent="0.25">
      <c r="A1711" t="s">
        <v>2311</v>
      </c>
      <c r="B1711">
        <v>0.187</v>
      </c>
      <c r="C1711" t="str">
        <f t="shared" si="26"/>
        <v>NORTHWEST HARRIS COUNTY MUD NO 19</v>
      </c>
      <c r="D1711" t="b">
        <v>0</v>
      </c>
    </row>
    <row r="1712" spans="1:4" x14ac:dyDescent="0.25">
      <c r="A1712" t="s">
        <v>1130</v>
      </c>
      <c r="B1712">
        <v>0.187</v>
      </c>
      <c r="C1712" t="str">
        <f t="shared" si="26"/>
        <v>CITY OF THREE RIVERS</v>
      </c>
      <c r="D1712" t="b">
        <v>0</v>
      </c>
    </row>
    <row r="1713" spans="1:4" x14ac:dyDescent="0.25">
      <c r="A1713" t="s">
        <v>1487</v>
      </c>
      <c r="B1713">
        <v>0.187</v>
      </c>
      <c r="C1713" t="str">
        <f t="shared" si="26"/>
        <v>NASHTEC LLC</v>
      </c>
      <c r="D1713" t="b">
        <v>0</v>
      </c>
    </row>
    <row r="1714" spans="1:4" x14ac:dyDescent="0.25">
      <c r="A1714" t="s">
        <v>2336</v>
      </c>
      <c r="B1714">
        <v>0.18640000000000001</v>
      </c>
      <c r="C1714" t="str">
        <f t="shared" si="26"/>
        <v>HARRIS COUNTY MUD NO 400</v>
      </c>
      <c r="D1714" t="b">
        <v>0</v>
      </c>
    </row>
    <row r="1715" spans="1:4" x14ac:dyDescent="0.25">
      <c r="A1715" t="s">
        <v>821</v>
      </c>
      <c r="B1715">
        <v>0.186</v>
      </c>
      <c r="C1715" t="str">
        <f t="shared" si="26"/>
        <v>HARDIN COUNTY WCID 1</v>
      </c>
      <c r="D1715" t="b">
        <v>0</v>
      </c>
    </row>
    <row r="1716" spans="1:4" x14ac:dyDescent="0.25">
      <c r="A1716" t="s">
        <v>1709</v>
      </c>
      <c r="B1716">
        <v>0.186</v>
      </c>
      <c r="C1716" t="str">
        <f t="shared" si="26"/>
        <v>FORT BEND COUNTY MUD 124</v>
      </c>
      <c r="D1716" t="b">
        <v>0</v>
      </c>
    </row>
    <row r="1717" spans="1:4" x14ac:dyDescent="0.25">
      <c r="A1717" t="s">
        <v>980</v>
      </c>
      <c r="B1717">
        <v>0.185</v>
      </c>
      <c r="C1717" t="str">
        <f t="shared" si="26"/>
        <v>CITY OF RIO HONDO</v>
      </c>
      <c r="D1717" t="b">
        <v>0</v>
      </c>
    </row>
    <row r="1718" spans="1:4" x14ac:dyDescent="0.25">
      <c r="A1718" t="s">
        <v>1434</v>
      </c>
      <c r="B1718">
        <v>0.182</v>
      </c>
      <c r="C1718" t="str">
        <f t="shared" si="26"/>
        <v>CITY OF EDGEWOOD</v>
      </c>
      <c r="D1718" t="b">
        <v>0</v>
      </c>
    </row>
    <row r="1719" spans="1:4" x14ac:dyDescent="0.25">
      <c r="A1719" t="s">
        <v>1010</v>
      </c>
      <c r="B1719">
        <v>0.182</v>
      </c>
      <c r="C1719" t="str">
        <f t="shared" si="26"/>
        <v>CITY OF SAN JUAN</v>
      </c>
      <c r="D1719" t="b">
        <v>0</v>
      </c>
    </row>
    <row r="1720" spans="1:4" x14ac:dyDescent="0.25">
      <c r="A1720" t="s">
        <v>2777</v>
      </c>
      <c r="B1720">
        <v>0.18185000000000001</v>
      </c>
      <c r="C1720" t="str">
        <f t="shared" si="26"/>
        <v>MILLER WASTE MILLS INC</v>
      </c>
      <c r="D1720" t="b">
        <v>0</v>
      </c>
    </row>
    <row r="1721" spans="1:4" x14ac:dyDescent="0.25">
      <c r="A1721" t="s">
        <v>1488</v>
      </c>
      <c r="B1721">
        <v>0.18174499999999999</v>
      </c>
      <c r="C1721" t="str">
        <f t="shared" si="26"/>
        <v>CITY OF BANDERA</v>
      </c>
      <c r="D1721" t="b">
        <v>0</v>
      </c>
    </row>
    <row r="1722" spans="1:4" x14ac:dyDescent="0.25">
      <c r="A1722" t="s">
        <v>1150</v>
      </c>
      <c r="B1722">
        <v>0.18</v>
      </c>
      <c r="C1722" t="str">
        <f t="shared" si="26"/>
        <v>CITY OF HENRIETTA</v>
      </c>
      <c r="D1722" t="b">
        <v>0</v>
      </c>
    </row>
    <row r="1723" spans="1:4" x14ac:dyDescent="0.25">
      <c r="A1723" t="s">
        <v>40</v>
      </c>
      <c r="B1723">
        <v>0.18</v>
      </c>
      <c r="C1723" t="str">
        <f t="shared" si="26"/>
        <v>CITY OF WALLIS</v>
      </c>
      <c r="D1723" t="b">
        <v>0</v>
      </c>
    </row>
    <row r="1724" spans="1:4" x14ac:dyDescent="0.25">
      <c r="A1724" t="s">
        <v>1187</v>
      </c>
      <c r="B1724">
        <v>0.18</v>
      </c>
      <c r="C1724" t="str">
        <f t="shared" si="26"/>
        <v>CITY OF AVERY</v>
      </c>
      <c r="D1724" t="b">
        <v>0</v>
      </c>
    </row>
    <row r="1725" spans="1:4" x14ac:dyDescent="0.25">
      <c r="A1725" t="s">
        <v>1020</v>
      </c>
      <c r="B1725">
        <v>0.18</v>
      </c>
      <c r="C1725" t="str">
        <f t="shared" si="26"/>
        <v>MILITARY HIGHWAY WSC</v>
      </c>
      <c r="D1725" t="b">
        <v>0</v>
      </c>
    </row>
    <row r="1726" spans="1:4" x14ac:dyDescent="0.25">
      <c r="A1726" t="s">
        <v>2597</v>
      </c>
      <c r="B1726">
        <v>0.18</v>
      </c>
      <c r="C1726" t="str">
        <f t="shared" si="26"/>
        <v>ENTERPRISE PRODUCTS OPERATING LLC</v>
      </c>
      <c r="D1726" t="b">
        <v>0</v>
      </c>
    </row>
    <row r="1727" spans="1:4" x14ac:dyDescent="0.25">
      <c r="A1727" t="s">
        <v>1702</v>
      </c>
      <c r="B1727">
        <v>0.17899999999999999</v>
      </c>
      <c r="C1727" t="str">
        <f t="shared" si="26"/>
        <v>FORT BEND COUNTY MUD 37</v>
      </c>
      <c r="D1727" t="b">
        <v>0</v>
      </c>
    </row>
    <row r="1728" spans="1:4" x14ac:dyDescent="0.25">
      <c r="A1728" t="s">
        <v>2733</v>
      </c>
      <c r="B1728">
        <v>0.17899999999999999</v>
      </c>
      <c r="C1728" t="str">
        <f t="shared" si="26"/>
        <v>CITY OF TEAGUE &amp; CITY OF FAIRFIELD</v>
      </c>
      <c r="D1728" t="b">
        <v>0</v>
      </c>
    </row>
    <row r="1729" spans="1:4" x14ac:dyDescent="0.25">
      <c r="A1729" t="s">
        <v>2254</v>
      </c>
      <c r="B1729">
        <v>0.17899999999999999</v>
      </c>
      <c r="C1729" t="str">
        <f t="shared" si="26"/>
        <v>HARRIS COUNTY MUD 371</v>
      </c>
      <c r="D1729" t="b">
        <v>0</v>
      </c>
    </row>
    <row r="1730" spans="1:4" x14ac:dyDescent="0.25">
      <c r="A1730" t="s">
        <v>2583</v>
      </c>
      <c r="B1730">
        <v>0.17899999999999999</v>
      </c>
      <c r="C1730" t="str">
        <f t="shared" ref="C1730:C1793" si="27">VLOOKUP(A1730,PERMITTEES,2,FALSE)</f>
        <v>CHAMBERS COUNTY IMPROVEMENT DISTRICT NO 1</v>
      </c>
      <c r="D1730" t="b">
        <v>0</v>
      </c>
    </row>
    <row r="1731" spans="1:4" x14ac:dyDescent="0.25">
      <c r="A1731" t="s">
        <v>1975</v>
      </c>
      <c r="B1731">
        <v>0.17799999999999999</v>
      </c>
      <c r="C1731" t="str">
        <f t="shared" si="27"/>
        <v>SHELDON ROAD MUD</v>
      </c>
      <c r="D1731" t="b">
        <v>0</v>
      </c>
    </row>
    <row r="1732" spans="1:4" x14ac:dyDescent="0.25">
      <c r="A1732" t="s">
        <v>857</v>
      </c>
      <c r="B1732">
        <v>0.1777</v>
      </c>
      <c r="C1732" t="str">
        <f t="shared" si="27"/>
        <v>LUCITE INTERNATIONAL INC</v>
      </c>
      <c r="D1732" t="b">
        <v>0</v>
      </c>
    </row>
    <row r="1733" spans="1:4" x14ac:dyDescent="0.25">
      <c r="A1733" t="s">
        <v>2684</v>
      </c>
      <c r="B1733">
        <v>0.17699999999999999</v>
      </c>
      <c r="C1733" t="str">
        <f t="shared" si="27"/>
        <v>CITY OF KRUM</v>
      </c>
      <c r="D1733" t="b">
        <v>0</v>
      </c>
    </row>
    <row r="1734" spans="1:4" x14ac:dyDescent="0.25">
      <c r="A1734" t="s">
        <v>2415</v>
      </c>
      <c r="B1734">
        <v>0.17530000000000001</v>
      </c>
      <c r="C1734" t="str">
        <f t="shared" si="27"/>
        <v>LAKE CONROE HILLS MUD</v>
      </c>
      <c r="D1734" t="b">
        <v>0</v>
      </c>
    </row>
    <row r="1735" spans="1:4" x14ac:dyDescent="0.25">
      <c r="A1735" t="s">
        <v>2230</v>
      </c>
      <c r="B1735">
        <v>0.17499999999999999</v>
      </c>
      <c r="C1735" t="str">
        <f t="shared" si="27"/>
        <v>NORTHWEST HARRIS COUNTY MUD NO 36</v>
      </c>
      <c r="D1735" t="b">
        <v>0</v>
      </c>
    </row>
    <row r="1736" spans="1:4" x14ac:dyDescent="0.25">
      <c r="A1736" t="s">
        <v>849</v>
      </c>
      <c r="B1736">
        <v>0.17399999999999999</v>
      </c>
      <c r="C1736" t="str">
        <f t="shared" si="27"/>
        <v>TOTAL PETROCHEMICALS &amp; REFINING USA INC</v>
      </c>
      <c r="D1736" t="b">
        <v>0</v>
      </c>
    </row>
    <row r="1737" spans="1:4" x14ac:dyDescent="0.25">
      <c r="A1737" t="s">
        <v>664</v>
      </c>
      <c r="B1737">
        <v>0.17399999999999999</v>
      </c>
      <c r="C1737" t="str">
        <f t="shared" si="27"/>
        <v>CITY OF SEADRIFT</v>
      </c>
      <c r="D1737" t="b">
        <v>0</v>
      </c>
    </row>
    <row r="1738" spans="1:4" x14ac:dyDescent="0.25">
      <c r="A1738" t="s">
        <v>2437</v>
      </c>
      <c r="B1738">
        <v>0.17299999999999999</v>
      </c>
      <c r="C1738" t="str">
        <f t="shared" si="27"/>
        <v>CRYSTAL SPRINGS WATER CO INC</v>
      </c>
      <c r="D1738" t="b">
        <v>0</v>
      </c>
    </row>
    <row r="1739" spans="1:4" x14ac:dyDescent="0.25">
      <c r="A1739" t="s">
        <v>2694</v>
      </c>
      <c r="B1739">
        <v>0.17299999999999999</v>
      </c>
      <c r="C1739" t="str">
        <f t="shared" si="27"/>
        <v>ACME BRICK COMPANY</v>
      </c>
      <c r="D1739" t="b">
        <v>0</v>
      </c>
    </row>
    <row r="1740" spans="1:4" x14ac:dyDescent="0.25">
      <c r="A1740" t="s">
        <v>2695</v>
      </c>
      <c r="B1740">
        <v>0.17299999999999999</v>
      </c>
      <c r="C1740" t="str">
        <f t="shared" si="27"/>
        <v>ACME BRICK COMPANY</v>
      </c>
      <c r="D1740" t="b">
        <v>0</v>
      </c>
    </row>
    <row r="1741" spans="1:4" x14ac:dyDescent="0.25">
      <c r="A1741" t="s">
        <v>2059</v>
      </c>
      <c r="B1741">
        <v>0.17100000000000001</v>
      </c>
      <c r="C1741" t="str">
        <f t="shared" si="27"/>
        <v>NORTHWEST HARRIS COUNTY MUD NO 19</v>
      </c>
      <c r="D1741" t="b">
        <v>0</v>
      </c>
    </row>
    <row r="1742" spans="1:4" x14ac:dyDescent="0.25">
      <c r="A1742" t="s">
        <v>2191</v>
      </c>
      <c r="B1742">
        <v>0.17100000000000001</v>
      </c>
      <c r="C1742" t="str">
        <f t="shared" si="27"/>
        <v>RANKIN ROAD WEST MUD</v>
      </c>
      <c r="D1742" t="b">
        <v>0</v>
      </c>
    </row>
    <row r="1743" spans="1:4" x14ac:dyDescent="0.25">
      <c r="A1743" t="s">
        <v>1597</v>
      </c>
      <c r="B1743">
        <v>0.17</v>
      </c>
      <c r="C1743" t="str">
        <f t="shared" si="27"/>
        <v>BLANCHARD REFINING CO LLC</v>
      </c>
      <c r="D1743" t="b">
        <v>0</v>
      </c>
    </row>
    <row r="1744" spans="1:4" x14ac:dyDescent="0.25">
      <c r="A1744" t="s">
        <v>1804</v>
      </c>
      <c r="B1744">
        <v>0.17</v>
      </c>
      <c r="C1744" t="str">
        <f t="shared" si="27"/>
        <v>ARKEMA INC</v>
      </c>
      <c r="D1744" t="b">
        <v>0</v>
      </c>
    </row>
    <row r="1745" spans="1:4" x14ac:dyDescent="0.25">
      <c r="A1745" t="s">
        <v>1620</v>
      </c>
      <c r="B1745">
        <v>0.17</v>
      </c>
      <c r="C1745" t="str">
        <f t="shared" si="27"/>
        <v>ISP TECHNOLOGIES INC</v>
      </c>
      <c r="D1745" t="b">
        <v>0</v>
      </c>
    </row>
    <row r="1746" spans="1:4" x14ac:dyDescent="0.25">
      <c r="A1746" t="s">
        <v>148</v>
      </c>
      <c r="B1746">
        <v>0.17</v>
      </c>
      <c r="C1746" t="str">
        <f t="shared" si="27"/>
        <v>CITY OF GORMAN</v>
      </c>
      <c r="D1746" t="b">
        <v>0</v>
      </c>
    </row>
    <row r="1747" spans="1:4" x14ac:dyDescent="0.25">
      <c r="A1747" t="s">
        <v>1217</v>
      </c>
      <c r="B1747">
        <v>0.17</v>
      </c>
      <c r="C1747" t="str">
        <f t="shared" si="27"/>
        <v>EL PASO COUNTY TORNILLO WID</v>
      </c>
      <c r="D1747" t="b">
        <v>0</v>
      </c>
    </row>
    <row r="1748" spans="1:4" x14ac:dyDescent="0.25">
      <c r="A1748" t="s">
        <v>291</v>
      </c>
      <c r="B1748">
        <v>0.16930000000000001</v>
      </c>
      <c r="C1748" t="str">
        <f t="shared" si="27"/>
        <v>CITY OF CRAWFORD</v>
      </c>
      <c r="D1748" t="b">
        <v>0</v>
      </c>
    </row>
    <row r="1749" spans="1:4" x14ac:dyDescent="0.25">
      <c r="A1749" t="s">
        <v>1185</v>
      </c>
      <c r="B1749">
        <v>0.16900000000000001</v>
      </c>
      <c r="C1749" t="str">
        <f t="shared" si="27"/>
        <v>CITY OF NOCONA</v>
      </c>
      <c r="D1749" t="b">
        <v>0</v>
      </c>
    </row>
    <row r="1750" spans="1:4" x14ac:dyDescent="0.25">
      <c r="A1750" t="s">
        <v>531</v>
      </c>
      <c r="B1750">
        <v>0.16800000000000001</v>
      </c>
      <c r="C1750" t="str">
        <f t="shared" si="27"/>
        <v>CITY OF GOLDTHWAITE</v>
      </c>
      <c r="D1750" t="b">
        <v>0</v>
      </c>
    </row>
    <row r="1751" spans="1:4" x14ac:dyDescent="0.25">
      <c r="A1751" t="s">
        <v>1761</v>
      </c>
      <c r="B1751">
        <v>0.16628999999999999</v>
      </c>
      <c r="C1751" t="str">
        <f t="shared" si="27"/>
        <v>THE GOODYEAR TIRE &amp; RUBBER CO</v>
      </c>
      <c r="D1751" t="b">
        <v>0</v>
      </c>
    </row>
    <row r="1752" spans="1:4" x14ac:dyDescent="0.25">
      <c r="A1752" t="s">
        <v>830</v>
      </c>
      <c r="B1752">
        <v>0.16600000000000001</v>
      </c>
      <c r="C1752" t="str">
        <f t="shared" si="27"/>
        <v>CITY OF GRAPELAND</v>
      </c>
      <c r="D1752" t="b">
        <v>0</v>
      </c>
    </row>
    <row r="1753" spans="1:4" x14ac:dyDescent="0.25">
      <c r="A1753" t="s">
        <v>2569</v>
      </c>
      <c r="B1753">
        <v>0.16600000000000001</v>
      </c>
      <c r="C1753" t="str">
        <f t="shared" si="27"/>
        <v>J&amp;S WATER CO LLC</v>
      </c>
      <c r="D1753" t="b">
        <v>0</v>
      </c>
    </row>
    <row r="1754" spans="1:4" x14ac:dyDescent="0.25">
      <c r="A1754" t="s">
        <v>534</v>
      </c>
      <c r="B1754">
        <v>0.16600000000000001</v>
      </c>
      <c r="C1754" t="str">
        <f t="shared" si="27"/>
        <v>CITY OF ELDORADO</v>
      </c>
      <c r="D1754" t="b">
        <v>0</v>
      </c>
    </row>
    <row r="1755" spans="1:4" x14ac:dyDescent="0.25">
      <c r="A1755" t="s">
        <v>2208</v>
      </c>
      <c r="B1755">
        <v>0.16600000000000001</v>
      </c>
      <c r="C1755" t="str">
        <f t="shared" si="27"/>
        <v>CITY OF HOUSTON</v>
      </c>
      <c r="D1755" t="b">
        <v>0</v>
      </c>
    </row>
    <row r="1756" spans="1:4" x14ac:dyDescent="0.25">
      <c r="A1756" t="s">
        <v>2316</v>
      </c>
      <c r="B1756">
        <v>0.16600000000000001</v>
      </c>
      <c r="C1756" t="str">
        <f t="shared" si="27"/>
        <v>CITY OF HOUSTON</v>
      </c>
      <c r="D1756" t="b">
        <v>0</v>
      </c>
    </row>
    <row r="1757" spans="1:4" x14ac:dyDescent="0.25">
      <c r="A1757" t="s">
        <v>833</v>
      </c>
      <c r="B1757">
        <v>0.16542000000000001</v>
      </c>
      <c r="C1757" t="str">
        <f t="shared" si="27"/>
        <v>RAYBURN COUNTRY MUD</v>
      </c>
      <c r="D1757" t="b">
        <v>0</v>
      </c>
    </row>
    <row r="1758" spans="1:4" x14ac:dyDescent="0.25">
      <c r="A1758" t="s">
        <v>2905</v>
      </c>
      <c r="B1758">
        <v>0.16500000000000001</v>
      </c>
      <c r="C1758" t="str">
        <f t="shared" si="27"/>
        <v>CITY OF CHICO</v>
      </c>
      <c r="D1758" t="b">
        <v>0</v>
      </c>
    </row>
    <row r="1759" spans="1:4" x14ac:dyDescent="0.25">
      <c r="A1759" t="s">
        <v>1679</v>
      </c>
      <c r="B1759">
        <v>0.16500000000000001</v>
      </c>
      <c r="C1759" t="str">
        <f t="shared" si="27"/>
        <v>LYONDELL CHEMICAL CO</v>
      </c>
      <c r="D1759" t="b">
        <v>0</v>
      </c>
    </row>
    <row r="1760" spans="1:4" x14ac:dyDescent="0.25">
      <c r="A1760" t="s">
        <v>1979</v>
      </c>
      <c r="B1760">
        <v>0.16400000000000001</v>
      </c>
      <c r="C1760" t="str">
        <f t="shared" si="27"/>
        <v>NITSCH &amp; SON UTILITY CO INC</v>
      </c>
      <c r="D1760" t="b">
        <v>0</v>
      </c>
    </row>
    <row r="1761" spans="1:4" x14ac:dyDescent="0.25">
      <c r="A1761" t="s">
        <v>1829</v>
      </c>
      <c r="B1761">
        <v>0.16381799999999999</v>
      </c>
      <c r="C1761" t="str">
        <f t="shared" si="27"/>
        <v>CHAMPS WATER CO</v>
      </c>
      <c r="D1761" t="b">
        <v>0</v>
      </c>
    </row>
    <row r="1762" spans="1:4" x14ac:dyDescent="0.25">
      <c r="A1762" t="s">
        <v>930</v>
      </c>
      <c r="B1762">
        <v>0.16350700000000001</v>
      </c>
      <c r="C1762" t="str">
        <f t="shared" si="27"/>
        <v>GEORGIA-PACIFIC WOOD PRODUCTS LLC</v>
      </c>
      <c r="D1762" t="b">
        <v>0</v>
      </c>
    </row>
    <row r="1763" spans="1:4" x14ac:dyDescent="0.25">
      <c r="A1763" t="s">
        <v>2574</v>
      </c>
      <c r="B1763">
        <v>0.16350000000000001</v>
      </c>
      <c r="C1763" t="str">
        <f t="shared" si="27"/>
        <v>MONARCH UTILITIES I  LP</v>
      </c>
      <c r="D1763" t="b">
        <v>0</v>
      </c>
    </row>
    <row r="1764" spans="1:4" x14ac:dyDescent="0.25">
      <c r="A1764" t="s">
        <v>1551</v>
      </c>
      <c r="B1764">
        <v>0.16300000000000001</v>
      </c>
      <c r="C1764" t="str">
        <f t="shared" si="27"/>
        <v>PHILLIPS 66 CO</v>
      </c>
      <c r="D1764" t="b">
        <v>0</v>
      </c>
    </row>
    <row r="1765" spans="1:4" x14ac:dyDescent="0.25">
      <c r="A1765" t="s">
        <v>888</v>
      </c>
      <c r="B1765">
        <v>0.16300000000000001</v>
      </c>
      <c r="C1765" t="str">
        <f t="shared" si="27"/>
        <v>AIR LIQUIDE LARGE INDUSTRIES US LP</v>
      </c>
      <c r="D1765" t="b">
        <v>0</v>
      </c>
    </row>
    <row r="1766" spans="1:4" x14ac:dyDescent="0.25">
      <c r="A1766" t="s">
        <v>1981</v>
      </c>
      <c r="B1766">
        <v>0.16300000000000001</v>
      </c>
      <c r="C1766" t="str">
        <f t="shared" si="27"/>
        <v>UIC 13 LLC</v>
      </c>
      <c r="D1766" t="b">
        <v>0</v>
      </c>
    </row>
    <row r="1767" spans="1:4" x14ac:dyDescent="0.25">
      <c r="A1767" t="s">
        <v>2676</v>
      </c>
      <c r="B1767">
        <v>0.16239999999999999</v>
      </c>
      <c r="C1767" t="str">
        <f t="shared" si="27"/>
        <v>FPG CT OWNER LP</v>
      </c>
      <c r="D1767" t="b">
        <v>0</v>
      </c>
    </row>
    <row r="1768" spans="1:4" x14ac:dyDescent="0.25">
      <c r="A1768" t="s">
        <v>1090</v>
      </c>
      <c r="B1768">
        <v>0.16237799999999999</v>
      </c>
      <c r="C1768" t="str">
        <f t="shared" si="27"/>
        <v>THE GEO GROUP INC</v>
      </c>
      <c r="D1768" t="b">
        <v>0</v>
      </c>
    </row>
    <row r="1769" spans="1:4" x14ac:dyDescent="0.25">
      <c r="A1769" t="s">
        <v>584</v>
      </c>
      <c r="B1769">
        <v>0.16177</v>
      </c>
      <c r="C1769" t="str">
        <f t="shared" si="27"/>
        <v>CITY OF OMAHA</v>
      </c>
      <c r="D1769" t="b">
        <v>0</v>
      </c>
    </row>
    <row r="1770" spans="1:4" x14ac:dyDescent="0.25">
      <c r="A1770" t="s">
        <v>909</v>
      </c>
      <c r="B1770">
        <v>0.1615</v>
      </c>
      <c r="C1770" t="str">
        <f t="shared" si="27"/>
        <v>NACOGDOCHES POWER LLC</v>
      </c>
      <c r="D1770" t="b">
        <v>0</v>
      </c>
    </row>
    <row r="1771" spans="1:4" x14ac:dyDescent="0.25">
      <c r="A1771" t="s">
        <v>644</v>
      </c>
      <c r="B1771">
        <v>0.161</v>
      </c>
      <c r="C1771" t="str">
        <f t="shared" si="27"/>
        <v>QUAIL CREEK MUD</v>
      </c>
      <c r="D1771" t="b">
        <v>0</v>
      </c>
    </row>
    <row r="1772" spans="1:4" x14ac:dyDescent="0.25">
      <c r="A1772" t="s">
        <v>2851</v>
      </c>
      <c r="B1772">
        <v>0.161</v>
      </c>
      <c r="C1772" t="str">
        <f t="shared" si="27"/>
        <v>POLK COUNTY FWSD 2</v>
      </c>
      <c r="D1772" t="b">
        <v>0</v>
      </c>
    </row>
    <row r="1773" spans="1:4" x14ac:dyDescent="0.25">
      <c r="A1773" t="s">
        <v>202</v>
      </c>
      <c r="B1773">
        <v>0.16070000000000001</v>
      </c>
      <c r="C1773" t="str">
        <f t="shared" si="27"/>
        <v>ROYAL VALLEY UTILITIES INC</v>
      </c>
      <c r="D1773" t="b">
        <v>0</v>
      </c>
    </row>
    <row r="1774" spans="1:4" x14ac:dyDescent="0.25">
      <c r="A1774" t="s">
        <v>1871</v>
      </c>
      <c r="B1774">
        <v>0.16059999999999999</v>
      </c>
      <c r="C1774" t="str">
        <f t="shared" si="27"/>
        <v>AQUA UTILITIES INC</v>
      </c>
      <c r="D1774" t="b">
        <v>0</v>
      </c>
    </row>
    <row r="1775" spans="1:4" x14ac:dyDescent="0.25">
      <c r="A1775" t="s">
        <v>2566</v>
      </c>
      <c r="B1775">
        <v>0.16</v>
      </c>
      <c r="C1775" t="str">
        <f t="shared" si="27"/>
        <v>JSW STEEL USA INC</v>
      </c>
      <c r="D1775" t="b">
        <v>0</v>
      </c>
    </row>
    <row r="1776" spans="1:4" x14ac:dyDescent="0.25">
      <c r="A1776" t="s">
        <v>2773</v>
      </c>
      <c r="B1776">
        <v>0.16</v>
      </c>
      <c r="C1776" t="str">
        <f t="shared" si="27"/>
        <v>CITY OF LOVELADY</v>
      </c>
      <c r="D1776" t="b">
        <v>0</v>
      </c>
    </row>
    <row r="1777" spans="1:4" x14ac:dyDescent="0.25">
      <c r="A1777" t="s">
        <v>2476</v>
      </c>
      <c r="B1777">
        <v>0.16</v>
      </c>
      <c r="C1777" t="str">
        <f t="shared" si="27"/>
        <v>QUADVEST LP</v>
      </c>
      <c r="D1777" t="b">
        <v>0</v>
      </c>
    </row>
    <row r="1778" spans="1:4" x14ac:dyDescent="0.25">
      <c r="A1778" t="s">
        <v>1519</v>
      </c>
      <c r="B1778">
        <v>0.16</v>
      </c>
      <c r="C1778" t="str">
        <f t="shared" si="27"/>
        <v>SAN ANTONIO RIVER AUTHORITY</v>
      </c>
      <c r="D1778" t="b">
        <v>0</v>
      </c>
    </row>
    <row r="1779" spans="1:4" x14ac:dyDescent="0.25">
      <c r="A1779" t="s">
        <v>359</v>
      </c>
      <c r="B1779">
        <v>0.16</v>
      </c>
      <c r="C1779" t="str">
        <f t="shared" si="27"/>
        <v>SOMERVELL COUNTY WATER DISTRICT</v>
      </c>
      <c r="D1779" t="b">
        <v>0</v>
      </c>
    </row>
    <row r="1780" spans="1:4" x14ac:dyDescent="0.25">
      <c r="A1780" t="s">
        <v>32</v>
      </c>
      <c r="B1780">
        <v>0.159</v>
      </c>
      <c r="C1780" t="str">
        <f t="shared" si="27"/>
        <v>CANEY CREEK MUD</v>
      </c>
      <c r="D1780" t="b">
        <v>0</v>
      </c>
    </row>
    <row r="1781" spans="1:4" x14ac:dyDescent="0.25">
      <c r="A1781" t="s">
        <v>2588</v>
      </c>
      <c r="B1781">
        <v>0.15840000000000001</v>
      </c>
      <c r="C1781" t="e">
        <f t="shared" si="27"/>
        <v>#N/A</v>
      </c>
      <c r="D1781" t="b">
        <v>0</v>
      </c>
    </row>
    <row r="1782" spans="1:4" x14ac:dyDescent="0.25">
      <c r="A1782" t="s">
        <v>712</v>
      </c>
      <c r="B1782">
        <v>0.1583</v>
      </c>
      <c r="C1782" t="str">
        <f t="shared" si="27"/>
        <v>AQUA TEXAS INC</v>
      </c>
      <c r="D1782" t="b">
        <v>0</v>
      </c>
    </row>
    <row r="1783" spans="1:4" x14ac:dyDescent="0.25">
      <c r="A1783" t="s">
        <v>161</v>
      </c>
      <c r="B1783">
        <v>0.158</v>
      </c>
      <c r="C1783" t="str">
        <f t="shared" si="27"/>
        <v>CITY OF ROSEBUD</v>
      </c>
      <c r="D1783" t="b">
        <v>0</v>
      </c>
    </row>
    <row r="1784" spans="1:4" x14ac:dyDescent="0.25">
      <c r="A1784" t="s">
        <v>260</v>
      </c>
      <c r="B1784">
        <v>0.158</v>
      </c>
      <c r="C1784" t="str">
        <f t="shared" si="27"/>
        <v>CITY OF LEXINGTON</v>
      </c>
      <c r="D1784" t="b">
        <v>0</v>
      </c>
    </row>
    <row r="1785" spans="1:4" x14ac:dyDescent="0.25">
      <c r="A1785" t="s">
        <v>2449</v>
      </c>
      <c r="B1785">
        <v>0.158</v>
      </c>
      <c r="C1785" t="str">
        <f t="shared" si="27"/>
        <v>CITY OF SPLENDORA</v>
      </c>
      <c r="D1785" t="b">
        <v>0</v>
      </c>
    </row>
    <row r="1786" spans="1:4" x14ac:dyDescent="0.25">
      <c r="A1786" t="s">
        <v>2307</v>
      </c>
      <c r="B1786">
        <v>0.158</v>
      </c>
      <c r="C1786" t="str">
        <f t="shared" si="27"/>
        <v>HARRIS COUNTY MUD NO 389</v>
      </c>
      <c r="D1786" t="b">
        <v>0</v>
      </c>
    </row>
    <row r="1787" spans="1:4" x14ac:dyDescent="0.25">
      <c r="A1787" t="s">
        <v>2633</v>
      </c>
      <c r="B1787">
        <v>0.158</v>
      </c>
      <c r="C1787" t="str">
        <f t="shared" si="27"/>
        <v>UTILITIES INVESTMENT CO INC</v>
      </c>
      <c r="D1787" t="b">
        <v>0</v>
      </c>
    </row>
    <row r="1788" spans="1:4" x14ac:dyDescent="0.25">
      <c r="A1788" t="s">
        <v>2047</v>
      </c>
      <c r="B1788">
        <v>0.157</v>
      </c>
      <c r="C1788" t="str">
        <f t="shared" si="27"/>
        <v>WEST HARRIS COUNTY MUD 4</v>
      </c>
      <c r="D1788" t="b">
        <v>0</v>
      </c>
    </row>
    <row r="1789" spans="1:4" x14ac:dyDescent="0.25">
      <c r="A1789" t="s">
        <v>63</v>
      </c>
      <c r="B1789">
        <v>0.155</v>
      </c>
      <c r="C1789" t="str">
        <f t="shared" si="27"/>
        <v>CITY OF HOLLAND</v>
      </c>
      <c r="D1789" t="b">
        <v>0</v>
      </c>
    </row>
    <row r="1790" spans="1:4" x14ac:dyDescent="0.25">
      <c r="A1790" t="s">
        <v>2912</v>
      </c>
      <c r="B1790">
        <v>0.155</v>
      </c>
      <c r="C1790" t="str">
        <f t="shared" si="27"/>
        <v>CITY OF RHOME</v>
      </c>
      <c r="D1790" t="b">
        <v>0</v>
      </c>
    </row>
    <row r="1791" spans="1:4" x14ac:dyDescent="0.25">
      <c r="A1791" t="s">
        <v>2891</v>
      </c>
      <c r="B1791">
        <v>0.154</v>
      </c>
      <c r="C1791" t="str">
        <f t="shared" si="27"/>
        <v>WESTWOOD SHORES MUD</v>
      </c>
      <c r="D1791" t="b">
        <v>0</v>
      </c>
    </row>
    <row r="1792" spans="1:4" x14ac:dyDescent="0.25">
      <c r="A1792" t="s">
        <v>1689</v>
      </c>
      <c r="B1792">
        <v>0.154</v>
      </c>
      <c r="C1792" t="str">
        <f t="shared" si="27"/>
        <v>A SCHULMAN INC</v>
      </c>
      <c r="D1792" t="b">
        <v>0</v>
      </c>
    </row>
    <row r="1793" spans="1:4" x14ac:dyDescent="0.25">
      <c r="A1793" t="s">
        <v>251</v>
      </c>
      <c r="B1793">
        <v>0.153</v>
      </c>
      <c r="C1793" t="str">
        <f t="shared" si="27"/>
        <v>CITY OF HAMLIN</v>
      </c>
      <c r="D1793" t="b">
        <v>0</v>
      </c>
    </row>
    <row r="1794" spans="1:4" x14ac:dyDescent="0.25">
      <c r="A1794" t="s">
        <v>2628</v>
      </c>
      <c r="B1794">
        <v>0.15279999999999999</v>
      </c>
      <c r="C1794" t="str">
        <f t="shared" ref="C1794:C1857" si="28">VLOOKUP(A1794,PERMITTEES,2,FALSE)</f>
        <v>LAKE MUNICIPAL UD</v>
      </c>
      <c r="D1794" t="b">
        <v>0</v>
      </c>
    </row>
    <row r="1795" spans="1:4" x14ac:dyDescent="0.25">
      <c r="A1795" t="s">
        <v>2659</v>
      </c>
      <c r="B1795">
        <v>0.152</v>
      </c>
      <c r="C1795" t="str">
        <f t="shared" si="28"/>
        <v>CITYOF LINDSAY</v>
      </c>
      <c r="D1795" t="b">
        <v>0</v>
      </c>
    </row>
    <row r="1796" spans="1:4" x14ac:dyDescent="0.25">
      <c r="A1796" t="s">
        <v>334</v>
      </c>
      <c r="B1796">
        <v>0.152</v>
      </c>
      <c r="C1796" t="str">
        <f t="shared" si="28"/>
        <v>PARKER COUNTY SUD</v>
      </c>
      <c r="D1796" t="b">
        <v>0</v>
      </c>
    </row>
    <row r="1797" spans="1:4" x14ac:dyDescent="0.25">
      <c r="A1797" t="s">
        <v>2360</v>
      </c>
      <c r="B1797">
        <v>0.152</v>
      </c>
      <c r="C1797" t="str">
        <f t="shared" si="28"/>
        <v>ELG METALS INC</v>
      </c>
      <c r="D1797" t="b">
        <v>0</v>
      </c>
    </row>
    <row r="1798" spans="1:4" x14ac:dyDescent="0.25">
      <c r="A1798" t="s">
        <v>2581</v>
      </c>
      <c r="B1798">
        <v>0.15179999999999999</v>
      </c>
      <c r="C1798" t="str">
        <f t="shared" si="28"/>
        <v>CHEMICALS INC</v>
      </c>
      <c r="D1798" t="b">
        <v>0</v>
      </c>
    </row>
    <row r="1799" spans="1:4" x14ac:dyDescent="0.25">
      <c r="A1799" t="s">
        <v>877</v>
      </c>
      <c r="B1799">
        <v>0.151</v>
      </c>
      <c r="C1799" t="str">
        <f t="shared" si="28"/>
        <v>AIR LIQUIDE LARGE INDUSTRIES US LP</v>
      </c>
      <c r="D1799" t="b">
        <v>0</v>
      </c>
    </row>
    <row r="1800" spans="1:4" x14ac:dyDescent="0.25">
      <c r="A1800" t="s">
        <v>667</v>
      </c>
      <c r="B1800">
        <v>0.151</v>
      </c>
      <c r="C1800" t="str">
        <f t="shared" si="28"/>
        <v>SEADRIFT COKE LP</v>
      </c>
      <c r="D1800" t="b">
        <v>0</v>
      </c>
    </row>
    <row r="1801" spans="1:4" x14ac:dyDescent="0.25">
      <c r="A1801" t="s">
        <v>2643</v>
      </c>
      <c r="B1801">
        <v>0.15</v>
      </c>
      <c r="C1801" t="str">
        <f t="shared" si="28"/>
        <v>NORTH TEXAS MUNICIPAL WATER DIST</v>
      </c>
      <c r="D1801" t="b">
        <v>0</v>
      </c>
    </row>
    <row r="1802" spans="1:4" x14ac:dyDescent="0.25">
      <c r="A1802" t="s">
        <v>2818</v>
      </c>
      <c r="B1802">
        <v>0.15</v>
      </c>
      <c r="C1802" t="str">
        <f t="shared" si="28"/>
        <v>MONTEREY MUSHROOMS INC</v>
      </c>
      <c r="D1802" t="b">
        <v>0</v>
      </c>
    </row>
    <row r="1803" spans="1:4" x14ac:dyDescent="0.25">
      <c r="A1803" t="s">
        <v>1271</v>
      </c>
      <c r="B1803">
        <v>0.15</v>
      </c>
      <c r="C1803" t="str">
        <f t="shared" si="28"/>
        <v>LIBERTY CITY WSC</v>
      </c>
      <c r="D1803" t="b">
        <v>0</v>
      </c>
    </row>
    <row r="1804" spans="1:4" x14ac:dyDescent="0.25">
      <c r="A1804" t="s">
        <v>2300</v>
      </c>
      <c r="B1804">
        <v>0.15</v>
      </c>
      <c r="C1804" t="str">
        <f t="shared" si="28"/>
        <v>HARRIS COUNTY MUD NO 287</v>
      </c>
      <c r="D1804" t="b">
        <v>0</v>
      </c>
    </row>
    <row r="1805" spans="1:4" x14ac:dyDescent="0.25">
      <c r="A1805" t="s">
        <v>782</v>
      </c>
      <c r="B1805">
        <v>0.14940000000000001</v>
      </c>
      <c r="C1805" t="str">
        <f t="shared" si="28"/>
        <v>JBS PACKING COMPANY INC</v>
      </c>
      <c r="D1805" t="b">
        <v>0</v>
      </c>
    </row>
    <row r="1806" spans="1:4" x14ac:dyDescent="0.25">
      <c r="A1806" t="s">
        <v>2279</v>
      </c>
      <c r="B1806">
        <v>0.14899999999999999</v>
      </c>
      <c r="C1806" t="str">
        <f t="shared" si="28"/>
        <v>TIMBERCREST PARTNERS LLC</v>
      </c>
      <c r="D1806" t="b">
        <v>0</v>
      </c>
    </row>
    <row r="1807" spans="1:4" x14ac:dyDescent="0.25">
      <c r="A1807" t="s">
        <v>1256</v>
      </c>
      <c r="B1807">
        <v>0.14899999999999999</v>
      </c>
      <c r="C1807" t="str">
        <f t="shared" si="28"/>
        <v>CITY OF LAREDO</v>
      </c>
      <c r="D1807" t="b">
        <v>0</v>
      </c>
    </row>
    <row r="1808" spans="1:4" x14ac:dyDescent="0.25">
      <c r="A1808" t="s">
        <v>2344</v>
      </c>
      <c r="B1808">
        <v>0.14899999999999999</v>
      </c>
      <c r="C1808" t="str">
        <f t="shared" si="28"/>
        <v>WESTON MUD</v>
      </c>
      <c r="D1808" t="b">
        <v>0</v>
      </c>
    </row>
    <row r="1809" spans="1:4" x14ac:dyDescent="0.25">
      <c r="A1809" t="s">
        <v>101</v>
      </c>
      <c r="B1809">
        <v>0.14869599999999999</v>
      </c>
      <c r="C1809" t="str">
        <f t="shared" si="28"/>
        <v>VENATOR CHEMICALS LLC</v>
      </c>
      <c r="D1809" t="b">
        <v>0</v>
      </c>
    </row>
    <row r="1810" spans="1:4" x14ac:dyDescent="0.25">
      <c r="A1810" t="s">
        <v>1533</v>
      </c>
      <c r="B1810">
        <v>0.14799999999999999</v>
      </c>
      <c r="C1810" t="str">
        <f t="shared" si="28"/>
        <v>CITY OF LA VERNIA</v>
      </c>
      <c r="D1810" t="b">
        <v>0</v>
      </c>
    </row>
    <row r="1811" spans="1:4" x14ac:dyDescent="0.25">
      <c r="A1811" t="s">
        <v>988</v>
      </c>
      <c r="B1811">
        <v>0.14799999999999999</v>
      </c>
      <c r="C1811" t="str">
        <f t="shared" si="28"/>
        <v>SEBASTIAN MUD</v>
      </c>
      <c r="D1811" t="b">
        <v>0</v>
      </c>
    </row>
    <row r="1812" spans="1:4" x14ac:dyDescent="0.25">
      <c r="A1812" t="s">
        <v>154</v>
      </c>
      <c r="B1812">
        <v>0.14799999999999999</v>
      </c>
      <c r="C1812" t="str">
        <f t="shared" si="28"/>
        <v>CITY OF CISCO</v>
      </c>
      <c r="D1812" t="b">
        <v>0</v>
      </c>
    </row>
    <row r="1813" spans="1:4" x14ac:dyDescent="0.25">
      <c r="A1813" t="s">
        <v>2479</v>
      </c>
      <c r="B1813">
        <v>0.14799999999999999</v>
      </c>
      <c r="C1813" t="str">
        <f t="shared" si="28"/>
        <v>MONTGOMERY MUD NO 105</v>
      </c>
      <c r="D1813" t="b">
        <v>0</v>
      </c>
    </row>
    <row r="1814" spans="1:4" x14ac:dyDescent="0.25">
      <c r="A1814" t="s">
        <v>2475</v>
      </c>
      <c r="B1814">
        <v>0.1479</v>
      </c>
      <c r="C1814" t="str">
        <f t="shared" si="28"/>
        <v>MONTGOMERY CO MUD NO 88</v>
      </c>
      <c r="D1814" t="b">
        <v>0</v>
      </c>
    </row>
    <row r="1815" spans="1:4" x14ac:dyDescent="0.25">
      <c r="A1815" t="s">
        <v>2355</v>
      </c>
      <c r="B1815">
        <v>0.1477</v>
      </c>
      <c r="C1815" t="str">
        <f t="shared" si="28"/>
        <v>TARGA DOWNSTREAM LLC</v>
      </c>
      <c r="D1815" t="b">
        <v>0</v>
      </c>
    </row>
    <row r="1816" spans="1:4" x14ac:dyDescent="0.25">
      <c r="A1816" t="s">
        <v>1933</v>
      </c>
      <c r="B1816">
        <v>0.14710000000000001</v>
      </c>
      <c r="C1816" t="str">
        <f t="shared" si="28"/>
        <v>HARRIS COUNTY WCID NO 113</v>
      </c>
      <c r="D1816" t="b">
        <v>0</v>
      </c>
    </row>
    <row r="1817" spans="1:4" x14ac:dyDescent="0.25">
      <c r="A1817" t="s">
        <v>2235</v>
      </c>
      <c r="B1817">
        <v>0.14699999999999999</v>
      </c>
      <c r="C1817" t="str">
        <f t="shared" si="28"/>
        <v>WEST HARRIS COUNTY MUD 21</v>
      </c>
      <c r="D1817" t="b">
        <v>0</v>
      </c>
    </row>
    <row r="1818" spans="1:4" x14ac:dyDescent="0.25">
      <c r="A1818" t="s">
        <v>451</v>
      </c>
      <c r="B1818">
        <v>0.14699999999999999</v>
      </c>
      <c r="C1818" t="str">
        <f t="shared" si="28"/>
        <v>MARKHAM MUD</v>
      </c>
      <c r="D1818" t="b">
        <v>0</v>
      </c>
    </row>
    <row r="1819" spans="1:4" x14ac:dyDescent="0.25">
      <c r="A1819" t="s">
        <v>1033</v>
      </c>
      <c r="B1819">
        <v>0.14599999999999999</v>
      </c>
      <c r="C1819" t="str">
        <f t="shared" si="28"/>
        <v>CITY OF ORANGE GROVE</v>
      </c>
      <c r="D1819" t="b">
        <v>0</v>
      </c>
    </row>
    <row r="1820" spans="1:4" x14ac:dyDescent="0.25">
      <c r="A1820" t="s">
        <v>1509</v>
      </c>
      <c r="B1820">
        <v>0.14599999999999999</v>
      </c>
      <c r="C1820" t="str">
        <f t="shared" si="28"/>
        <v>CITY OF SOMERSET</v>
      </c>
      <c r="D1820" t="b">
        <v>0</v>
      </c>
    </row>
    <row r="1821" spans="1:4" x14ac:dyDescent="0.25">
      <c r="A1821" t="s">
        <v>385</v>
      </c>
      <c r="B1821">
        <v>0.1457</v>
      </c>
      <c r="C1821" t="str">
        <f t="shared" si="28"/>
        <v>CITY OF GEORGETOWN</v>
      </c>
      <c r="D1821" t="b">
        <v>0</v>
      </c>
    </row>
    <row r="1822" spans="1:4" x14ac:dyDescent="0.25">
      <c r="A1822" t="s">
        <v>2626</v>
      </c>
      <c r="B1822">
        <v>0.14530000000000001</v>
      </c>
      <c r="C1822" t="str">
        <f t="shared" si="28"/>
        <v>UTILITIES INVESTMENT CO INC</v>
      </c>
      <c r="D1822" t="b">
        <v>0</v>
      </c>
    </row>
    <row r="1823" spans="1:4" x14ac:dyDescent="0.25">
      <c r="A1823" t="s">
        <v>292</v>
      </c>
      <c r="B1823">
        <v>0.14499999999999999</v>
      </c>
      <c r="C1823" t="str">
        <f t="shared" si="28"/>
        <v>CITY OF ROBINSON</v>
      </c>
      <c r="D1823" t="b">
        <v>0</v>
      </c>
    </row>
    <row r="1824" spans="1:4" x14ac:dyDescent="0.25">
      <c r="A1824" t="s">
        <v>2412</v>
      </c>
      <c r="B1824">
        <v>0.14449999999999999</v>
      </c>
      <c r="C1824" t="str">
        <f t="shared" si="28"/>
        <v>MAVERICK TUBE CORPORATION</v>
      </c>
      <c r="D1824" t="b">
        <v>0</v>
      </c>
    </row>
    <row r="1825" spans="1:4" x14ac:dyDescent="0.25">
      <c r="A1825" t="s">
        <v>1611</v>
      </c>
      <c r="B1825">
        <v>0.14401</v>
      </c>
      <c r="C1825" t="str">
        <f t="shared" si="28"/>
        <v>BP AMOCO CHEMICAL CO</v>
      </c>
      <c r="D1825" t="b">
        <v>0</v>
      </c>
    </row>
    <row r="1826" spans="1:4" x14ac:dyDescent="0.25">
      <c r="A1826" t="s">
        <v>2144</v>
      </c>
      <c r="B1826">
        <v>0.14399999999999999</v>
      </c>
      <c r="C1826" t="str">
        <f t="shared" si="28"/>
        <v>SOUTHWEST HARRIS COUNTY MUD 1</v>
      </c>
      <c r="D1826" t="b">
        <v>0</v>
      </c>
    </row>
    <row r="1827" spans="1:4" x14ac:dyDescent="0.25">
      <c r="A1827" t="s">
        <v>1002</v>
      </c>
      <c r="B1827">
        <v>0.14399999999999999</v>
      </c>
      <c r="C1827" t="str">
        <f t="shared" si="28"/>
        <v>CITY OF SAN BENITO</v>
      </c>
      <c r="D1827" t="b">
        <v>0</v>
      </c>
    </row>
    <row r="1828" spans="1:4" x14ac:dyDescent="0.25">
      <c r="A1828" t="s">
        <v>2740</v>
      </c>
      <c r="B1828">
        <v>0.14299999999999999</v>
      </c>
      <c r="C1828" t="str">
        <f t="shared" si="28"/>
        <v>CITY OF TOM BEAN</v>
      </c>
      <c r="D1828" t="b">
        <v>0</v>
      </c>
    </row>
    <row r="1829" spans="1:4" x14ac:dyDescent="0.25">
      <c r="A1829" t="s">
        <v>2510</v>
      </c>
      <c r="B1829">
        <v>0.14299999999999999</v>
      </c>
      <c r="C1829" t="str">
        <f t="shared" si="28"/>
        <v>CITY OF NEW WAVERLY</v>
      </c>
      <c r="D1829" t="b">
        <v>0</v>
      </c>
    </row>
    <row r="1830" spans="1:4" x14ac:dyDescent="0.25">
      <c r="A1830" t="s">
        <v>191</v>
      </c>
      <c r="B1830">
        <v>0.14299999999999999</v>
      </c>
      <c r="C1830" t="str">
        <f t="shared" si="28"/>
        <v>FORT BEND COUNTY MUD NO 131</v>
      </c>
      <c r="D1830" t="b">
        <v>0</v>
      </c>
    </row>
    <row r="1831" spans="1:4" x14ac:dyDescent="0.25">
      <c r="A1831" t="s">
        <v>2494</v>
      </c>
      <c r="B1831">
        <v>0.14199999999999999</v>
      </c>
      <c r="C1831" t="str">
        <f t="shared" si="28"/>
        <v>EAST MONTGOMERY COUNTY MUD 5</v>
      </c>
      <c r="D1831" t="b">
        <v>0</v>
      </c>
    </row>
    <row r="1832" spans="1:4" x14ac:dyDescent="0.25">
      <c r="A1832" t="s">
        <v>630</v>
      </c>
      <c r="B1832">
        <v>0.14099999999999999</v>
      </c>
      <c r="C1832" t="str">
        <f t="shared" si="28"/>
        <v>GUADALUPE-BLANCO RIVER AUTHORITY</v>
      </c>
      <c r="D1832" t="b">
        <v>0</v>
      </c>
    </row>
    <row r="1833" spans="1:4" x14ac:dyDescent="0.25">
      <c r="A1833" t="s">
        <v>2275</v>
      </c>
      <c r="B1833">
        <v>0.14000000000000001</v>
      </c>
      <c r="C1833" t="str">
        <f t="shared" si="28"/>
        <v>SET ENVIRONMENTAL INC</v>
      </c>
      <c r="D1833" t="b">
        <v>0</v>
      </c>
    </row>
    <row r="1834" spans="1:4" x14ac:dyDescent="0.25">
      <c r="A1834" t="s">
        <v>2585</v>
      </c>
      <c r="B1834">
        <v>0.14000000000000001</v>
      </c>
      <c r="C1834" t="str">
        <f t="shared" si="28"/>
        <v>ENTERPRISE PRODUCTS OPERATING LLC</v>
      </c>
      <c r="D1834" t="b">
        <v>0</v>
      </c>
    </row>
    <row r="1835" spans="1:4" x14ac:dyDescent="0.25">
      <c r="A1835" t="s">
        <v>1225</v>
      </c>
      <c r="B1835">
        <v>0.14000000000000001</v>
      </c>
      <c r="C1835" t="e">
        <f t="shared" si="28"/>
        <v>#N/A</v>
      </c>
      <c r="D1835" t="b">
        <v>0</v>
      </c>
    </row>
    <row r="1836" spans="1:4" x14ac:dyDescent="0.25">
      <c r="A1836" t="s">
        <v>2718</v>
      </c>
      <c r="B1836">
        <v>0.13900000000000001</v>
      </c>
      <c r="C1836" t="str">
        <f t="shared" si="28"/>
        <v>CITY OF ENNIS</v>
      </c>
      <c r="D1836" t="b">
        <v>0</v>
      </c>
    </row>
    <row r="1837" spans="1:4" x14ac:dyDescent="0.25">
      <c r="A1837" t="s">
        <v>1878</v>
      </c>
      <c r="B1837">
        <v>0.13869999999999999</v>
      </c>
      <c r="C1837" t="str">
        <f t="shared" si="28"/>
        <v>HFOTCO LLC</v>
      </c>
      <c r="D1837" t="b">
        <v>0</v>
      </c>
    </row>
    <row r="1838" spans="1:4" x14ac:dyDescent="0.25">
      <c r="A1838" t="s">
        <v>2259</v>
      </c>
      <c r="B1838">
        <v>0.13800000000000001</v>
      </c>
      <c r="C1838" t="str">
        <f t="shared" si="28"/>
        <v>INLINE UTILITIES LLC</v>
      </c>
      <c r="D1838" t="b">
        <v>0</v>
      </c>
    </row>
    <row r="1839" spans="1:4" x14ac:dyDescent="0.25">
      <c r="A1839" t="s">
        <v>2322</v>
      </c>
      <c r="B1839">
        <v>0.13800000000000001</v>
      </c>
      <c r="C1839" t="str">
        <f t="shared" si="28"/>
        <v>LAKE MUD</v>
      </c>
      <c r="D1839" t="b">
        <v>0</v>
      </c>
    </row>
    <row r="1840" spans="1:4" x14ac:dyDescent="0.25">
      <c r="A1840" t="s">
        <v>2425</v>
      </c>
      <c r="B1840">
        <v>0.13700000000000001</v>
      </c>
      <c r="C1840" t="str">
        <f t="shared" si="28"/>
        <v>CITY OF WOODBRANCH VILLAGE</v>
      </c>
      <c r="D1840" t="b">
        <v>0</v>
      </c>
    </row>
    <row r="1841" spans="1:4" x14ac:dyDescent="0.25">
      <c r="A1841" t="s">
        <v>528</v>
      </c>
      <c r="B1841">
        <v>0.13500000000000001</v>
      </c>
      <c r="C1841" t="str">
        <f t="shared" si="28"/>
        <v>CITY OF MENARD</v>
      </c>
      <c r="D1841" t="b">
        <v>0</v>
      </c>
    </row>
    <row r="1842" spans="1:4" x14ac:dyDescent="0.25">
      <c r="A1842" t="s">
        <v>1900</v>
      </c>
      <c r="B1842">
        <v>0.13500000000000001</v>
      </c>
      <c r="C1842" t="str">
        <f t="shared" si="28"/>
        <v>HARRIS COUNTY WCID 99</v>
      </c>
      <c r="D1842" t="b">
        <v>0</v>
      </c>
    </row>
    <row r="1843" spans="1:4" x14ac:dyDescent="0.25">
      <c r="A1843" t="s">
        <v>730</v>
      </c>
      <c r="B1843">
        <v>0.13500000000000001</v>
      </c>
      <c r="C1843" t="str">
        <f t="shared" si="28"/>
        <v>INTEPLAST GROUP CORP</v>
      </c>
      <c r="D1843" t="b">
        <v>0</v>
      </c>
    </row>
    <row r="1844" spans="1:4" x14ac:dyDescent="0.25">
      <c r="A1844" t="s">
        <v>514</v>
      </c>
      <c r="B1844">
        <v>0.13500000000000001</v>
      </c>
      <c r="C1844" t="str">
        <f t="shared" si="28"/>
        <v>CORIX UTILITIES TEXAS INC</v>
      </c>
      <c r="D1844" t="b">
        <v>0</v>
      </c>
    </row>
    <row r="1845" spans="1:4" x14ac:dyDescent="0.25">
      <c r="A1845" t="s">
        <v>2388</v>
      </c>
      <c r="B1845">
        <v>0.1348</v>
      </c>
      <c r="C1845" t="str">
        <f t="shared" si="28"/>
        <v>DOWNSTREAM ENVIRONMENTAL LLC</v>
      </c>
      <c r="D1845" t="b">
        <v>0</v>
      </c>
    </row>
    <row r="1846" spans="1:4" x14ac:dyDescent="0.25">
      <c r="A1846" t="s">
        <v>960</v>
      </c>
      <c r="B1846">
        <v>0.13400000000000001</v>
      </c>
      <c r="C1846" t="str">
        <f t="shared" si="28"/>
        <v>DELEK REFINING LTD</v>
      </c>
      <c r="D1846" t="b">
        <v>0</v>
      </c>
    </row>
    <row r="1847" spans="1:4" x14ac:dyDescent="0.25">
      <c r="A1847" t="s">
        <v>1647</v>
      </c>
      <c r="B1847">
        <v>0.1333</v>
      </c>
      <c r="C1847" t="str">
        <f t="shared" si="28"/>
        <v>MPM SILICONES LLC</v>
      </c>
      <c r="D1847" t="b">
        <v>0</v>
      </c>
    </row>
    <row r="1848" spans="1:4" x14ac:dyDescent="0.25">
      <c r="A1848" t="s">
        <v>1143</v>
      </c>
      <c r="B1848">
        <v>0.13300000000000001</v>
      </c>
      <c r="C1848" t="str">
        <f t="shared" si="28"/>
        <v>CITY OF HOLLIDAY</v>
      </c>
      <c r="D1848" t="b">
        <v>0</v>
      </c>
    </row>
    <row r="1849" spans="1:4" x14ac:dyDescent="0.25">
      <c r="A1849" t="s">
        <v>2807</v>
      </c>
      <c r="B1849">
        <v>0.13300000000000001</v>
      </c>
      <c r="C1849" t="str">
        <f t="shared" si="28"/>
        <v>CITY OF CENTERVILLE</v>
      </c>
      <c r="D1849" t="b">
        <v>0</v>
      </c>
    </row>
    <row r="1850" spans="1:4" x14ac:dyDescent="0.25">
      <c r="A1850" t="s">
        <v>785</v>
      </c>
      <c r="B1850">
        <v>0.13200000000000001</v>
      </c>
      <c r="C1850" t="str">
        <f t="shared" si="28"/>
        <v>CITY OF FRANKSTON</v>
      </c>
      <c r="D1850" t="b">
        <v>0</v>
      </c>
    </row>
    <row r="1851" spans="1:4" x14ac:dyDescent="0.25">
      <c r="A1851" t="s">
        <v>2736</v>
      </c>
      <c r="B1851">
        <v>0.13200000000000001</v>
      </c>
      <c r="C1851" t="str">
        <f t="shared" si="28"/>
        <v>CITY OF WORTHAM</v>
      </c>
      <c r="D1851" t="b">
        <v>0</v>
      </c>
    </row>
    <row r="1852" spans="1:4" x14ac:dyDescent="0.25">
      <c r="A1852" t="s">
        <v>1098</v>
      </c>
      <c r="B1852">
        <v>0.13133300000000001</v>
      </c>
      <c r="C1852" t="str">
        <f t="shared" si="28"/>
        <v>PORT MANSFIELD PUD AND WILLACY CO NAVIGATION DISTRICT</v>
      </c>
      <c r="D1852" t="b">
        <v>0</v>
      </c>
    </row>
    <row r="1853" spans="1:4" x14ac:dyDescent="0.25">
      <c r="A1853" t="s">
        <v>438</v>
      </c>
      <c r="B1853">
        <v>0.13125000000000001</v>
      </c>
      <c r="C1853" t="str">
        <f t="shared" si="28"/>
        <v>CALHOUN PORT AUTHORITY</v>
      </c>
      <c r="D1853" t="b">
        <v>0</v>
      </c>
    </row>
    <row r="1854" spans="1:4" x14ac:dyDescent="0.25">
      <c r="A1854" t="s">
        <v>1965</v>
      </c>
      <c r="B1854">
        <v>0.13100000000000001</v>
      </c>
      <c r="C1854" t="str">
        <f t="shared" si="28"/>
        <v>INTERCONTINENTAL TERMINALS CO LLC</v>
      </c>
      <c r="D1854" t="b">
        <v>0</v>
      </c>
    </row>
    <row r="1855" spans="1:4" x14ac:dyDescent="0.25">
      <c r="A1855" t="s">
        <v>215</v>
      </c>
      <c r="B1855">
        <v>0.13100000000000001</v>
      </c>
      <c r="C1855" t="str">
        <f t="shared" si="28"/>
        <v>CITY OF RICHMOND</v>
      </c>
      <c r="D1855" t="b">
        <v>0</v>
      </c>
    </row>
    <row r="1856" spans="1:4" x14ac:dyDescent="0.25">
      <c r="A1856" t="s">
        <v>1553</v>
      </c>
      <c r="B1856">
        <v>0.13</v>
      </c>
      <c r="C1856" t="str">
        <f t="shared" si="28"/>
        <v>PHILLIPS 66 CO</v>
      </c>
      <c r="D1856" t="b">
        <v>0</v>
      </c>
    </row>
    <row r="1857" spans="1:4" x14ac:dyDescent="0.25">
      <c r="A1857" t="s">
        <v>290</v>
      </c>
      <c r="B1857">
        <v>0.13</v>
      </c>
      <c r="C1857" t="str">
        <f t="shared" si="28"/>
        <v>MCLENNAN COUNTY WCID 2</v>
      </c>
      <c r="D1857" t="b">
        <v>0</v>
      </c>
    </row>
    <row r="1858" spans="1:4" x14ac:dyDescent="0.25">
      <c r="A1858" t="s">
        <v>1011</v>
      </c>
      <c r="B1858">
        <v>0.13</v>
      </c>
      <c r="C1858" t="str">
        <f t="shared" ref="C1858:C1921" si="29">VLOOKUP(A1858,PERMITTEES,2,FALSE)</f>
        <v>CITY OF EDCOUCH</v>
      </c>
      <c r="D1858" t="b">
        <v>0</v>
      </c>
    </row>
    <row r="1859" spans="1:4" x14ac:dyDescent="0.25">
      <c r="A1859" t="s">
        <v>1502</v>
      </c>
      <c r="B1859">
        <v>0.13</v>
      </c>
      <c r="C1859" t="str">
        <f t="shared" si="29"/>
        <v>CITY PUBLIC SERVICE OF SAN ANTONIO</v>
      </c>
      <c r="D1859" t="b">
        <v>0</v>
      </c>
    </row>
    <row r="1860" spans="1:4" x14ac:dyDescent="0.25">
      <c r="A1860" t="s">
        <v>1132</v>
      </c>
      <c r="B1860">
        <v>0.13</v>
      </c>
      <c r="C1860" t="str">
        <f t="shared" si="29"/>
        <v>CITY OF NATALIA</v>
      </c>
      <c r="D1860" t="b">
        <v>0</v>
      </c>
    </row>
    <row r="1861" spans="1:4" x14ac:dyDescent="0.25">
      <c r="A1861" t="s">
        <v>179</v>
      </c>
      <c r="B1861">
        <v>0.13</v>
      </c>
      <c r="C1861" t="str">
        <f t="shared" si="29"/>
        <v>CITY OF FULSHEAR</v>
      </c>
      <c r="D1861" t="b">
        <v>0</v>
      </c>
    </row>
    <row r="1862" spans="1:4" x14ac:dyDescent="0.25">
      <c r="A1862" t="s">
        <v>2870</v>
      </c>
      <c r="B1862">
        <v>0.13</v>
      </c>
      <c r="C1862" t="str">
        <f t="shared" si="29"/>
        <v>CITY OF COLDSPRING</v>
      </c>
      <c r="D1862" t="b">
        <v>0</v>
      </c>
    </row>
    <row r="1863" spans="1:4" x14ac:dyDescent="0.25">
      <c r="A1863" t="s">
        <v>2887</v>
      </c>
      <c r="B1863">
        <v>0.13</v>
      </c>
      <c r="C1863" t="str">
        <f t="shared" si="29"/>
        <v>PREMIUM WATERS INC</v>
      </c>
      <c r="D1863" t="b">
        <v>0</v>
      </c>
    </row>
    <row r="1864" spans="1:4" x14ac:dyDescent="0.25">
      <c r="A1864" t="s">
        <v>2393</v>
      </c>
      <c r="B1864">
        <v>0.13</v>
      </c>
      <c r="C1864" t="str">
        <f t="shared" si="29"/>
        <v>QUAIL RUN SERVICES LLC</v>
      </c>
      <c r="D1864" t="b">
        <v>0</v>
      </c>
    </row>
    <row r="1865" spans="1:4" x14ac:dyDescent="0.25">
      <c r="A1865" t="s">
        <v>1413</v>
      </c>
      <c r="B1865">
        <v>0.12992600000000001</v>
      </c>
      <c r="C1865" t="str">
        <f t="shared" si="29"/>
        <v>CITY OF JOAQUIN</v>
      </c>
      <c r="D1865" t="b">
        <v>0</v>
      </c>
    </row>
    <row r="1866" spans="1:4" x14ac:dyDescent="0.25">
      <c r="A1866" t="s">
        <v>2371</v>
      </c>
      <c r="B1866">
        <v>0.129</v>
      </c>
      <c r="C1866" t="str">
        <f t="shared" si="29"/>
        <v>HARRIS COUNTY MUD NO 171</v>
      </c>
      <c r="D1866" t="b">
        <v>0</v>
      </c>
    </row>
    <row r="1867" spans="1:4" x14ac:dyDescent="0.25">
      <c r="A1867" t="s">
        <v>2302</v>
      </c>
      <c r="B1867">
        <v>0.128</v>
      </c>
      <c r="C1867" t="str">
        <f t="shared" si="29"/>
        <v>REGEANT CHEMICAL AND RESEARCH INC</v>
      </c>
      <c r="D1867" t="b">
        <v>0</v>
      </c>
    </row>
    <row r="1868" spans="1:4" x14ac:dyDescent="0.25">
      <c r="A1868" t="s">
        <v>2613</v>
      </c>
      <c r="B1868">
        <v>0.12737299999999999</v>
      </c>
      <c r="C1868" t="str">
        <f t="shared" si="29"/>
        <v>MONUMENT CHEMICAL BAYTOWN LLC</v>
      </c>
      <c r="D1868" t="b">
        <v>0</v>
      </c>
    </row>
    <row r="1869" spans="1:4" x14ac:dyDescent="0.25">
      <c r="A1869" t="s">
        <v>187</v>
      </c>
      <c r="B1869">
        <v>0.12720000000000001</v>
      </c>
      <c r="C1869" t="str">
        <f t="shared" si="29"/>
        <v>ROYAL VALLEY UTILITIES INC</v>
      </c>
      <c r="D1869" t="b">
        <v>0</v>
      </c>
    </row>
    <row r="1870" spans="1:4" x14ac:dyDescent="0.25">
      <c r="A1870" t="s">
        <v>641</v>
      </c>
      <c r="B1870">
        <v>0.127</v>
      </c>
      <c r="C1870" t="str">
        <f t="shared" si="29"/>
        <v>SOUTH TEXAS ELECTRIC COOPERATIVE INC</v>
      </c>
      <c r="D1870" t="b">
        <v>0</v>
      </c>
    </row>
    <row r="1871" spans="1:4" x14ac:dyDescent="0.25">
      <c r="A1871" t="s">
        <v>1792</v>
      </c>
      <c r="B1871">
        <v>0.127</v>
      </c>
      <c r="C1871" t="str">
        <f t="shared" si="29"/>
        <v>NRG TEXAS POWER LLC</v>
      </c>
      <c r="D1871" t="b">
        <v>0</v>
      </c>
    </row>
    <row r="1872" spans="1:4" x14ac:dyDescent="0.25">
      <c r="A1872" t="s">
        <v>2819</v>
      </c>
      <c r="B1872">
        <v>0.127</v>
      </c>
      <c r="C1872" t="str">
        <f t="shared" si="29"/>
        <v>MONTEREY MUSHROOMS INC</v>
      </c>
      <c r="D1872" t="b">
        <v>0</v>
      </c>
    </row>
    <row r="1873" spans="1:4" x14ac:dyDescent="0.25">
      <c r="A1873" t="s">
        <v>2513</v>
      </c>
      <c r="B1873">
        <v>0.126</v>
      </c>
      <c r="C1873" t="str">
        <f t="shared" si="29"/>
        <v>CITY OF NEW WAVERLY</v>
      </c>
      <c r="D1873" t="b">
        <v>0</v>
      </c>
    </row>
    <row r="1874" spans="1:4" x14ac:dyDescent="0.25">
      <c r="A1874" t="s">
        <v>2910</v>
      </c>
      <c r="B1874">
        <v>0.12540000000000001</v>
      </c>
      <c r="C1874" t="str">
        <f t="shared" si="29"/>
        <v>CITY OF ALVORD</v>
      </c>
      <c r="D1874" t="b">
        <v>0</v>
      </c>
    </row>
    <row r="1875" spans="1:4" x14ac:dyDescent="0.25">
      <c r="A1875" t="s">
        <v>2466</v>
      </c>
      <c r="B1875">
        <v>0.12509999999999999</v>
      </c>
      <c r="C1875" t="str">
        <f t="shared" si="29"/>
        <v>UTILITIES INVESTMENT COMPANY INC</v>
      </c>
      <c r="D1875" t="b">
        <v>0</v>
      </c>
    </row>
    <row r="1876" spans="1:4" x14ac:dyDescent="0.25">
      <c r="A1876" t="s">
        <v>28</v>
      </c>
      <c r="B1876">
        <v>0.124</v>
      </c>
      <c r="C1876" t="str">
        <f t="shared" si="29"/>
        <v>MATAGORDA COUNTY WCID 6</v>
      </c>
      <c r="D1876" t="b">
        <v>0</v>
      </c>
    </row>
    <row r="1877" spans="1:4" x14ac:dyDescent="0.25">
      <c r="A1877" t="s">
        <v>1588</v>
      </c>
      <c r="B1877">
        <v>0.124</v>
      </c>
      <c r="C1877" t="str">
        <f t="shared" si="29"/>
        <v>SEDONA LAKES MUD 1</v>
      </c>
      <c r="D1877" t="b">
        <v>0</v>
      </c>
    </row>
    <row r="1878" spans="1:4" x14ac:dyDescent="0.25">
      <c r="A1878" t="s">
        <v>250</v>
      </c>
      <c r="B1878">
        <v>0.124</v>
      </c>
      <c r="C1878" t="str">
        <f t="shared" si="29"/>
        <v>CITY OF RIO VISTA</v>
      </c>
      <c r="D1878" t="b">
        <v>0</v>
      </c>
    </row>
    <row r="1879" spans="1:4" x14ac:dyDescent="0.25">
      <c r="A1879" t="s">
        <v>1440</v>
      </c>
      <c r="B1879">
        <v>0.1239</v>
      </c>
      <c r="C1879" t="str">
        <f t="shared" si="29"/>
        <v>CITY OF ALBA</v>
      </c>
      <c r="D1879" t="b">
        <v>0</v>
      </c>
    </row>
    <row r="1880" spans="1:4" x14ac:dyDescent="0.25">
      <c r="A1880" t="s">
        <v>2153</v>
      </c>
      <c r="B1880">
        <v>0.1236</v>
      </c>
      <c r="C1880" t="str">
        <f t="shared" si="29"/>
        <v>NORTHWEST HARRIS COUNTY MUD 24</v>
      </c>
      <c r="D1880" t="b">
        <v>0</v>
      </c>
    </row>
    <row r="1881" spans="1:4" x14ac:dyDescent="0.25">
      <c r="A1881" t="s">
        <v>95</v>
      </c>
      <c r="B1881">
        <v>0.123</v>
      </c>
      <c r="C1881" t="str">
        <f t="shared" si="29"/>
        <v>BRAZORIA COUNTY FWSD 1</v>
      </c>
      <c r="D1881" t="b">
        <v>0</v>
      </c>
    </row>
    <row r="1882" spans="1:4" x14ac:dyDescent="0.25">
      <c r="A1882" t="s">
        <v>1114</v>
      </c>
      <c r="B1882">
        <v>0.121</v>
      </c>
      <c r="C1882" t="str">
        <f t="shared" si="29"/>
        <v>CITY OF ASHERTON</v>
      </c>
      <c r="D1882" t="b">
        <v>0</v>
      </c>
    </row>
    <row r="1883" spans="1:4" x14ac:dyDescent="0.25">
      <c r="A1883" t="s">
        <v>1644</v>
      </c>
      <c r="B1883">
        <v>0.121</v>
      </c>
      <c r="C1883" t="str">
        <f t="shared" si="29"/>
        <v>PELICAN ISLAND STORAGE TERMINAL INC</v>
      </c>
      <c r="D1883" t="b">
        <v>0</v>
      </c>
    </row>
    <row r="1884" spans="1:4" x14ac:dyDescent="0.25">
      <c r="A1884" t="s">
        <v>1556</v>
      </c>
      <c r="B1884">
        <v>0.12</v>
      </c>
      <c r="C1884" t="str">
        <f t="shared" si="29"/>
        <v>PHILLIPS 66 CO</v>
      </c>
      <c r="D1884" t="b">
        <v>0</v>
      </c>
    </row>
    <row r="1885" spans="1:4" x14ac:dyDescent="0.25">
      <c r="A1885" t="s">
        <v>2741</v>
      </c>
      <c r="B1885">
        <v>0.12</v>
      </c>
      <c r="C1885" t="str">
        <f t="shared" si="29"/>
        <v>CITY OF TIOGA</v>
      </c>
      <c r="D1885" t="b">
        <v>0</v>
      </c>
    </row>
    <row r="1886" spans="1:4" x14ac:dyDescent="0.25">
      <c r="A1886" t="s">
        <v>1506</v>
      </c>
      <c r="B1886">
        <v>0.12</v>
      </c>
      <c r="C1886" t="str">
        <f t="shared" si="29"/>
        <v>CITY PUBLIC SERVICE OF SAN ANTONIO</v>
      </c>
      <c r="D1886" t="b">
        <v>0</v>
      </c>
    </row>
    <row r="1887" spans="1:4" x14ac:dyDescent="0.25">
      <c r="A1887" t="s">
        <v>2088</v>
      </c>
      <c r="B1887">
        <v>0.12</v>
      </c>
      <c r="C1887" t="str">
        <f t="shared" si="29"/>
        <v>MONUMENT CHEMICAL HOUSTON LTD</v>
      </c>
      <c r="D1887" t="b">
        <v>0</v>
      </c>
    </row>
    <row r="1888" spans="1:4" x14ac:dyDescent="0.25">
      <c r="A1888" t="s">
        <v>2162</v>
      </c>
      <c r="B1888">
        <v>0.12</v>
      </c>
      <c r="C1888" t="str">
        <f t="shared" si="29"/>
        <v>GREENS PARKWAY MUD</v>
      </c>
      <c r="D1888" t="b">
        <v>0</v>
      </c>
    </row>
    <row r="1889" spans="1:4" x14ac:dyDescent="0.25">
      <c r="A1889" t="s">
        <v>2227</v>
      </c>
      <c r="B1889">
        <v>0.12</v>
      </c>
      <c r="C1889" t="str">
        <f t="shared" si="29"/>
        <v>SOUTH COAST TERMINALS LP</v>
      </c>
      <c r="D1889" t="b">
        <v>0</v>
      </c>
    </row>
    <row r="1890" spans="1:4" x14ac:dyDescent="0.25">
      <c r="A1890" t="s">
        <v>2845</v>
      </c>
      <c r="B1890">
        <v>0.11899999999999999</v>
      </c>
      <c r="C1890" t="str">
        <f t="shared" si="29"/>
        <v>MEMORIAL POINT UD</v>
      </c>
      <c r="D1890" t="b">
        <v>0</v>
      </c>
    </row>
    <row r="1891" spans="1:4" x14ac:dyDescent="0.25">
      <c r="A1891" t="s">
        <v>1340</v>
      </c>
      <c r="B1891">
        <v>0.1188</v>
      </c>
      <c r="C1891" t="str">
        <f t="shared" si="29"/>
        <v>CITY OF CUMBY</v>
      </c>
      <c r="D1891" t="b">
        <v>0</v>
      </c>
    </row>
    <row r="1892" spans="1:4" x14ac:dyDescent="0.25">
      <c r="A1892" t="s">
        <v>2362</v>
      </c>
      <c r="B1892">
        <v>0.1188</v>
      </c>
      <c r="C1892" t="str">
        <f t="shared" si="29"/>
        <v>HARRIS COUNTY MUD 530</v>
      </c>
      <c r="D1892" t="b">
        <v>0</v>
      </c>
    </row>
    <row r="1893" spans="1:4" x14ac:dyDescent="0.25">
      <c r="A1893" t="s">
        <v>58</v>
      </c>
      <c r="B1893">
        <v>0.11799999999999999</v>
      </c>
      <c r="C1893" t="str">
        <f t="shared" si="29"/>
        <v>BELL COUNTY WCID 2</v>
      </c>
      <c r="D1893" t="b">
        <v>0</v>
      </c>
    </row>
    <row r="1894" spans="1:4" x14ac:dyDescent="0.25">
      <c r="A1894" t="s">
        <v>2410</v>
      </c>
      <c r="B1894">
        <v>0.11799999999999999</v>
      </c>
      <c r="C1894" t="str">
        <f t="shared" si="29"/>
        <v>CORINTHIAN POINT MUD NO 2</v>
      </c>
      <c r="D1894" t="b">
        <v>0</v>
      </c>
    </row>
    <row r="1895" spans="1:4" x14ac:dyDescent="0.25">
      <c r="A1895" t="s">
        <v>740</v>
      </c>
      <c r="B1895">
        <v>0.11799999999999999</v>
      </c>
      <c r="C1895" t="str">
        <f t="shared" si="29"/>
        <v>TRINITY BAY CONSERVATION DISTRICT</v>
      </c>
      <c r="D1895" t="b">
        <v>0</v>
      </c>
    </row>
    <row r="1896" spans="1:4" x14ac:dyDescent="0.25">
      <c r="A1896" t="s">
        <v>564</v>
      </c>
      <c r="B1896">
        <v>0.1179</v>
      </c>
      <c r="C1896" t="str">
        <f t="shared" si="29"/>
        <v>CITY OF AVINGER</v>
      </c>
      <c r="D1896" t="b">
        <v>0</v>
      </c>
    </row>
    <row r="1897" spans="1:4" x14ac:dyDescent="0.25">
      <c r="A1897" t="s">
        <v>1369</v>
      </c>
      <c r="B1897">
        <v>0.1174</v>
      </c>
      <c r="C1897" t="str">
        <f t="shared" si="29"/>
        <v>ORION ENGINEERED CARBONS LLC</v>
      </c>
      <c r="D1897" t="b">
        <v>0</v>
      </c>
    </row>
    <row r="1898" spans="1:4" x14ac:dyDescent="0.25">
      <c r="A1898" t="s">
        <v>987</v>
      </c>
      <c r="B1898">
        <v>0.11700000000000001</v>
      </c>
      <c r="C1898" t="str">
        <f t="shared" si="29"/>
        <v>BROWNSVILLE NAVIGATION DISTRICT</v>
      </c>
      <c r="D1898" t="b">
        <v>0</v>
      </c>
    </row>
    <row r="1899" spans="1:4" x14ac:dyDescent="0.25">
      <c r="A1899" t="s">
        <v>2489</v>
      </c>
      <c r="B1899">
        <v>0.11700000000000001</v>
      </c>
      <c r="C1899" t="str">
        <f t="shared" si="29"/>
        <v>FAR HILLS UTILITY DISTRICT</v>
      </c>
      <c r="D1899" t="b">
        <v>0</v>
      </c>
    </row>
    <row r="1900" spans="1:4" x14ac:dyDescent="0.25">
      <c r="A1900" t="s">
        <v>2117</v>
      </c>
      <c r="B1900">
        <v>0.11600000000000001</v>
      </c>
      <c r="C1900" t="str">
        <f t="shared" si="29"/>
        <v>HARRIS COUNTY MUD 166</v>
      </c>
      <c r="D1900" t="b">
        <v>0</v>
      </c>
    </row>
    <row r="1901" spans="1:4" x14ac:dyDescent="0.25">
      <c r="A1901" t="s">
        <v>87</v>
      </c>
      <c r="B1901">
        <v>0.11550000000000001</v>
      </c>
      <c r="C1901" t="str">
        <f t="shared" si="29"/>
        <v>NALCO CO LLC</v>
      </c>
      <c r="D1901" t="b">
        <v>0</v>
      </c>
    </row>
    <row r="1902" spans="1:4" x14ac:dyDescent="0.25">
      <c r="A1902" t="s">
        <v>2148</v>
      </c>
      <c r="B1902">
        <v>0.11526699999999999</v>
      </c>
      <c r="C1902" t="str">
        <f t="shared" si="29"/>
        <v>SOUTHWEST SHIPYARD LP</v>
      </c>
      <c r="D1902" t="b">
        <v>0</v>
      </c>
    </row>
    <row r="1903" spans="1:4" x14ac:dyDescent="0.25">
      <c r="A1903" t="s">
        <v>948</v>
      </c>
      <c r="B1903">
        <v>0.115</v>
      </c>
      <c r="C1903" t="str">
        <f t="shared" si="29"/>
        <v>DELEK REFINING LTD</v>
      </c>
      <c r="D1903" t="b">
        <v>0</v>
      </c>
    </row>
    <row r="1904" spans="1:4" x14ac:dyDescent="0.25">
      <c r="A1904" t="s">
        <v>2078</v>
      </c>
      <c r="B1904">
        <v>0.115</v>
      </c>
      <c r="C1904" t="str">
        <f t="shared" si="29"/>
        <v>HARRIS COUNTY MUD NO 122</v>
      </c>
      <c r="D1904" t="b">
        <v>0</v>
      </c>
    </row>
    <row r="1905" spans="1:4" x14ac:dyDescent="0.25">
      <c r="A1905" t="s">
        <v>1821</v>
      </c>
      <c r="B1905">
        <v>0.11459999999999999</v>
      </c>
      <c r="C1905" t="str">
        <f t="shared" si="29"/>
        <v>GB BIOSCIENCES LLC</v>
      </c>
      <c r="D1905" t="b">
        <v>0</v>
      </c>
    </row>
    <row r="1906" spans="1:4" x14ac:dyDescent="0.25">
      <c r="A1906" t="s">
        <v>2061</v>
      </c>
      <c r="B1906">
        <v>0.1145</v>
      </c>
      <c r="C1906" t="str">
        <f t="shared" si="29"/>
        <v>KATY SUN PARKS LTD</v>
      </c>
      <c r="D1906" t="b">
        <v>0</v>
      </c>
    </row>
    <row r="1907" spans="1:4" x14ac:dyDescent="0.25">
      <c r="A1907" t="s">
        <v>1025</v>
      </c>
      <c r="B1907">
        <v>0.1145</v>
      </c>
      <c r="C1907" t="str">
        <f t="shared" si="29"/>
        <v>MILITARY HIGHWAY WSC</v>
      </c>
      <c r="D1907" t="b">
        <v>0</v>
      </c>
    </row>
    <row r="1908" spans="1:4" x14ac:dyDescent="0.25">
      <c r="A1908" t="s">
        <v>1671</v>
      </c>
      <c r="B1908">
        <v>0.114</v>
      </c>
      <c r="C1908" t="str">
        <f t="shared" si="29"/>
        <v>CITY OF MORGANS POINT</v>
      </c>
      <c r="D1908" t="b">
        <v>0</v>
      </c>
    </row>
    <row r="1909" spans="1:4" x14ac:dyDescent="0.25">
      <c r="A1909" t="s">
        <v>124</v>
      </c>
      <c r="B1909">
        <v>0.114</v>
      </c>
      <c r="C1909" t="str">
        <f t="shared" si="29"/>
        <v>MANITOU LTD INC</v>
      </c>
      <c r="D1909" t="b">
        <v>0</v>
      </c>
    </row>
    <row r="1910" spans="1:4" x14ac:dyDescent="0.25">
      <c r="A1910" t="s">
        <v>2899</v>
      </c>
      <c r="B1910">
        <v>0.114</v>
      </c>
      <c r="C1910" t="str">
        <f t="shared" si="29"/>
        <v>TRINITY RURAL WSC</v>
      </c>
      <c r="D1910" t="b">
        <v>0</v>
      </c>
    </row>
    <row r="1911" spans="1:4" x14ac:dyDescent="0.25">
      <c r="A1911" t="s">
        <v>2906</v>
      </c>
      <c r="B1911">
        <v>0.113</v>
      </c>
      <c r="C1911" t="str">
        <f t="shared" si="29"/>
        <v>CITY OF RHOME</v>
      </c>
      <c r="D1911" t="b">
        <v>0</v>
      </c>
    </row>
    <row r="1912" spans="1:4" x14ac:dyDescent="0.25">
      <c r="A1912" t="s">
        <v>2064</v>
      </c>
      <c r="B1912">
        <v>0.113</v>
      </c>
      <c r="C1912" t="str">
        <f t="shared" si="29"/>
        <v>YES COMPANIES LLC</v>
      </c>
      <c r="D1912" t="b">
        <v>0</v>
      </c>
    </row>
    <row r="1913" spans="1:4" x14ac:dyDescent="0.25">
      <c r="A1913" t="s">
        <v>152</v>
      </c>
      <c r="B1913">
        <v>0.113</v>
      </c>
      <c r="C1913" t="str">
        <f t="shared" si="29"/>
        <v>EASTLAND COUNTY WSD</v>
      </c>
      <c r="D1913" t="b">
        <v>0</v>
      </c>
    </row>
    <row r="1914" spans="1:4" x14ac:dyDescent="0.25">
      <c r="A1914" t="s">
        <v>714</v>
      </c>
      <c r="B1914">
        <v>0.113</v>
      </c>
      <c r="C1914" t="str">
        <f t="shared" si="29"/>
        <v>AQUA TEXAS INC</v>
      </c>
      <c r="D1914" t="b">
        <v>0</v>
      </c>
    </row>
    <row r="1915" spans="1:4" x14ac:dyDescent="0.25">
      <c r="A1915" t="s">
        <v>2871</v>
      </c>
      <c r="B1915">
        <v>0.113</v>
      </c>
      <c r="C1915" t="str">
        <f t="shared" si="29"/>
        <v>WATERWOOD MUD 1</v>
      </c>
      <c r="D1915" t="b">
        <v>0</v>
      </c>
    </row>
    <row r="1916" spans="1:4" x14ac:dyDescent="0.25">
      <c r="A1916" t="s">
        <v>721</v>
      </c>
      <c r="B1916">
        <v>0.113</v>
      </c>
      <c r="C1916" t="str">
        <f t="shared" si="29"/>
        <v>VICTORIA PORT ARTHUR LLC</v>
      </c>
      <c r="D1916" t="b">
        <v>0</v>
      </c>
    </row>
    <row r="1917" spans="1:4" x14ac:dyDescent="0.25">
      <c r="A1917" t="s">
        <v>684</v>
      </c>
      <c r="B1917">
        <v>0.1124</v>
      </c>
      <c r="C1917" t="str">
        <f t="shared" si="29"/>
        <v>AQUA TEXAS INC</v>
      </c>
      <c r="D1917" t="b">
        <v>0</v>
      </c>
    </row>
    <row r="1918" spans="1:4" x14ac:dyDescent="0.25">
      <c r="A1918" t="s">
        <v>2472</v>
      </c>
      <c r="B1918">
        <v>0.112</v>
      </c>
      <c r="C1918" t="str">
        <f t="shared" si="29"/>
        <v>QUADVEST LP</v>
      </c>
      <c r="D1918" t="b">
        <v>0</v>
      </c>
    </row>
    <row r="1919" spans="1:4" x14ac:dyDescent="0.25">
      <c r="A1919" t="s">
        <v>683</v>
      </c>
      <c r="B1919">
        <v>0.1119</v>
      </c>
      <c r="C1919" t="str">
        <f t="shared" si="29"/>
        <v>AQUA TEXAS INC</v>
      </c>
      <c r="D1919" t="b">
        <v>0</v>
      </c>
    </row>
    <row r="1920" spans="1:4" x14ac:dyDescent="0.25">
      <c r="A1920" t="s">
        <v>698</v>
      </c>
      <c r="B1920">
        <v>0.1101</v>
      </c>
      <c r="C1920" t="str">
        <f t="shared" si="29"/>
        <v>AQUA TEXAS INC</v>
      </c>
      <c r="D1920" t="b">
        <v>0</v>
      </c>
    </row>
    <row r="1921" spans="1:4" x14ac:dyDescent="0.25">
      <c r="A1921" t="s">
        <v>840</v>
      </c>
      <c r="B1921">
        <v>0.11</v>
      </c>
      <c r="C1921" t="str">
        <f t="shared" si="29"/>
        <v>PHILLIPS 66 GULF COAST PROPERTIES LLC</v>
      </c>
      <c r="D1921" t="b">
        <v>0</v>
      </c>
    </row>
    <row r="1922" spans="1:4" x14ac:dyDescent="0.25">
      <c r="A1922" t="s">
        <v>870</v>
      </c>
      <c r="B1922">
        <v>0.11</v>
      </c>
      <c r="C1922" t="str">
        <f t="shared" ref="C1922:C1985" si="30">VLOOKUP(A1922,PERMITTEES,2,FALSE)</f>
        <v>HUNTSMAN(H) PETROCHEM;H INTRNTL FUELS;H PROPY OXIDE;BLUEHALL;TPC GROUP</v>
      </c>
      <c r="D1922" t="b">
        <v>0</v>
      </c>
    </row>
    <row r="1923" spans="1:4" x14ac:dyDescent="0.25">
      <c r="A1923" t="s">
        <v>1525</v>
      </c>
      <c r="B1923">
        <v>0.11</v>
      </c>
      <c r="C1923" t="str">
        <f t="shared" si="30"/>
        <v>CITY OF MARION</v>
      </c>
      <c r="D1923" t="b">
        <v>0</v>
      </c>
    </row>
    <row r="1924" spans="1:4" x14ac:dyDescent="0.25">
      <c r="A1924" t="s">
        <v>268</v>
      </c>
      <c r="B1924">
        <v>0.11</v>
      </c>
      <c r="C1924" t="str">
        <f t="shared" si="30"/>
        <v>TEXAS DEPT OF AGING AND DISABILITES SERVICES</v>
      </c>
      <c r="D1924" t="b">
        <v>0</v>
      </c>
    </row>
    <row r="1925" spans="1:4" x14ac:dyDescent="0.25">
      <c r="A1925" t="s">
        <v>1339</v>
      </c>
      <c r="B1925">
        <v>0.11</v>
      </c>
      <c r="C1925" t="str">
        <f t="shared" si="30"/>
        <v>CITY OF COMO</v>
      </c>
      <c r="D1925" t="b">
        <v>0</v>
      </c>
    </row>
    <row r="1926" spans="1:4" x14ac:dyDescent="0.25">
      <c r="A1926" t="s">
        <v>25</v>
      </c>
      <c r="B1926">
        <v>0.11</v>
      </c>
      <c r="C1926" t="str">
        <f t="shared" si="30"/>
        <v>CITY OF BEASLEY</v>
      </c>
      <c r="D1926" t="b">
        <v>0</v>
      </c>
    </row>
    <row r="1927" spans="1:4" x14ac:dyDescent="0.25">
      <c r="A1927" t="s">
        <v>123</v>
      </c>
      <c r="B1927">
        <v>0.11</v>
      </c>
      <c r="C1927" t="str">
        <f t="shared" si="30"/>
        <v>TEXAS A&amp;M UNIVERSITY</v>
      </c>
      <c r="D1927" t="b">
        <v>0</v>
      </c>
    </row>
    <row r="1928" spans="1:4" x14ac:dyDescent="0.25">
      <c r="A1928" t="s">
        <v>2438</v>
      </c>
      <c r="B1928">
        <v>0.10954999999999999</v>
      </c>
      <c r="C1928" t="str">
        <f t="shared" si="30"/>
        <v>QUADVEST LP</v>
      </c>
      <c r="D1928" t="b">
        <v>0</v>
      </c>
    </row>
    <row r="1929" spans="1:4" x14ac:dyDescent="0.25">
      <c r="A1929" t="s">
        <v>2381</v>
      </c>
      <c r="B1929">
        <v>0.109</v>
      </c>
      <c r="C1929" t="str">
        <f t="shared" si="30"/>
        <v>GOODMAN MANUFACTURING COMPANY LP</v>
      </c>
      <c r="D1929" t="b">
        <v>0</v>
      </c>
    </row>
    <row r="1930" spans="1:4" x14ac:dyDescent="0.25">
      <c r="A1930" t="s">
        <v>2648</v>
      </c>
      <c r="B1930">
        <v>0.1083913</v>
      </c>
      <c r="C1930" t="str">
        <f t="shared" si="30"/>
        <v>CITY OF BLUE RIDGE</v>
      </c>
      <c r="D1930" t="b">
        <v>0</v>
      </c>
    </row>
    <row r="1931" spans="1:4" x14ac:dyDescent="0.25">
      <c r="A1931" t="s">
        <v>2749</v>
      </c>
      <c r="B1931">
        <v>0.108</v>
      </c>
      <c r="C1931" t="str">
        <f t="shared" si="30"/>
        <v>CITY OF EUSTACE</v>
      </c>
      <c r="D1931" t="b">
        <v>0</v>
      </c>
    </row>
    <row r="1932" spans="1:4" x14ac:dyDescent="0.25">
      <c r="A1932" t="s">
        <v>1877</v>
      </c>
      <c r="B1932">
        <v>0.108</v>
      </c>
      <c r="C1932" t="str">
        <f t="shared" si="30"/>
        <v>HFOTCO LLC</v>
      </c>
      <c r="D1932" t="b">
        <v>0</v>
      </c>
    </row>
    <row r="1933" spans="1:4" x14ac:dyDescent="0.25">
      <c r="A1933" t="s">
        <v>34</v>
      </c>
      <c r="B1933">
        <v>0.108</v>
      </c>
      <c r="C1933" t="str">
        <f t="shared" si="30"/>
        <v>BOLING MWD</v>
      </c>
      <c r="D1933" t="b">
        <v>0</v>
      </c>
    </row>
    <row r="1934" spans="1:4" x14ac:dyDescent="0.25">
      <c r="A1934" t="s">
        <v>471</v>
      </c>
      <c r="B1934">
        <v>0.108</v>
      </c>
      <c r="C1934" t="str">
        <f t="shared" si="30"/>
        <v>CITY OF BANGS</v>
      </c>
      <c r="D1934" t="b">
        <v>0</v>
      </c>
    </row>
    <row r="1935" spans="1:4" x14ac:dyDescent="0.25">
      <c r="A1935" t="s">
        <v>2806</v>
      </c>
      <c r="B1935">
        <v>0.108</v>
      </c>
      <c r="C1935" t="str">
        <f t="shared" si="30"/>
        <v>CITY OF JEWETT</v>
      </c>
      <c r="D1935" t="b">
        <v>0</v>
      </c>
    </row>
    <row r="1936" spans="1:4" x14ac:dyDescent="0.25">
      <c r="A1936" t="s">
        <v>672</v>
      </c>
      <c r="B1936">
        <v>0.108</v>
      </c>
      <c r="C1936" t="str">
        <f t="shared" si="30"/>
        <v>CITY OF SEADRIFT</v>
      </c>
      <c r="D1936" t="b">
        <v>0</v>
      </c>
    </row>
    <row r="1937" spans="1:4" x14ac:dyDescent="0.25">
      <c r="A1937" t="s">
        <v>1175</v>
      </c>
      <c r="B1937">
        <v>0.107</v>
      </c>
      <c r="C1937" t="str">
        <f t="shared" si="30"/>
        <v>CITY OF MEMPHIS</v>
      </c>
      <c r="D1937" t="b">
        <v>0</v>
      </c>
    </row>
    <row r="1938" spans="1:4" x14ac:dyDescent="0.25">
      <c r="A1938" t="s">
        <v>2751</v>
      </c>
      <c r="B1938">
        <v>0.107</v>
      </c>
      <c r="C1938" t="str">
        <f t="shared" si="30"/>
        <v>CITY OF TRINIDAD</v>
      </c>
      <c r="D1938" t="b">
        <v>0</v>
      </c>
    </row>
    <row r="1939" spans="1:4" x14ac:dyDescent="0.25">
      <c r="A1939" t="s">
        <v>895</v>
      </c>
      <c r="B1939">
        <v>0.107</v>
      </c>
      <c r="C1939" t="str">
        <f t="shared" si="30"/>
        <v>MARTIN OPERATING PARTNERSHIP LP</v>
      </c>
      <c r="D1939" t="b">
        <v>0</v>
      </c>
    </row>
    <row r="1940" spans="1:4" x14ac:dyDescent="0.25">
      <c r="A1940" t="s">
        <v>2595</v>
      </c>
      <c r="B1940">
        <v>0.107</v>
      </c>
      <c r="C1940" t="str">
        <f t="shared" si="30"/>
        <v>ENTERPRISE PRODUCTS OPERATING LLC</v>
      </c>
      <c r="D1940" t="b">
        <v>0</v>
      </c>
    </row>
    <row r="1941" spans="1:4" x14ac:dyDescent="0.25">
      <c r="A1941" t="s">
        <v>1260</v>
      </c>
      <c r="B1941">
        <v>0.106</v>
      </c>
      <c r="C1941" t="str">
        <f t="shared" si="30"/>
        <v>CITY OF JOSEPHINE</v>
      </c>
      <c r="D1941" t="b">
        <v>0</v>
      </c>
    </row>
    <row r="1942" spans="1:4" x14ac:dyDescent="0.25">
      <c r="A1942" t="s">
        <v>2495</v>
      </c>
      <c r="B1942">
        <v>0.106</v>
      </c>
      <c r="C1942" t="str">
        <f t="shared" si="30"/>
        <v>MONTGOMERY COUNTY MUD 139</v>
      </c>
      <c r="D1942" t="b">
        <v>0</v>
      </c>
    </row>
    <row r="1943" spans="1:4" x14ac:dyDescent="0.25">
      <c r="A1943" t="s">
        <v>827</v>
      </c>
      <c r="B1943">
        <v>0.105971</v>
      </c>
      <c r="C1943" t="str">
        <f t="shared" si="30"/>
        <v>CITY OF BROWNSBORO</v>
      </c>
      <c r="D1943" t="b">
        <v>0</v>
      </c>
    </row>
    <row r="1944" spans="1:4" x14ac:dyDescent="0.25">
      <c r="A1944" t="s">
        <v>2591</v>
      </c>
      <c r="B1944">
        <v>0.1056</v>
      </c>
      <c r="C1944" t="str">
        <f t="shared" si="30"/>
        <v>CHEMICALS INC</v>
      </c>
      <c r="D1944" t="b">
        <v>0</v>
      </c>
    </row>
    <row r="1945" spans="1:4" x14ac:dyDescent="0.25">
      <c r="A1945" t="s">
        <v>2471</v>
      </c>
      <c r="B1945">
        <v>0.105</v>
      </c>
      <c r="C1945" t="str">
        <f t="shared" si="30"/>
        <v>EAST MONTGOMERY COUNTY MUD 3</v>
      </c>
      <c r="D1945" t="b">
        <v>0</v>
      </c>
    </row>
    <row r="1946" spans="1:4" x14ac:dyDescent="0.25">
      <c r="A1946" t="s">
        <v>1223</v>
      </c>
      <c r="B1946">
        <v>0.105</v>
      </c>
      <c r="C1946" t="e">
        <f t="shared" si="30"/>
        <v>#N/A</v>
      </c>
      <c r="D1946" t="b">
        <v>0</v>
      </c>
    </row>
    <row r="1947" spans="1:4" x14ac:dyDescent="0.25">
      <c r="A1947" t="s">
        <v>2376</v>
      </c>
      <c r="B1947">
        <v>0.105</v>
      </c>
      <c r="C1947" t="str">
        <f t="shared" si="30"/>
        <v>HARRIS COUNTY MUD 536</v>
      </c>
      <c r="D1947" t="b">
        <v>0</v>
      </c>
    </row>
    <row r="1948" spans="1:4" x14ac:dyDescent="0.25">
      <c r="A1948" t="s">
        <v>674</v>
      </c>
      <c r="B1948">
        <v>0.1043</v>
      </c>
      <c r="C1948" t="str">
        <f t="shared" si="30"/>
        <v>AQUA TEXAS INC</v>
      </c>
      <c r="D1948" t="b">
        <v>0</v>
      </c>
    </row>
    <row r="1949" spans="1:4" x14ac:dyDescent="0.25">
      <c r="A1949" t="s">
        <v>2816</v>
      </c>
      <c r="B1949">
        <v>0.104</v>
      </c>
      <c r="C1949" t="str">
        <f t="shared" si="30"/>
        <v>CITY OF COOLIDGE</v>
      </c>
      <c r="D1949" t="b">
        <v>0</v>
      </c>
    </row>
    <row r="1950" spans="1:4" x14ac:dyDescent="0.25">
      <c r="A1950" t="s">
        <v>27</v>
      </c>
      <c r="B1950">
        <v>0.104</v>
      </c>
      <c r="C1950" t="str">
        <f t="shared" si="30"/>
        <v>CITY OF KENDLETON</v>
      </c>
      <c r="D1950" t="b">
        <v>0</v>
      </c>
    </row>
    <row r="1951" spans="1:4" x14ac:dyDescent="0.25">
      <c r="A1951" t="s">
        <v>2372</v>
      </c>
      <c r="B1951">
        <v>0.1036</v>
      </c>
      <c r="C1951" t="str">
        <f t="shared" si="30"/>
        <v>INTERCONTINENTAL TERMINALS CO LLC</v>
      </c>
      <c r="D1951" t="b">
        <v>0</v>
      </c>
    </row>
    <row r="1952" spans="1:4" x14ac:dyDescent="0.25">
      <c r="A1952" t="s">
        <v>1881</v>
      </c>
      <c r="B1952">
        <v>0.103103</v>
      </c>
      <c r="C1952" t="str">
        <f t="shared" si="30"/>
        <v>CHAMPS WATER CO</v>
      </c>
      <c r="D1952" t="b">
        <v>0</v>
      </c>
    </row>
    <row r="1953" spans="1:4" x14ac:dyDescent="0.25">
      <c r="A1953" t="s">
        <v>2459</v>
      </c>
      <c r="B1953">
        <v>0.10299999999999999</v>
      </c>
      <c r="C1953" t="str">
        <f t="shared" si="30"/>
        <v>QUADVEST LP</v>
      </c>
      <c r="D1953" t="b">
        <v>0</v>
      </c>
    </row>
    <row r="1954" spans="1:4" x14ac:dyDescent="0.25">
      <c r="A1954" t="s">
        <v>2319</v>
      </c>
      <c r="B1954">
        <v>0.10299999999999999</v>
      </c>
      <c r="C1954" t="str">
        <f t="shared" si="30"/>
        <v>HARRIS COUNTY MUD NO 434</v>
      </c>
      <c r="D1954" t="b">
        <v>0</v>
      </c>
    </row>
    <row r="1955" spans="1:4" x14ac:dyDescent="0.25">
      <c r="A1955" t="s">
        <v>1093</v>
      </c>
      <c r="B1955">
        <v>0.102668</v>
      </c>
      <c r="C1955" t="str">
        <f t="shared" si="30"/>
        <v>EF90 LLC</v>
      </c>
      <c r="D1955" t="b">
        <v>0</v>
      </c>
    </row>
    <row r="1956" spans="1:4" x14ac:dyDescent="0.25">
      <c r="A1956" t="s">
        <v>2866</v>
      </c>
      <c r="B1956">
        <v>0.1023</v>
      </c>
      <c r="C1956" t="str">
        <f t="shared" si="30"/>
        <v>CAPE ROYALE UD</v>
      </c>
      <c r="D1956" t="b">
        <v>0</v>
      </c>
    </row>
    <row r="1957" spans="1:4" x14ac:dyDescent="0.25">
      <c r="A1957" t="s">
        <v>1602</v>
      </c>
      <c r="B1957">
        <v>0.10199999999999999</v>
      </c>
      <c r="C1957" t="str">
        <f t="shared" si="30"/>
        <v>MARATHON PETROLEUM CO LP</v>
      </c>
      <c r="D1957" t="b">
        <v>0</v>
      </c>
    </row>
    <row r="1958" spans="1:4" x14ac:dyDescent="0.25">
      <c r="A1958" t="s">
        <v>302</v>
      </c>
      <c r="B1958">
        <v>0.10199999999999999</v>
      </c>
      <c r="C1958" t="str">
        <f t="shared" si="30"/>
        <v>CITY OF THORNDALE</v>
      </c>
      <c r="D1958" t="b">
        <v>0</v>
      </c>
    </row>
    <row r="1959" spans="1:4" x14ac:dyDescent="0.25">
      <c r="A1959" t="s">
        <v>2829</v>
      </c>
      <c r="B1959">
        <v>0.10199999999999999</v>
      </c>
      <c r="C1959" t="str">
        <f t="shared" si="30"/>
        <v>CITY OF DAWSON</v>
      </c>
      <c r="D1959" t="b">
        <v>0</v>
      </c>
    </row>
    <row r="1960" spans="1:4" x14ac:dyDescent="0.25">
      <c r="A1960" t="s">
        <v>2053</v>
      </c>
      <c r="B1960">
        <v>0.1017</v>
      </c>
      <c r="C1960" t="e">
        <f t="shared" si="30"/>
        <v>#N/A</v>
      </c>
      <c r="D1960" t="b">
        <v>0</v>
      </c>
    </row>
    <row r="1961" spans="1:4" x14ac:dyDescent="0.25">
      <c r="A1961" t="s">
        <v>1161</v>
      </c>
      <c r="B1961">
        <v>0.10100000000000001</v>
      </c>
      <c r="C1961" t="str">
        <f t="shared" si="30"/>
        <v>TOWN OF WINDOM</v>
      </c>
      <c r="D1961" t="b">
        <v>0</v>
      </c>
    </row>
    <row r="1962" spans="1:4" x14ac:dyDescent="0.25">
      <c r="A1962" t="s">
        <v>1364</v>
      </c>
      <c r="B1962">
        <v>0.100684</v>
      </c>
      <c r="C1962" t="str">
        <f t="shared" si="30"/>
        <v>SABINE RIVER AUTHORITY (SRA) OF TX, SRA-STATE OF LA AND ENTERGY TX INC</v>
      </c>
      <c r="D1962" t="b">
        <v>0</v>
      </c>
    </row>
    <row r="1963" spans="1:4" x14ac:dyDescent="0.25">
      <c r="A1963" t="s">
        <v>906</v>
      </c>
      <c r="B1963">
        <v>0.10019</v>
      </c>
      <c r="C1963" t="str">
        <f t="shared" si="30"/>
        <v>CITY OF GARRISON</v>
      </c>
      <c r="D1963" t="b">
        <v>0</v>
      </c>
    </row>
    <row r="1964" spans="1:4" x14ac:dyDescent="0.25">
      <c r="A1964" t="s">
        <v>1805</v>
      </c>
      <c r="B1964">
        <v>0.1</v>
      </c>
      <c r="C1964" t="str">
        <f t="shared" si="30"/>
        <v>ARKEMA INC</v>
      </c>
      <c r="D1964" t="b">
        <v>0</v>
      </c>
    </row>
    <row r="1965" spans="1:4" x14ac:dyDescent="0.25">
      <c r="A1965" t="s">
        <v>1807</v>
      </c>
      <c r="B1965">
        <v>0.1</v>
      </c>
      <c r="C1965" t="str">
        <f t="shared" si="30"/>
        <v>ARKEMA INC</v>
      </c>
      <c r="D1965" t="b">
        <v>0</v>
      </c>
    </row>
    <row r="1966" spans="1:4" x14ac:dyDescent="0.25">
      <c r="A1966" t="s">
        <v>1558</v>
      </c>
      <c r="B1966">
        <v>0.1</v>
      </c>
      <c r="C1966" t="str">
        <f t="shared" si="30"/>
        <v>OAK MANOR MUD</v>
      </c>
      <c r="D1966" t="b">
        <v>0</v>
      </c>
    </row>
    <row r="1967" spans="1:4" x14ac:dyDescent="0.25">
      <c r="A1967" t="s">
        <v>2820</v>
      </c>
      <c r="B1967">
        <v>0.1</v>
      </c>
      <c r="C1967" t="str">
        <f t="shared" si="30"/>
        <v>MONTEREY MUSHROOMS INC</v>
      </c>
      <c r="D1967" t="b">
        <v>0</v>
      </c>
    </row>
    <row r="1968" spans="1:4" x14ac:dyDescent="0.25">
      <c r="A1968" t="s">
        <v>1994</v>
      </c>
      <c r="B1968">
        <v>0.1</v>
      </c>
      <c r="C1968" t="str">
        <f t="shared" si="30"/>
        <v>GEORGIA GULF CHEMICALS &amp; VINYL LLC</v>
      </c>
      <c r="D1968" t="b">
        <v>0</v>
      </c>
    </row>
    <row r="1969" spans="1:4" x14ac:dyDescent="0.25">
      <c r="A1969" t="s">
        <v>510</v>
      </c>
      <c r="B1969">
        <v>0.1</v>
      </c>
      <c r="C1969" t="str">
        <f t="shared" si="30"/>
        <v>CORIX UTILITIES TEXAS INC</v>
      </c>
      <c r="D1969" t="b">
        <v>0</v>
      </c>
    </row>
    <row r="1970" spans="1:4" x14ac:dyDescent="0.25">
      <c r="A1970" t="s">
        <v>2268</v>
      </c>
      <c r="B1970">
        <v>0.1</v>
      </c>
      <c r="C1970" t="str">
        <f t="shared" si="30"/>
        <v>GULF REDUCTION CORP</v>
      </c>
      <c r="D1970" t="b">
        <v>0</v>
      </c>
    </row>
    <row r="1971" spans="1:4" x14ac:dyDescent="0.25">
      <c r="A1971" t="s">
        <v>796</v>
      </c>
      <c r="B1971">
        <v>0.1</v>
      </c>
      <c r="C1971" t="str">
        <f t="shared" si="30"/>
        <v>CITY OF ZAVALLA</v>
      </c>
      <c r="D1971" t="b">
        <v>0</v>
      </c>
    </row>
    <row r="1972" spans="1:4" x14ac:dyDescent="0.25">
      <c r="A1972" t="s">
        <v>1587</v>
      </c>
      <c r="B1972">
        <v>0.1</v>
      </c>
      <c r="C1972" t="str">
        <f t="shared" si="30"/>
        <v>2006 MUSTANG CREEK DEVELOPMENT INC</v>
      </c>
      <c r="D1972" t="b">
        <v>0</v>
      </c>
    </row>
    <row r="1973" spans="1:4" x14ac:dyDescent="0.25">
      <c r="A1973" t="s">
        <v>1140</v>
      </c>
      <c r="B1973">
        <v>0.1</v>
      </c>
      <c r="C1973" t="str">
        <f t="shared" si="30"/>
        <v>CITY OF SABINAL</v>
      </c>
      <c r="D1973" t="b">
        <v>0</v>
      </c>
    </row>
    <row r="1974" spans="1:4" x14ac:dyDescent="0.25">
      <c r="A1974" t="s">
        <v>1204</v>
      </c>
      <c r="B1974">
        <v>0.1</v>
      </c>
      <c r="C1974" t="str">
        <f t="shared" si="30"/>
        <v>STUDY BUTTE WSC</v>
      </c>
      <c r="D1974" t="b">
        <v>0</v>
      </c>
    </row>
    <row r="1975" spans="1:4" x14ac:dyDescent="0.25">
      <c r="A1975" t="s">
        <v>744</v>
      </c>
      <c r="B1975">
        <v>0.1</v>
      </c>
      <c r="C1975" t="str">
        <f t="shared" si="30"/>
        <v>TRINITY BAY CONSERVATION DISTRICT</v>
      </c>
      <c r="D1975" t="b">
        <v>0</v>
      </c>
    </row>
    <row r="1976" spans="1:4" x14ac:dyDescent="0.25">
      <c r="A1976" t="s">
        <v>2384</v>
      </c>
      <c r="B1976">
        <v>0.1</v>
      </c>
      <c r="C1976" t="str">
        <f t="shared" si="30"/>
        <v>TARGA TERMINALS LLC</v>
      </c>
      <c r="D1976" t="b">
        <v>0</v>
      </c>
    </row>
    <row r="1977" spans="1:4" x14ac:dyDescent="0.25">
      <c r="A1977" t="s">
        <v>2804</v>
      </c>
      <c r="B1977">
        <v>9.9900000000000003E-2</v>
      </c>
      <c r="C1977" t="str">
        <f t="shared" si="30"/>
        <v>CITY OF NORMANGEE</v>
      </c>
      <c r="D1977" t="b">
        <v>0</v>
      </c>
    </row>
    <row r="1978" spans="1:4" x14ac:dyDescent="0.25">
      <c r="A1978" t="s">
        <v>623</v>
      </c>
      <c r="B1978">
        <v>9.9299999999999999E-2</v>
      </c>
      <c r="C1978" t="str">
        <f t="shared" si="30"/>
        <v>CITY OF WAELDER</v>
      </c>
      <c r="D1978" t="b">
        <v>0</v>
      </c>
    </row>
    <row r="1979" spans="1:4" x14ac:dyDescent="0.25">
      <c r="A1979" t="s">
        <v>460</v>
      </c>
      <c r="B1979">
        <v>9.9099999999999994E-2</v>
      </c>
      <c r="C1979" t="str">
        <f t="shared" si="30"/>
        <v>AQUA WSC</v>
      </c>
      <c r="D1979" t="b">
        <v>0</v>
      </c>
    </row>
    <row r="1980" spans="1:4" x14ac:dyDescent="0.25">
      <c r="A1980" t="s">
        <v>2181</v>
      </c>
      <c r="B1980">
        <v>9.9000000000000005E-2</v>
      </c>
      <c r="C1980" t="str">
        <f t="shared" si="30"/>
        <v>KMCO LLC</v>
      </c>
      <c r="D1980" t="b">
        <v>0</v>
      </c>
    </row>
    <row r="1981" spans="1:4" x14ac:dyDescent="0.25">
      <c r="A1981" t="s">
        <v>236</v>
      </c>
      <c r="B1981">
        <v>9.8000000000000004E-2</v>
      </c>
      <c r="C1981" t="str">
        <f t="shared" si="30"/>
        <v>CITY OF TOLAR</v>
      </c>
      <c r="D1981" t="b">
        <v>0</v>
      </c>
    </row>
    <row r="1982" spans="1:4" x14ac:dyDescent="0.25">
      <c r="A1982" t="s">
        <v>2158</v>
      </c>
      <c r="B1982">
        <v>9.8000000000000004E-2</v>
      </c>
      <c r="C1982" t="str">
        <f t="shared" si="30"/>
        <v>HARRIS COUNTY MUD 119</v>
      </c>
      <c r="D1982" t="b">
        <v>0</v>
      </c>
    </row>
    <row r="1983" spans="1:4" x14ac:dyDescent="0.25">
      <c r="A1983" t="s">
        <v>1691</v>
      </c>
      <c r="B1983">
        <v>9.8000000000000004E-2</v>
      </c>
      <c r="C1983" t="str">
        <f t="shared" si="30"/>
        <v>LINDE GAS NORTH AMERICA LLC</v>
      </c>
      <c r="D1983" t="b">
        <v>0</v>
      </c>
    </row>
    <row r="1984" spans="1:4" x14ac:dyDescent="0.25">
      <c r="A1984" t="s">
        <v>745</v>
      </c>
      <c r="B1984">
        <v>9.8000000000000004E-2</v>
      </c>
      <c r="C1984" t="str">
        <f t="shared" si="30"/>
        <v>BOLIVAR UTILITIES SERVICES LLC</v>
      </c>
      <c r="D1984" t="b">
        <v>0</v>
      </c>
    </row>
    <row r="1985" spans="1:4" x14ac:dyDescent="0.25">
      <c r="A1985" t="s">
        <v>1795</v>
      </c>
      <c r="B1985">
        <v>9.7000000000000003E-2</v>
      </c>
      <c r="C1985" t="str">
        <f t="shared" si="30"/>
        <v>NRG TEXAS POWER LLC</v>
      </c>
      <c r="D1985" t="b">
        <v>0</v>
      </c>
    </row>
    <row r="1986" spans="1:4" x14ac:dyDescent="0.25">
      <c r="A1986" t="s">
        <v>1158</v>
      </c>
      <c r="B1986">
        <v>9.7000000000000003E-2</v>
      </c>
      <c r="C1986" t="str">
        <f t="shared" ref="C1986:C2049" si="31">VLOOKUP(A1986,PERMITTEES,2,FALSE)</f>
        <v>CITY OF ECTOR</v>
      </c>
      <c r="D1986" t="b">
        <v>0</v>
      </c>
    </row>
    <row r="1987" spans="1:4" x14ac:dyDescent="0.25">
      <c r="A1987" t="s">
        <v>162</v>
      </c>
      <c r="B1987">
        <v>9.7000000000000003E-2</v>
      </c>
      <c r="C1987" t="str">
        <f t="shared" si="31"/>
        <v>CITY OF LOTT</v>
      </c>
      <c r="D1987" t="b">
        <v>0</v>
      </c>
    </row>
    <row r="1988" spans="1:4" x14ac:dyDescent="0.25">
      <c r="A1988" t="s">
        <v>1677</v>
      </c>
      <c r="B1988">
        <v>9.7000000000000003E-2</v>
      </c>
      <c r="C1988" t="str">
        <f t="shared" si="31"/>
        <v>LYONDELL CHEMICAL CO</v>
      </c>
      <c r="D1988" t="b">
        <v>0</v>
      </c>
    </row>
    <row r="1989" spans="1:4" x14ac:dyDescent="0.25">
      <c r="A1989" t="s">
        <v>315</v>
      </c>
      <c r="B1989">
        <v>9.7000000000000003E-2</v>
      </c>
      <c r="C1989" t="str">
        <f t="shared" si="31"/>
        <v>CITY OF GRAFORD</v>
      </c>
      <c r="D1989" t="b">
        <v>0</v>
      </c>
    </row>
    <row r="1990" spans="1:4" x14ac:dyDescent="0.25">
      <c r="A1990" t="s">
        <v>1517</v>
      </c>
      <c r="B1990">
        <v>9.7000000000000003E-2</v>
      </c>
      <c r="C1990" t="str">
        <f t="shared" si="31"/>
        <v>SAN ANTONIO RIVER AUTHORITY</v>
      </c>
      <c r="D1990" t="b">
        <v>0</v>
      </c>
    </row>
    <row r="1991" spans="1:4" x14ac:dyDescent="0.25">
      <c r="A1991" t="s">
        <v>1188</v>
      </c>
      <c r="B1991">
        <v>9.7000000000000003E-2</v>
      </c>
      <c r="C1991" t="str">
        <f t="shared" si="31"/>
        <v>CITY OF WHEELER</v>
      </c>
      <c r="D1991" t="b">
        <v>0</v>
      </c>
    </row>
    <row r="1992" spans="1:4" x14ac:dyDescent="0.25">
      <c r="A1992" t="s">
        <v>2501</v>
      </c>
      <c r="B1992">
        <v>9.7000000000000003E-2</v>
      </c>
      <c r="C1992" t="str">
        <f t="shared" si="31"/>
        <v>CITY OF PATTON VILLAGE</v>
      </c>
      <c r="D1992" t="b">
        <v>0</v>
      </c>
    </row>
    <row r="1993" spans="1:4" x14ac:dyDescent="0.25">
      <c r="A1993" t="s">
        <v>62</v>
      </c>
      <c r="B1993">
        <v>9.69E-2</v>
      </c>
      <c r="C1993" t="str">
        <f t="shared" si="31"/>
        <v>CITY OF ROGERS</v>
      </c>
      <c r="D1993" t="b">
        <v>0</v>
      </c>
    </row>
    <row r="1994" spans="1:4" x14ac:dyDescent="0.25">
      <c r="A1994" t="s">
        <v>563</v>
      </c>
      <c r="B1994">
        <v>9.6500000000000002E-2</v>
      </c>
      <c r="C1994" t="str">
        <f t="shared" si="31"/>
        <v>CITY OF BLOOMBURG</v>
      </c>
      <c r="D1994" t="b">
        <v>0</v>
      </c>
    </row>
    <row r="1995" spans="1:4" x14ac:dyDescent="0.25">
      <c r="A1995" t="s">
        <v>466</v>
      </c>
      <c r="B1995">
        <v>9.6460000000000004E-2</v>
      </c>
      <c r="C1995" t="str">
        <f t="shared" si="31"/>
        <v>AQUA WSC</v>
      </c>
      <c r="D1995" t="b">
        <v>0</v>
      </c>
    </row>
    <row r="1996" spans="1:4" x14ac:dyDescent="0.25">
      <c r="A1996" t="s">
        <v>2833</v>
      </c>
      <c r="B1996">
        <v>9.6000000000000002E-2</v>
      </c>
      <c r="C1996" t="str">
        <f t="shared" si="31"/>
        <v>CITY OF BLOOMING GROVE</v>
      </c>
      <c r="D1996" t="b">
        <v>0</v>
      </c>
    </row>
    <row r="1997" spans="1:4" x14ac:dyDescent="0.25">
      <c r="A1997" t="s">
        <v>891</v>
      </c>
      <c r="B1997">
        <v>9.6000000000000002E-2</v>
      </c>
      <c r="C1997" t="str">
        <f t="shared" si="31"/>
        <v>AIR LIQUIDE LARGE INDUSTRIES US LP</v>
      </c>
      <c r="D1997" t="b">
        <v>0</v>
      </c>
    </row>
    <row r="1998" spans="1:4" x14ac:dyDescent="0.25">
      <c r="A1998" t="s">
        <v>2571</v>
      </c>
      <c r="B1998">
        <v>9.6000000000000002E-2</v>
      </c>
      <c r="C1998" t="str">
        <f t="shared" si="31"/>
        <v>J&amp;S WATER CO LLC</v>
      </c>
      <c r="D1998" t="b">
        <v>0</v>
      </c>
    </row>
    <row r="1999" spans="1:4" x14ac:dyDescent="0.25">
      <c r="A1999" t="s">
        <v>2389</v>
      </c>
      <c r="B1999">
        <v>9.6000000000000002E-2</v>
      </c>
      <c r="C1999" t="str">
        <f t="shared" si="31"/>
        <v>DOWNSTREAM ENVIRONMENTAL LLC</v>
      </c>
      <c r="D1999" t="b">
        <v>0</v>
      </c>
    </row>
    <row r="2000" spans="1:4" x14ac:dyDescent="0.25">
      <c r="A2000" t="s">
        <v>1716</v>
      </c>
      <c r="B2000">
        <v>9.5141000000000003E-2</v>
      </c>
      <c r="C2000" t="str">
        <f t="shared" si="31"/>
        <v>FORT BEND COUNTY MUD NO 34</v>
      </c>
      <c r="D2000" t="b">
        <v>0</v>
      </c>
    </row>
    <row r="2001" spans="1:4" x14ac:dyDescent="0.25">
      <c r="A2001" t="s">
        <v>423</v>
      </c>
      <c r="B2001">
        <v>9.5000000000000001E-2</v>
      </c>
      <c r="C2001" t="str">
        <f t="shared" si="31"/>
        <v>CITY OF POINT COMFORT</v>
      </c>
      <c r="D2001" t="b">
        <v>0</v>
      </c>
    </row>
    <row r="2002" spans="1:4" x14ac:dyDescent="0.25">
      <c r="A2002" t="s">
        <v>984</v>
      </c>
      <c r="B2002">
        <v>9.5000000000000001E-2</v>
      </c>
      <c r="C2002" t="str">
        <f t="shared" si="31"/>
        <v>BROWNSVILLE NAVIGATION DISTRICT</v>
      </c>
      <c r="D2002" t="b">
        <v>0</v>
      </c>
    </row>
    <row r="2003" spans="1:4" x14ac:dyDescent="0.25">
      <c r="A2003" t="s">
        <v>904</v>
      </c>
      <c r="B2003">
        <v>9.4E-2</v>
      </c>
      <c r="C2003" t="str">
        <f t="shared" si="31"/>
        <v>CITY OF CUSHING</v>
      </c>
      <c r="D2003" t="b">
        <v>0</v>
      </c>
    </row>
    <row r="2004" spans="1:4" x14ac:dyDescent="0.25">
      <c r="A2004" t="s">
        <v>1099</v>
      </c>
      <c r="B2004">
        <v>9.4E-2</v>
      </c>
      <c r="C2004" t="str">
        <f t="shared" si="31"/>
        <v>NORTH ALAMO WSC</v>
      </c>
      <c r="D2004" t="b">
        <v>0</v>
      </c>
    </row>
    <row r="2005" spans="1:4" x14ac:dyDescent="0.25">
      <c r="A2005" t="s">
        <v>1718</v>
      </c>
      <c r="B2005">
        <v>9.4E-2</v>
      </c>
      <c r="C2005" t="str">
        <f t="shared" si="31"/>
        <v>WILLOW POINT MUD</v>
      </c>
      <c r="D2005" t="b">
        <v>0</v>
      </c>
    </row>
    <row r="2006" spans="1:4" x14ac:dyDescent="0.25">
      <c r="A2006" t="s">
        <v>1276</v>
      </c>
      <c r="B2006">
        <v>9.3928999999999999E-2</v>
      </c>
      <c r="C2006" t="str">
        <f t="shared" si="31"/>
        <v>CITY OF CLARKSVILLE CITY</v>
      </c>
      <c r="D2006" t="b">
        <v>0</v>
      </c>
    </row>
    <row r="2007" spans="1:4" x14ac:dyDescent="0.25">
      <c r="A2007" t="s">
        <v>1872</v>
      </c>
      <c r="B2007">
        <v>9.3600000000000003E-2</v>
      </c>
      <c r="C2007" t="str">
        <f t="shared" si="31"/>
        <v>KM LIQUIDS TERMINALS LLC</v>
      </c>
      <c r="D2007" t="b">
        <v>0</v>
      </c>
    </row>
    <row r="2008" spans="1:4" x14ac:dyDescent="0.25">
      <c r="A2008" t="s">
        <v>1632</v>
      </c>
      <c r="B2008">
        <v>9.3257999999999994E-2</v>
      </c>
      <c r="C2008" t="str">
        <f t="shared" si="31"/>
        <v>TEXAS A&amp;M UNIVERSITY AT GALVESTON DEVELOPMENT</v>
      </c>
      <c r="D2008" t="b">
        <v>0</v>
      </c>
    </row>
    <row r="2009" spans="1:4" x14ac:dyDescent="0.25">
      <c r="A2009" t="s">
        <v>2909</v>
      </c>
      <c r="B2009">
        <v>9.2999999999999999E-2</v>
      </c>
      <c r="C2009" t="e">
        <f t="shared" si="31"/>
        <v>#N/A</v>
      </c>
      <c r="D2009" t="b">
        <v>0</v>
      </c>
    </row>
    <row r="2010" spans="1:4" x14ac:dyDescent="0.25">
      <c r="A2010" t="s">
        <v>79</v>
      </c>
      <c r="B2010">
        <v>9.2999999999999999E-2</v>
      </c>
      <c r="C2010" t="str">
        <f t="shared" si="31"/>
        <v>CITY OF VALLEY MILLS</v>
      </c>
      <c r="D2010" t="b">
        <v>0</v>
      </c>
    </row>
    <row r="2011" spans="1:4" x14ac:dyDescent="0.25">
      <c r="A2011" t="s">
        <v>894</v>
      </c>
      <c r="B2011">
        <v>9.2609999999999998E-2</v>
      </c>
      <c r="C2011" t="str">
        <f t="shared" si="31"/>
        <v>AIR LIQUIDE LARGE INDUSTRIES US LP</v>
      </c>
      <c r="D2011" t="b">
        <v>0</v>
      </c>
    </row>
    <row r="2012" spans="1:4" x14ac:dyDescent="0.25">
      <c r="A2012" t="s">
        <v>57</v>
      </c>
      <c r="B2012">
        <v>9.1999999999999998E-2</v>
      </c>
      <c r="C2012" t="str">
        <f t="shared" si="31"/>
        <v>BELL COUNTY WCID 2</v>
      </c>
      <c r="D2012" t="b">
        <v>0</v>
      </c>
    </row>
    <row r="2013" spans="1:4" x14ac:dyDescent="0.25">
      <c r="A2013" t="s">
        <v>163</v>
      </c>
      <c r="B2013">
        <v>9.1999999999999998E-2</v>
      </c>
      <c r="C2013" t="str">
        <f t="shared" si="31"/>
        <v>CHILTON WATER SUPPLY &amp; SEWER SERVICE CORP</v>
      </c>
      <c r="D2013" t="b">
        <v>0</v>
      </c>
    </row>
    <row r="2014" spans="1:4" x14ac:dyDescent="0.25">
      <c r="A2014" t="s">
        <v>2145</v>
      </c>
      <c r="B2014">
        <v>9.1999999999999998E-2</v>
      </c>
      <c r="C2014" t="str">
        <f t="shared" si="31"/>
        <v>PINEWOOD COMMUNITY LIMITED PARTNERSHIP</v>
      </c>
      <c r="D2014" t="b">
        <v>0</v>
      </c>
    </row>
    <row r="2015" spans="1:4" x14ac:dyDescent="0.25">
      <c r="A2015" t="s">
        <v>405</v>
      </c>
      <c r="B2015">
        <v>9.0899999999999995E-2</v>
      </c>
      <c r="C2015" t="str">
        <f t="shared" si="31"/>
        <v>CITY OF SUNRAY</v>
      </c>
      <c r="D2015" t="b">
        <v>0</v>
      </c>
    </row>
    <row r="2016" spans="1:4" x14ac:dyDescent="0.25">
      <c r="A2016" t="s">
        <v>982</v>
      </c>
      <c r="B2016">
        <v>0.09</v>
      </c>
      <c r="C2016" t="str">
        <f t="shared" si="31"/>
        <v>US DEPT OF JUSTICE</v>
      </c>
      <c r="D2016" t="b">
        <v>0</v>
      </c>
    </row>
    <row r="2017" spans="1:4" x14ac:dyDescent="0.25">
      <c r="A2017" t="s">
        <v>529</v>
      </c>
      <c r="B2017">
        <v>0.09</v>
      </c>
      <c r="C2017" t="str">
        <f t="shared" si="31"/>
        <v>CITY OF MENARD</v>
      </c>
      <c r="D2017" t="b">
        <v>0</v>
      </c>
    </row>
    <row r="2018" spans="1:4" x14ac:dyDescent="0.25">
      <c r="A2018" t="s">
        <v>743</v>
      </c>
      <c r="B2018">
        <v>0.09</v>
      </c>
      <c r="C2018" t="str">
        <f t="shared" si="31"/>
        <v>TRINITY BAY CONSERVATION DISTRICT</v>
      </c>
      <c r="D2018" t="b">
        <v>0</v>
      </c>
    </row>
    <row r="2019" spans="1:4" x14ac:dyDescent="0.25">
      <c r="A2019" t="s">
        <v>1221</v>
      </c>
      <c r="B2019">
        <v>0.09</v>
      </c>
      <c r="C2019" t="e">
        <f t="shared" si="31"/>
        <v>#N/A</v>
      </c>
      <c r="D2019" t="b">
        <v>0</v>
      </c>
    </row>
    <row r="2020" spans="1:4" x14ac:dyDescent="0.25">
      <c r="A2020" t="s">
        <v>1420</v>
      </c>
      <c r="B2020">
        <v>8.9599999999999999E-2</v>
      </c>
      <c r="C2020" t="str">
        <f t="shared" si="31"/>
        <v>CITY OF CENTER</v>
      </c>
      <c r="D2020" t="b">
        <v>0</v>
      </c>
    </row>
    <row r="2021" spans="1:4" x14ac:dyDescent="0.25">
      <c r="A2021" t="s">
        <v>2487</v>
      </c>
      <c r="B2021">
        <v>8.9330000000000007E-2</v>
      </c>
      <c r="C2021" t="str">
        <f t="shared" si="31"/>
        <v>QUADVEST LP</v>
      </c>
      <c r="D2021" t="b">
        <v>0</v>
      </c>
    </row>
    <row r="2022" spans="1:4" x14ac:dyDescent="0.25">
      <c r="A2022" t="s">
        <v>2075</v>
      </c>
      <c r="B2022">
        <v>8.8999999999999996E-2</v>
      </c>
      <c r="C2022" t="str">
        <f t="shared" si="31"/>
        <v>SMITH INTERNATIONAL INDUSTRIAL SUBDIVISION WATER SUPPLY AND SEWER</v>
      </c>
      <c r="D2022" t="b">
        <v>0</v>
      </c>
    </row>
    <row r="2023" spans="1:4" x14ac:dyDescent="0.25">
      <c r="A2023" t="s">
        <v>1576</v>
      </c>
      <c r="B2023">
        <v>8.8999999999999996E-2</v>
      </c>
      <c r="C2023" t="str">
        <f t="shared" si="31"/>
        <v>GULF COAST UTILITY CO INC</v>
      </c>
      <c r="D2023" t="b">
        <v>0</v>
      </c>
    </row>
    <row r="2024" spans="1:4" x14ac:dyDescent="0.25">
      <c r="A2024" t="s">
        <v>716</v>
      </c>
      <c r="B2024">
        <v>8.8800000000000004E-2</v>
      </c>
      <c r="C2024" t="str">
        <f t="shared" si="31"/>
        <v>AQUA TEXAS INC</v>
      </c>
      <c r="D2024" t="b">
        <v>0</v>
      </c>
    </row>
    <row r="2025" spans="1:4" x14ac:dyDescent="0.25">
      <c r="A2025" t="s">
        <v>991</v>
      </c>
      <c r="B2025">
        <v>8.8720999999999994E-2</v>
      </c>
      <c r="C2025" t="str">
        <f t="shared" si="31"/>
        <v>VALLEY MUD NO 2</v>
      </c>
      <c r="D2025" t="b">
        <v>0</v>
      </c>
    </row>
    <row r="2026" spans="1:4" x14ac:dyDescent="0.25">
      <c r="A2026" t="s">
        <v>2615</v>
      </c>
      <c r="B2026">
        <v>8.7999999999999995E-2</v>
      </c>
      <c r="C2026" t="str">
        <f t="shared" si="31"/>
        <v>LUCE BAYOU PUD</v>
      </c>
      <c r="D2026" t="b">
        <v>0</v>
      </c>
    </row>
    <row r="2027" spans="1:4" x14ac:dyDescent="0.25">
      <c r="A2027" t="s">
        <v>2046</v>
      </c>
      <c r="B2027">
        <v>8.7999999999999995E-2</v>
      </c>
      <c r="C2027" t="str">
        <f t="shared" si="31"/>
        <v>KATY ISD</v>
      </c>
      <c r="D2027" t="b">
        <v>0</v>
      </c>
    </row>
    <row r="2028" spans="1:4" x14ac:dyDescent="0.25">
      <c r="A2028" t="s">
        <v>2890</v>
      </c>
      <c r="B2028">
        <v>8.6999999999999994E-2</v>
      </c>
      <c r="C2028" t="str">
        <f t="shared" si="31"/>
        <v>WESTWOOD SHORES MUD</v>
      </c>
      <c r="D2028" t="b">
        <v>0</v>
      </c>
    </row>
    <row r="2029" spans="1:4" x14ac:dyDescent="0.25">
      <c r="A2029" t="s">
        <v>679</v>
      </c>
      <c r="B2029">
        <v>8.6999999999999994E-2</v>
      </c>
      <c r="C2029" t="str">
        <f t="shared" si="31"/>
        <v>AQUA TEXAS INC</v>
      </c>
      <c r="D2029" t="b">
        <v>0</v>
      </c>
    </row>
    <row r="2030" spans="1:4" x14ac:dyDescent="0.25">
      <c r="A2030" t="s">
        <v>1589</v>
      </c>
      <c r="B2030">
        <v>8.6999999999999994E-2</v>
      </c>
      <c r="C2030" t="str">
        <f t="shared" si="31"/>
        <v>BRAZORIA COUNTY MUD 55</v>
      </c>
      <c r="D2030" t="b">
        <v>0</v>
      </c>
    </row>
    <row r="2031" spans="1:4" x14ac:dyDescent="0.25">
      <c r="A2031" t="s">
        <v>404</v>
      </c>
      <c r="B2031">
        <v>8.6999999999999994E-2</v>
      </c>
      <c r="C2031" t="str">
        <f t="shared" si="31"/>
        <v>SOLVAY SPECIALTY POLYMERS USA LLC</v>
      </c>
      <c r="D2031" t="b">
        <v>0</v>
      </c>
    </row>
    <row r="2032" spans="1:4" x14ac:dyDescent="0.25">
      <c r="A2032" t="s">
        <v>2632</v>
      </c>
      <c r="B2032">
        <v>8.6400000000000005E-2</v>
      </c>
      <c r="C2032" t="str">
        <f t="shared" si="31"/>
        <v>LONE STAR NGL MONT BELVIEU LP</v>
      </c>
      <c r="D2032" t="b">
        <v>0</v>
      </c>
    </row>
    <row r="2033" spans="1:4" x14ac:dyDescent="0.25">
      <c r="A2033" t="s">
        <v>736</v>
      </c>
      <c r="B2033">
        <v>8.5999999999999993E-2</v>
      </c>
      <c r="C2033" t="str">
        <f t="shared" si="31"/>
        <v>WHARTON COUNTY WCID 1</v>
      </c>
      <c r="D2033" t="b">
        <v>0</v>
      </c>
    </row>
    <row r="2034" spans="1:4" x14ac:dyDescent="0.25">
      <c r="A2034" t="s">
        <v>1108</v>
      </c>
      <c r="B2034">
        <v>8.5999999999999993E-2</v>
      </c>
      <c r="C2034" t="str">
        <f t="shared" si="31"/>
        <v>CITY OF CHARLOTTE</v>
      </c>
      <c r="D2034" t="b">
        <v>0</v>
      </c>
    </row>
    <row r="2035" spans="1:4" x14ac:dyDescent="0.25">
      <c r="A2035" t="s">
        <v>2325</v>
      </c>
      <c r="B2035">
        <v>8.5999999999999993E-2</v>
      </c>
      <c r="C2035" t="str">
        <f t="shared" si="31"/>
        <v>GENERATION PARK MANAGEMENT DISTRICT</v>
      </c>
      <c r="D2035" t="b">
        <v>0</v>
      </c>
    </row>
    <row r="2036" spans="1:4" x14ac:dyDescent="0.25">
      <c r="A2036" t="s">
        <v>2770</v>
      </c>
      <c r="B2036">
        <v>8.5459999999999994E-2</v>
      </c>
      <c r="C2036" t="str">
        <f t="shared" si="31"/>
        <v>HOUSTON COUNTY WCID 1</v>
      </c>
      <c r="D2036" t="b">
        <v>0</v>
      </c>
    </row>
    <row r="2037" spans="1:4" x14ac:dyDescent="0.25">
      <c r="A2037" t="s">
        <v>2493</v>
      </c>
      <c r="B2037">
        <v>8.5400000000000004E-2</v>
      </c>
      <c r="C2037" t="str">
        <f t="shared" si="31"/>
        <v>QUADVEST LP</v>
      </c>
      <c r="D2037" t="b">
        <v>0</v>
      </c>
    </row>
    <row r="2038" spans="1:4" x14ac:dyDescent="0.25">
      <c r="A2038" t="s">
        <v>783</v>
      </c>
      <c r="B2038">
        <v>8.5400000000000004E-2</v>
      </c>
      <c r="C2038" t="str">
        <f t="shared" si="31"/>
        <v>JBS PACKING COMPANY INC</v>
      </c>
      <c r="D2038" t="b">
        <v>0</v>
      </c>
    </row>
    <row r="2039" spans="1:4" x14ac:dyDescent="0.25">
      <c r="A2039" t="s">
        <v>2685</v>
      </c>
      <c r="B2039">
        <v>8.5000000000000006E-2</v>
      </c>
      <c r="C2039" t="str">
        <f t="shared" si="31"/>
        <v>TOWN OF LAKEWOOD VILLAGE</v>
      </c>
      <c r="D2039" t="b">
        <v>0</v>
      </c>
    </row>
    <row r="2040" spans="1:4" x14ac:dyDescent="0.25">
      <c r="A2040" t="s">
        <v>2433</v>
      </c>
      <c r="B2040">
        <v>8.5000000000000006E-2</v>
      </c>
      <c r="C2040" t="str">
        <f t="shared" si="31"/>
        <v>WALNUT COVE WSC</v>
      </c>
      <c r="D2040" t="b">
        <v>0</v>
      </c>
    </row>
    <row r="2041" spans="1:4" x14ac:dyDescent="0.25">
      <c r="A2041" t="s">
        <v>810</v>
      </c>
      <c r="B2041">
        <v>8.5000000000000006E-2</v>
      </c>
      <c r="C2041" t="str">
        <f t="shared" si="31"/>
        <v>CITY OF NEW SUMMERFIELD</v>
      </c>
      <c r="D2041" t="b">
        <v>0</v>
      </c>
    </row>
    <row r="2042" spans="1:4" x14ac:dyDescent="0.25">
      <c r="A2042" t="s">
        <v>1350</v>
      </c>
      <c r="B2042">
        <v>8.5000000000000006E-2</v>
      </c>
      <c r="C2042" t="str">
        <f t="shared" si="31"/>
        <v>EXPLORER PIPELINE CO</v>
      </c>
      <c r="D2042" t="b">
        <v>0</v>
      </c>
    </row>
    <row r="2043" spans="1:4" x14ac:dyDescent="0.25">
      <c r="A2043" t="s">
        <v>861</v>
      </c>
      <c r="B2043">
        <v>8.48E-2</v>
      </c>
      <c r="C2043" t="str">
        <f t="shared" si="31"/>
        <v>LUCITE INTERNATIONAL INC</v>
      </c>
      <c r="D2043" t="b">
        <v>0</v>
      </c>
    </row>
    <row r="2044" spans="1:4" x14ac:dyDescent="0.25">
      <c r="A2044" t="s">
        <v>2499</v>
      </c>
      <c r="B2044">
        <v>8.4690000000000001E-2</v>
      </c>
      <c r="C2044" t="str">
        <f t="shared" si="31"/>
        <v>CRYSTAL SPRINGS WATER CO INC</v>
      </c>
      <c r="D2044" t="b">
        <v>0</v>
      </c>
    </row>
    <row r="2045" spans="1:4" x14ac:dyDescent="0.25">
      <c r="A2045" t="s">
        <v>480</v>
      </c>
      <c r="B2045">
        <v>8.4000000000000005E-2</v>
      </c>
      <c r="C2045" t="str">
        <f t="shared" si="31"/>
        <v>COLORADO COUNTY WCID NO 2</v>
      </c>
      <c r="D2045" t="b">
        <v>0</v>
      </c>
    </row>
    <row r="2046" spans="1:4" x14ac:dyDescent="0.25">
      <c r="A2046" t="s">
        <v>940</v>
      </c>
      <c r="B2046">
        <v>8.4000000000000005E-2</v>
      </c>
      <c r="C2046" t="str">
        <f t="shared" si="31"/>
        <v>CITY OF MOUNT ENTERPRISE</v>
      </c>
      <c r="D2046" t="b">
        <v>0</v>
      </c>
    </row>
    <row r="2047" spans="1:4" x14ac:dyDescent="0.25">
      <c r="A2047" t="s">
        <v>2917</v>
      </c>
      <c r="B2047">
        <v>8.4000000000000005E-2</v>
      </c>
      <c r="C2047" t="str">
        <f t="shared" si="31"/>
        <v>CITY OF DECATUR</v>
      </c>
      <c r="D2047" t="b">
        <v>0</v>
      </c>
    </row>
    <row r="2048" spans="1:4" x14ac:dyDescent="0.25">
      <c r="A2048" t="s">
        <v>675</v>
      </c>
      <c r="B2048">
        <v>8.3099999999999993E-2</v>
      </c>
      <c r="C2048" t="str">
        <f t="shared" si="31"/>
        <v>AQUA TEXAS INC</v>
      </c>
      <c r="D2048" t="b">
        <v>0</v>
      </c>
    </row>
    <row r="2049" spans="1:4" x14ac:dyDescent="0.25">
      <c r="A2049" t="s">
        <v>85</v>
      </c>
      <c r="B2049">
        <v>8.3000000000000004E-2</v>
      </c>
      <c r="C2049" t="str">
        <f t="shared" si="31"/>
        <v>VENCOREX US INC</v>
      </c>
      <c r="D2049" t="b">
        <v>0</v>
      </c>
    </row>
    <row r="2050" spans="1:4" x14ac:dyDescent="0.25">
      <c r="A2050" t="s">
        <v>445</v>
      </c>
      <c r="B2050">
        <v>8.3000000000000004E-2</v>
      </c>
      <c r="C2050" t="str">
        <f t="shared" ref="C2050:C2113" si="32">VLOOKUP(A2050,PERMITTEES,2,FALSE)</f>
        <v>MATAGORDA COUNTY WCID 5</v>
      </c>
      <c r="D2050" t="b">
        <v>0</v>
      </c>
    </row>
    <row r="2051" spans="1:4" x14ac:dyDescent="0.25">
      <c r="A2051" t="s">
        <v>902</v>
      </c>
      <c r="B2051">
        <v>8.3000000000000004E-2</v>
      </c>
      <c r="C2051" t="str">
        <f t="shared" si="32"/>
        <v>HULL FWSD</v>
      </c>
      <c r="D2051" t="b">
        <v>0</v>
      </c>
    </row>
    <row r="2052" spans="1:4" x14ac:dyDescent="0.25">
      <c r="A2052" t="s">
        <v>1564</v>
      </c>
      <c r="B2052">
        <v>8.2000000000000003E-2</v>
      </c>
      <c r="C2052" t="str">
        <f t="shared" si="32"/>
        <v>CITY OF HILLCREST VILLAGE</v>
      </c>
      <c r="D2052" t="b">
        <v>0</v>
      </c>
    </row>
    <row r="2053" spans="1:4" x14ac:dyDescent="0.25">
      <c r="A2053" t="s">
        <v>2901</v>
      </c>
      <c r="B2053">
        <v>8.2000000000000003E-2</v>
      </c>
      <c r="C2053" t="str">
        <f t="shared" si="32"/>
        <v>CITY OF WILLS POINT</v>
      </c>
      <c r="D2053" t="b">
        <v>0</v>
      </c>
    </row>
    <row r="2054" spans="1:4" x14ac:dyDescent="0.25">
      <c r="A2054" t="s">
        <v>2550</v>
      </c>
      <c r="B2054">
        <v>8.1020999999999996E-2</v>
      </c>
      <c r="C2054" t="str">
        <f t="shared" si="32"/>
        <v>KIMBERLY CLARK CORP</v>
      </c>
      <c r="D2054" t="b">
        <v>0</v>
      </c>
    </row>
    <row r="2055" spans="1:4" x14ac:dyDescent="0.25">
      <c r="A2055" t="s">
        <v>2754</v>
      </c>
      <c r="B2055">
        <v>8.1000000000000003E-2</v>
      </c>
      <c r="C2055" t="str">
        <f t="shared" si="32"/>
        <v>MONARCH UTILITIES I LP</v>
      </c>
      <c r="D2055" t="b">
        <v>0</v>
      </c>
    </row>
    <row r="2056" spans="1:4" x14ac:dyDescent="0.25">
      <c r="A2056" t="s">
        <v>649</v>
      </c>
      <c r="B2056">
        <v>0.08</v>
      </c>
      <c r="C2056" t="str">
        <f t="shared" si="32"/>
        <v>UNION CARBIDE CORP</v>
      </c>
      <c r="D2056" t="b">
        <v>0</v>
      </c>
    </row>
    <row r="2057" spans="1:4" x14ac:dyDescent="0.25">
      <c r="A2057" t="s">
        <v>868</v>
      </c>
      <c r="B2057">
        <v>0.08</v>
      </c>
      <c r="C2057" t="str">
        <f t="shared" si="32"/>
        <v>HUNTSMAN(H) PETROCHEM;H INTRNTL FUELS;H PROPY OXIDE;BLUEHALL;TPC GROUP</v>
      </c>
      <c r="D2057" t="b">
        <v>0</v>
      </c>
    </row>
    <row r="2058" spans="1:4" x14ac:dyDescent="0.25">
      <c r="A2058" t="s">
        <v>1960</v>
      </c>
      <c r="B2058">
        <v>0.08</v>
      </c>
      <c r="C2058" t="str">
        <f t="shared" si="32"/>
        <v>RESCAR COMPANIES</v>
      </c>
      <c r="D2058" t="b">
        <v>0</v>
      </c>
    </row>
    <row r="2059" spans="1:4" x14ac:dyDescent="0.25">
      <c r="A2059" t="s">
        <v>2272</v>
      </c>
      <c r="B2059">
        <v>0.08</v>
      </c>
      <c r="C2059" t="str">
        <f t="shared" si="32"/>
        <v>WASTEWATER RESIDUALS MANAGEMENTS LLC</v>
      </c>
      <c r="D2059" t="b">
        <v>0</v>
      </c>
    </row>
    <row r="2060" spans="1:4" x14ac:dyDescent="0.25">
      <c r="A2060" t="s">
        <v>2129</v>
      </c>
      <c r="B2060">
        <v>7.9435000000000006E-2</v>
      </c>
      <c r="C2060" t="str">
        <f t="shared" si="32"/>
        <v>CHAMPS WATER CO</v>
      </c>
      <c r="D2060" t="b">
        <v>0</v>
      </c>
    </row>
    <row r="2061" spans="1:4" x14ac:dyDescent="0.25">
      <c r="A2061" t="s">
        <v>846</v>
      </c>
      <c r="B2061">
        <v>7.9000000000000001E-2</v>
      </c>
      <c r="C2061" t="str">
        <f t="shared" si="32"/>
        <v>TOTAL PETROCHEMICALS &amp; REFINING USA INC</v>
      </c>
      <c r="D2061" t="b">
        <v>0</v>
      </c>
    </row>
    <row r="2062" spans="1:4" x14ac:dyDescent="0.25">
      <c r="A2062" t="s">
        <v>2546</v>
      </c>
      <c r="B2062">
        <v>7.9000000000000001E-2</v>
      </c>
      <c r="C2062" t="str">
        <f t="shared" si="32"/>
        <v>CITY OF ROXTON</v>
      </c>
      <c r="D2062" t="b">
        <v>0</v>
      </c>
    </row>
    <row r="2063" spans="1:4" x14ac:dyDescent="0.25">
      <c r="A2063" t="s">
        <v>2334</v>
      </c>
      <c r="B2063">
        <v>7.9000000000000001E-2</v>
      </c>
      <c r="C2063" t="str">
        <f t="shared" si="32"/>
        <v>HARRIS COUNTY MUD NO 1</v>
      </c>
      <c r="D2063" t="b">
        <v>0</v>
      </c>
    </row>
    <row r="2064" spans="1:4" x14ac:dyDescent="0.25">
      <c r="A2064" t="s">
        <v>1764</v>
      </c>
      <c r="B2064">
        <v>7.8289999999999998E-2</v>
      </c>
      <c r="C2064" t="str">
        <f t="shared" si="32"/>
        <v>SASOL CHEMICALS USA LLC</v>
      </c>
      <c r="D2064" t="b">
        <v>0</v>
      </c>
    </row>
    <row r="2065" spans="1:4" x14ac:dyDescent="0.25">
      <c r="A2065" t="s">
        <v>1164</v>
      </c>
      <c r="B2065">
        <v>7.8E-2</v>
      </c>
      <c r="C2065" t="str">
        <f t="shared" si="32"/>
        <v>CITY OF LEFORS</v>
      </c>
      <c r="D2065" t="b">
        <v>0</v>
      </c>
    </row>
    <row r="2066" spans="1:4" x14ac:dyDescent="0.25">
      <c r="A2066" t="s">
        <v>2884</v>
      </c>
      <c r="B2066">
        <v>7.8E-2</v>
      </c>
      <c r="C2066" t="str">
        <f t="shared" si="32"/>
        <v>EMCAD WATER AND WASTEWATER LLC</v>
      </c>
      <c r="D2066" t="b">
        <v>0</v>
      </c>
    </row>
    <row r="2067" spans="1:4" x14ac:dyDescent="0.25">
      <c r="A2067" t="s">
        <v>2252</v>
      </c>
      <c r="B2067">
        <v>7.8E-2</v>
      </c>
      <c r="C2067" t="str">
        <f t="shared" si="32"/>
        <v>WLSK-PASADENA LLC</v>
      </c>
      <c r="D2067" t="b">
        <v>0</v>
      </c>
    </row>
    <row r="2068" spans="1:4" x14ac:dyDescent="0.25">
      <c r="A2068" t="s">
        <v>1763</v>
      </c>
      <c r="B2068">
        <v>7.7939999999999995E-2</v>
      </c>
      <c r="C2068" t="str">
        <f t="shared" si="32"/>
        <v>REICHHOLD LLC 2</v>
      </c>
      <c r="D2068" t="b">
        <v>0</v>
      </c>
    </row>
    <row r="2069" spans="1:4" x14ac:dyDescent="0.25">
      <c r="A2069" t="s">
        <v>693</v>
      </c>
      <c r="B2069">
        <v>7.7600000000000002E-2</v>
      </c>
      <c r="C2069" t="str">
        <f t="shared" si="32"/>
        <v>AQUA TEXAS INC</v>
      </c>
      <c r="D2069" t="b">
        <v>0</v>
      </c>
    </row>
    <row r="2070" spans="1:4" x14ac:dyDescent="0.25">
      <c r="A2070" t="s">
        <v>957</v>
      </c>
      <c r="B2070">
        <v>7.6999999999999999E-2</v>
      </c>
      <c r="C2070" t="str">
        <f t="shared" si="32"/>
        <v>DELEK REFINING LTD</v>
      </c>
      <c r="D2070" t="b">
        <v>0</v>
      </c>
    </row>
    <row r="2071" spans="1:4" x14ac:dyDescent="0.25">
      <c r="A2071" t="s">
        <v>363</v>
      </c>
      <c r="B2071">
        <v>7.6999999999999999E-2</v>
      </c>
      <c r="C2071" t="str">
        <f t="shared" si="32"/>
        <v>CITY OF THROCKMORTON</v>
      </c>
      <c r="D2071" t="b">
        <v>0</v>
      </c>
    </row>
    <row r="2072" spans="1:4" x14ac:dyDescent="0.25">
      <c r="A2072" t="s">
        <v>2331</v>
      </c>
      <c r="B2072">
        <v>7.6271000000000005E-2</v>
      </c>
      <c r="C2072" t="str">
        <f t="shared" si="32"/>
        <v>NORTHEAST HARRIS COUNTY MUD 1</v>
      </c>
      <c r="D2072" t="b">
        <v>0</v>
      </c>
    </row>
    <row r="2073" spans="1:4" x14ac:dyDescent="0.25">
      <c r="A2073" t="s">
        <v>1348</v>
      </c>
      <c r="B2073">
        <v>7.6200000000000004E-2</v>
      </c>
      <c r="C2073" t="str">
        <f t="shared" si="32"/>
        <v>CITY OF LONE OAK</v>
      </c>
      <c r="D2073" t="b">
        <v>0</v>
      </c>
    </row>
    <row r="2074" spans="1:4" x14ac:dyDescent="0.25">
      <c r="A2074" t="s">
        <v>2824</v>
      </c>
      <c r="B2074">
        <v>7.5999999999999998E-2</v>
      </c>
      <c r="C2074" t="str">
        <f t="shared" si="32"/>
        <v>CITY OF SAINT JO</v>
      </c>
      <c r="D2074" t="b">
        <v>0</v>
      </c>
    </row>
    <row r="2075" spans="1:4" x14ac:dyDescent="0.25">
      <c r="A2075" t="s">
        <v>735</v>
      </c>
      <c r="B2075">
        <v>7.5999999999999998E-2</v>
      </c>
      <c r="C2075" t="str">
        <f t="shared" si="32"/>
        <v>CITY OF MOULTON</v>
      </c>
      <c r="D2075" t="b">
        <v>0</v>
      </c>
    </row>
    <row r="2076" spans="1:4" x14ac:dyDescent="0.25">
      <c r="A2076" t="s">
        <v>937</v>
      </c>
      <c r="B2076">
        <v>7.5999999999999998E-2</v>
      </c>
      <c r="C2076" t="str">
        <f t="shared" si="32"/>
        <v>CITY OF NEW LONDON</v>
      </c>
      <c r="D2076" t="b">
        <v>0</v>
      </c>
    </row>
    <row r="2077" spans="1:4" x14ac:dyDescent="0.25">
      <c r="A2077" t="s">
        <v>1137</v>
      </c>
      <c r="B2077">
        <v>7.5999999999999998E-2</v>
      </c>
      <c r="C2077" t="str">
        <f t="shared" si="32"/>
        <v>SAN PATRICIO COUNTY MUD 1</v>
      </c>
      <c r="D2077" t="b">
        <v>0</v>
      </c>
    </row>
    <row r="2078" spans="1:4" x14ac:dyDescent="0.25">
      <c r="A2078" t="s">
        <v>776</v>
      </c>
      <c r="B2078">
        <v>7.5999999999999998E-2</v>
      </c>
      <c r="C2078" t="str">
        <f t="shared" si="32"/>
        <v>WEST JEFFERSON COUNTY MWD</v>
      </c>
      <c r="D2078" t="b">
        <v>0</v>
      </c>
    </row>
    <row r="2079" spans="1:4" x14ac:dyDescent="0.25">
      <c r="A2079" t="s">
        <v>169</v>
      </c>
      <c r="B2079">
        <v>7.5499999999999998E-2</v>
      </c>
      <c r="C2079" t="str">
        <f t="shared" si="32"/>
        <v>CITY OF ORCHARD</v>
      </c>
      <c r="D2079" t="b">
        <v>0</v>
      </c>
    </row>
    <row r="2080" spans="1:4" x14ac:dyDescent="0.25">
      <c r="A2080" t="s">
        <v>836</v>
      </c>
      <c r="B2080">
        <v>7.5346999999999997E-2</v>
      </c>
      <c r="C2080" t="str">
        <f t="shared" si="32"/>
        <v>BROOKELAND FWSD</v>
      </c>
      <c r="D2080" t="b">
        <v>0</v>
      </c>
    </row>
    <row r="2081" spans="1:4" x14ac:dyDescent="0.25">
      <c r="A2081" t="s">
        <v>1507</v>
      </c>
      <c r="B2081">
        <v>7.4999999999999997E-2</v>
      </c>
      <c r="C2081" t="e">
        <f t="shared" si="32"/>
        <v>#N/A</v>
      </c>
      <c r="D2081" t="b">
        <v>0</v>
      </c>
    </row>
    <row r="2082" spans="1:4" x14ac:dyDescent="0.25">
      <c r="A2082" t="s">
        <v>2418</v>
      </c>
      <c r="B2082">
        <v>7.4999999999999997E-2</v>
      </c>
      <c r="C2082" t="str">
        <f t="shared" si="32"/>
        <v>TEXAS NATIONAL MUD</v>
      </c>
      <c r="D2082" t="b">
        <v>0</v>
      </c>
    </row>
    <row r="2083" spans="1:4" x14ac:dyDescent="0.25">
      <c r="A2083" t="s">
        <v>634</v>
      </c>
      <c r="B2083">
        <v>7.4999999999999997E-2</v>
      </c>
      <c r="C2083" t="str">
        <f t="shared" si="32"/>
        <v>AUS-TEX PARTS &amp; SERVICE LTD</v>
      </c>
      <c r="D2083" t="b">
        <v>0</v>
      </c>
    </row>
    <row r="2084" spans="1:4" x14ac:dyDescent="0.25">
      <c r="A2084" t="s">
        <v>2605</v>
      </c>
      <c r="B2084">
        <v>7.4740000000000001E-2</v>
      </c>
      <c r="C2084" t="str">
        <f t="shared" si="32"/>
        <v>ZXP TECHNOLOGIES LLC</v>
      </c>
      <c r="D2084" t="b">
        <v>0</v>
      </c>
    </row>
    <row r="2085" spans="1:4" x14ac:dyDescent="0.25">
      <c r="A2085" t="s">
        <v>1387</v>
      </c>
      <c r="B2085">
        <v>7.46E-2</v>
      </c>
      <c r="C2085" t="str">
        <f t="shared" si="32"/>
        <v>CITY OF BECKVILLE</v>
      </c>
      <c r="D2085" t="b">
        <v>0</v>
      </c>
    </row>
    <row r="2086" spans="1:4" x14ac:dyDescent="0.25">
      <c r="A2086" t="s">
        <v>1637</v>
      </c>
      <c r="B2086">
        <v>7.3999999999999996E-2</v>
      </c>
      <c r="C2086" t="str">
        <f t="shared" si="32"/>
        <v>NUSTAR TERMINALS PARTNERS TX LP</v>
      </c>
      <c r="D2086" t="b">
        <v>0</v>
      </c>
    </row>
    <row r="2087" spans="1:4" x14ac:dyDescent="0.25">
      <c r="A2087" t="s">
        <v>272</v>
      </c>
      <c r="B2087">
        <v>7.3999999999999996E-2</v>
      </c>
      <c r="C2087" t="str">
        <f t="shared" si="32"/>
        <v>BISTONE MUNICIPAL WATER SUPPLY DIST</v>
      </c>
      <c r="D2087" t="b">
        <v>0</v>
      </c>
    </row>
    <row r="2088" spans="1:4" x14ac:dyDescent="0.25">
      <c r="A2088" t="s">
        <v>2323</v>
      </c>
      <c r="B2088">
        <v>7.3999999999999996E-2</v>
      </c>
      <c r="C2088" t="str">
        <f t="shared" si="32"/>
        <v>HARRIS COUNTY MUD NO 480</v>
      </c>
      <c r="D2088" t="b">
        <v>0</v>
      </c>
    </row>
    <row r="2089" spans="1:4" x14ac:dyDescent="0.25">
      <c r="A2089" t="s">
        <v>1154</v>
      </c>
      <c r="B2089">
        <v>7.3999999999999996E-2</v>
      </c>
      <c r="C2089" t="str">
        <f t="shared" si="32"/>
        <v>CITY OF HENRIETTA</v>
      </c>
      <c r="D2089" t="b">
        <v>0</v>
      </c>
    </row>
    <row r="2090" spans="1:4" x14ac:dyDescent="0.25">
      <c r="A2090" t="s">
        <v>2434</v>
      </c>
      <c r="B2090">
        <v>7.3499999999999996E-2</v>
      </c>
      <c r="C2090" t="str">
        <f t="shared" si="32"/>
        <v>LAKE SOUTH WSC</v>
      </c>
      <c r="D2090" t="b">
        <v>0</v>
      </c>
    </row>
    <row r="2091" spans="1:4" x14ac:dyDescent="0.25">
      <c r="A2091" t="s">
        <v>2502</v>
      </c>
      <c r="B2091">
        <v>7.3452000000000003E-2</v>
      </c>
      <c r="C2091" t="str">
        <f t="shared" si="32"/>
        <v>MONTGOMERY COUNTY MUD NO 127</v>
      </c>
      <c r="D2091" t="b">
        <v>0</v>
      </c>
    </row>
    <row r="2092" spans="1:4" x14ac:dyDescent="0.25">
      <c r="A2092" t="s">
        <v>1285</v>
      </c>
      <c r="B2092">
        <v>7.2999999999999995E-2</v>
      </c>
      <c r="C2092" t="str">
        <f t="shared" si="32"/>
        <v>POLYNT COMPOSITES USA INC</v>
      </c>
      <c r="D2092" t="b">
        <v>0</v>
      </c>
    </row>
    <row r="2093" spans="1:4" x14ac:dyDescent="0.25">
      <c r="A2093" t="s">
        <v>844</v>
      </c>
      <c r="B2093">
        <v>7.1999999999999995E-2</v>
      </c>
      <c r="C2093" t="str">
        <f t="shared" si="32"/>
        <v>MARTIN OPERATING PARTNERSHIP LP</v>
      </c>
      <c r="D2093" t="b">
        <v>0</v>
      </c>
    </row>
    <row r="2094" spans="1:4" x14ac:dyDescent="0.25">
      <c r="A2094" t="s">
        <v>886</v>
      </c>
      <c r="B2094">
        <v>7.1999999999999995E-2</v>
      </c>
      <c r="C2094" t="str">
        <f t="shared" si="32"/>
        <v>INTEGRITY GOLDEN TRIANGLE MARINE SERVICES LLC</v>
      </c>
      <c r="D2094" t="b">
        <v>0</v>
      </c>
    </row>
    <row r="2095" spans="1:4" x14ac:dyDescent="0.25">
      <c r="A2095" t="s">
        <v>2081</v>
      </c>
      <c r="B2095">
        <v>7.1999999999999995E-2</v>
      </c>
      <c r="C2095" t="str">
        <f t="shared" si="32"/>
        <v>UA HOLDINGS 1994-5 LP</v>
      </c>
      <c r="D2095" t="b">
        <v>0</v>
      </c>
    </row>
    <row r="2096" spans="1:4" x14ac:dyDescent="0.25">
      <c r="A2096" t="s">
        <v>1394</v>
      </c>
      <c r="B2096">
        <v>7.1999999999999995E-2</v>
      </c>
      <c r="C2096" t="str">
        <f t="shared" si="32"/>
        <v>CITY OF EAST TAWAKONI</v>
      </c>
      <c r="D2096" t="b">
        <v>0</v>
      </c>
    </row>
    <row r="2097" spans="1:4" x14ac:dyDescent="0.25">
      <c r="A2097" t="s">
        <v>715</v>
      </c>
      <c r="B2097">
        <v>7.1900000000000006E-2</v>
      </c>
      <c r="C2097" t="str">
        <f t="shared" si="32"/>
        <v>AQUA TEXAS INC</v>
      </c>
      <c r="D2097" t="b">
        <v>0</v>
      </c>
    </row>
    <row r="2098" spans="1:4" x14ac:dyDescent="0.25">
      <c r="A2098" t="s">
        <v>1583</v>
      </c>
      <c r="B2098">
        <v>7.0999999999999994E-2</v>
      </c>
      <c r="C2098" t="str">
        <f t="shared" si="32"/>
        <v>MANVEL UTILITIES LP</v>
      </c>
      <c r="D2098" t="b">
        <v>0</v>
      </c>
    </row>
    <row r="2099" spans="1:4" x14ac:dyDescent="0.25">
      <c r="A2099" t="s">
        <v>1604</v>
      </c>
      <c r="B2099">
        <v>7.0000000000000007E-2</v>
      </c>
      <c r="C2099" t="str">
        <f t="shared" si="32"/>
        <v>MARATHON PETROLEUM CO LP</v>
      </c>
      <c r="D2099" t="b">
        <v>0</v>
      </c>
    </row>
    <row r="2100" spans="1:4" x14ac:dyDescent="0.25">
      <c r="A2100" t="s">
        <v>151</v>
      </c>
      <c r="B2100">
        <v>7.0000000000000007E-2</v>
      </c>
      <c r="C2100" t="str">
        <f t="shared" si="32"/>
        <v>CITY OF RISING STAR</v>
      </c>
      <c r="D2100" t="b">
        <v>0</v>
      </c>
    </row>
    <row r="2101" spans="1:4" x14ac:dyDescent="0.25">
      <c r="A2101" t="s">
        <v>1645</v>
      </c>
      <c r="B2101">
        <v>7.0000000000000007E-2</v>
      </c>
      <c r="C2101" t="str">
        <f t="shared" si="32"/>
        <v>NUSTAR TERMINALS OPERATIONS PARTNERSHIP LP</v>
      </c>
      <c r="D2101" t="b">
        <v>0</v>
      </c>
    </row>
    <row r="2102" spans="1:4" x14ac:dyDescent="0.25">
      <c r="A2102" t="s">
        <v>67</v>
      </c>
      <c r="B2102">
        <v>7.0000000000000007E-2</v>
      </c>
      <c r="C2102" t="str">
        <f t="shared" si="32"/>
        <v>UNIVERSAL SERVICES FORT HOOD INC</v>
      </c>
      <c r="D2102" t="b">
        <v>0</v>
      </c>
    </row>
    <row r="2103" spans="1:4" x14ac:dyDescent="0.25">
      <c r="A2103" t="s">
        <v>1351</v>
      </c>
      <c r="B2103">
        <v>7.0000000000000007E-2</v>
      </c>
      <c r="C2103" t="str">
        <f t="shared" si="32"/>
        <v>EXPLORER PIPELINE CO</v>
      </c>
      <c r="D2103" t="b">
        <v>0</v>
      </c>
    </row>
    <row r="2104" spans="1:4" x14ac:dyDescent="0.25">
      <c r="A2104" t="s">
        <v>947</v>
      </c>
      <c r="B2104">
        <v>6.9870000000000002E-2</v>
      </c>
      <c r="C2104" t="str">
        <f t="shared" si="32"/>
        <v>CITY OF SAN AUGUSTINE</v>
      </c>
      <c r="D2104" t="b">
        <v>0</v>
      </c>
    </row>
    <row r="2105" spans="1:4" x14ac:dyDescent="0.25">
      <c r="A2105" t="s">
        <v>1462</v>
      </c>
      <c r="B2105">
        <v>6.9400000000000003E-2</v>
      </c>
      <c r="C2105" t="str">
        <f t="shared" si="32"/>
        <v>SKIDMORE WSC</v>
      </c>
      <c r="D2105" t="b">
        <v>0</v>
      </c>
    </row>
    <row r="2106" spans="1:4" x14ac:dyDescent="0.25">
      <c r="A2106" t="s">
        <v>2255</v>
      </c>
      <c r="B2106">
        <v>6.9199999999999998E-2</v>
      </c>
      <c r="C2106" t="str">
        <f t="shared" si="32"/>
        <v>AQUA UTILITIES INC</v>
      </c>
      <c r="D2106" t="b">
        <v>0</v>
      </c>
    </row>
    <row r="2107" spans="1:4" x14ac:dyDescent="0.25">
      <c r="A2107" t="s">
        <v>395</v>
      </c>
      <c r="B2107">
        <v>6.9099999999999995E-2</v>
      </c>
      <c r="C2107" t="str">
        <f t="shared" si="32"/>
        <v>CITY OF GRUVER</v>
      </c>
      <c r="D2107" t="b">
        <v>0</v>
      </c>
    </row>
    <row r="2108" spans="1:4" x14ac:dyDescent="0.25">
      <c r="A2108" t="s">
        <v>135</v>
      </c>
      <c r="B2108">
        <v>6.9000000000000006E-2</v>
      </c>
      <c r="C2108" t="str">
        <f t="shared" si="32"/>
        <v>CITY OF SNOOK</v>
      </c>
      <c r="D2108" t="b">
        <v>0</v>
      </c>
    </row>
    <row r="2109" spans="1:4" x14ac:dyDescent="0.25">
      <c r="A2109" t="s">
        <v>2128</v>
      </c>
      <c r="B2109">
        <v>6.9000000000000006E-2</v>
      </c>
      <c r="C2109" t="str">
        <f t="shared" si="32"/>
        <v>WESTFIELD MOBILE HOME COMMUNITY LTD</v>
      </c>
      <c r="D2109" t="b">
        <v>0</v>
      </c>
    </row>
    <row r="2110" spans="1:4" x14ac:dyDescent="0.25">
      <c r="A2110" t="s">
        <v>2454</v>
      </c>
      <c r="B2110">
        <v>6.9000000000000006E-2</v>
      </c>
      <c r="C2110" t="str">
        <f t="shared" si="32"/>
        <v>WOOD TRACE MUD 1</v>
      </c>
      <c r="D2110" t="b">
        <v>0</v>
      </c>
    </row>
    <row r="2111" spans="1:4" x14ac:dyDescent="0.25">
      <c r="A2111" t="s">
        <v>2717</v>
      </c>
      <c r="B2111">
        <v>6.8699999999999997E-2</v>
      </c>
      <c r="C2111" t="str">
        <f t="shared" si="32"/>
        <v>NORTH TEXAS DIST COUNCIL ASSEMBLIES OF GOD</v>
      </c>
      <c r="D2111" t="b">
        <v>0</v>
      </c>
    </row>
    <row r="2112" spans="1:4" x14ac:dyDescent="0.25">
      <c r="A2112" t="s">
        <v>2420</v>
      </c>
      <c r="B2112">
        <v>6.8000000000000005E-2</v>
      </c>
      <c r="C2112" t="str">
        <f t="shared" si="32"/>
        <v>LAZY RIVER IMPROVEMENT DISTRICT</v>
      </c>
      <c r="D2112" t="b">
        <v>0</v>
      </c>
    </row>
    <row r="2113" spans="1:4" x14ac:dyDescent="0.25">
      <c r="A2113" t="s">
        <v>2538</v>
      </c>
      <c r="B2113">
        <v>6.8000000000000005E-2</v>
      </c>
      <c r="C2113" t="str">
        <f t="shared" si="32"/>
        <v>CITY OF BAILEY</v>
      </c>
      <c r="D2113" t="b">
        <v>0</v>
      </c>
    </row>
    <row r="2114" spans="1:4" x14ac:dyDescent="0.25">
      <c r="A2114" t="s">
        <v>778</v>
      </c>
      <c r="B2114">
        <v>6.8000000000000005E-2</v>
      </c>
      <c r="C2114" t="str">
        <f t="shared" ref="C2114:C2177" si="33">VLOOKUP(A2114,PERMITTEES,2,FALSE)</f>
        <v>PORT ARTHUR STEAM ENERGY LP</v>
      </c>
      <c r="D2114" t="b">
        <v>0</v>
      </c>
    </row>
    <row r="2115" spans="1:4" x14ac:dyDescent="0.25">
      <c r="A2115" t="s">
        <v>2484</v>
      </c>
      <c r="B2115">
        <v>6.787E-2</v>
      </c>
      <c r="C2115" t="str">
        <f t="shared" si="33"/>
        <v>QUADVEST LP</v>
      </c>
      <c r="D2115" t="b">
        <v>0</v>
      </c>
    </row>
    <row r="2116" spans="1:4" x14ac:dyDescent="0.25">
      <c r="A2116" t="s">
        <v>2435</v>
      </c>
      <c r="B2116">
        <v>6.7822999999999994E-2</v>
      </c>
      <c r="C2116" t="str">
        <f t="shared" si="33"/>
        <v>MONTGOMERY COUNTY MUD 56</v>
      </c>
      <c r="D2116" t="b">
        <v>0</v>
      </c>
    </row>
    <row r="2117" spans="1:4" x14ac:dyDescent="0.25">
      <c r="A2117" t="s">
        <v>1727</v>
      </c>
      <c r="B2117">
        <v>6.7110000000000003E-2</v>
      </c>
      <c r="C2117" t="str">
        <f t="shared" si="33"/>
        <v>PRAXAIR INC</v>
      </c>
      <c r="D2117" t="b">
        <v>0</v>
      </c>
    </row>
    <row r="2118" spans="1:4" x14ac:dyDescent="0.25">
      <c r="A2118" t="s">
        <v>2745</v>
      </c>
      <c r="B2118">
        <v>6.7007999999999998E-2</v>
      </c>
      <c r="C2118" t="str">
        <f t="shared" si="33"/>
        <v>CITY OF MABANK</v>
      </c>
      <c r="D2118" t="b">
        <v>0</v>
      </c>
    </row>
    <row r="2119" spans="1:4" x14ac:dyDescent="0.25">
      <c r="A2119" t="s">
        <v>1618</v>
      </c>
      <c r="B2119">
        <v>6.7000000000000004E-2</v>
      </c>
      <c r="C2119" t="str">
        <f t="shared" si="33"/>
        <v>EASTMAN CHEMICAL TEXAS CITY INC</v>
      </c>
      <c r="D2119" t="b">
        <v>0</v>
      </c>
    </row>
    <row r="2120" spans="1:4" x14ac:dyDescent="0.25">
      <c r="A2120" t="s">
        <v>1342</v>
      </c>
      <c r="B2120">
        <v>6.7000000000000004E-2</v>
      </c>
      <c r="C2120" t="str">
        <f t="shared" si="33"/>
        <v>CITY OF CELESTE</v>
      </c>
      <c r="D2120" t="b">
        <v>0</v>
      </c>
    </row>
    <row r="2121" spans="1:4" x14ac:dyDescent="0.25">
      <c r="A2121" t="s">
        <v>1501</v>
      </c>
      <c r="B2121">
        <v>6.7000000000000004E-2</v>
      </c>
      <c r="C2121" t="str">
        <f t="shared" si="33"/>
        <v>CITY PUBLIC SERVICE OF SAN ANTONIO</v>
      </c>
      <c r="D2121" t="b">
        <v>0</v>
      </c>
    </row>
    <row r="2122" spans="1:4" x14ac:dyDescent="0.25">
      <c r="A2122" t="s">
        <v>274</v>
      </c>
      <c r="B2122">
        <v>6.7000000000000004E-2</v>
      </c>
      <c r="C2122" t="str">
        <f t="shared" si="33"/>
        <v>CITY OF GROESBECK</v>
      </c>
      <c r="D2122" t="b">
        <v>0</v>
      </c>
    </row>
    <row r="2123" spans="1:4" x14ac:dyDescent="0.25">
      <c r="A2123" t="s">
        <v>1096</v>
      </c>
      <c r="B2123">
        <v>6.7000000000000004E-2</v>
      </c>
      <c r="C2123" t="str">
        <f t="shared" si="33"/>
        <v>NUECES COUNTY WCID NO 5</v>
      </c>
      <c r="D2123" t="b">
        <v>0</v>
      </c>
    </row>
    <row r="2124" spans="1:4" x14ac:dyDescent="0.25">
      <c r="A2124" t="s">
        <v>1234</v>
      </c>
      <c r="B2124">
        <v>6.6900000000000001E-2</v>
      </c>
      <c r="C2124" t="str">
        <f t="shared" si="33"/>
        <v>FORT DAVIS WSC</v>
      </c>
      <c r="D2124" t="b">
        <v>0</v>
      </c>
    </row>
    <row r="2125" spans="1:4" x14ac:dyDescent="0.25">
      <c r="A2125" t="s">
        <v>2660</v>
      </c>
      <c r="B2125">
        <v>6.6799999999999998E-2</v>
      </c>
      <c r="C2125" t="str">
        <f t="shared" si="33"/>
        <v>CITY OF CALLISBURG</v>
      </c>
      <c r="D2125" t="b">
        <v>0</v>
      </c>
    </row>
    <row r="2126" spans="1:4" x14ac:dyDescent="0.25">
      <c r="A2126" t="s">
        <v>993</v>
      </c>
      <c r="B2126">
        <v>6.6199999999999995E-2</v>
      </c>
      <c r="C2126" t="str">
        <f t="shared" si="33"/>
        <v>EAST RIO HONDO WSC</v>
      </c>
      <c r="D2126" t="b">
        <v>0</v>
      </c>
    </row>
    <row r="2127" spans="1:4" x14ac:dyDescent="0.25">
      <c r="A2127" t="s">
        <v>1378</v>
      </c>
      <c r="B2127">
        <v>6.6000000000000003E-2</v>
      </c>
      <c r="C2127" t="str">
        <f t="shared" si="33"/>
        <v>CITY OF ORANGE</v>
      </c>
      <c r="D2127" t="b">
        <v>0</v>
      </c>
    </row>
    <row r="2128" spans="1:4" x14ac:dyDescent="0.25">
      <c r="A2128" t="s">
        <v>1083</v>
      </c>
      <c r="B2128">
        <v>6.6000000000000003E-2</v>
      </c>
      <c r="C2128" t="str">
        <f t="shared" si="33"/>
        <v>CITY OF DRISCOLL</v>
      </c>
      <c r="D2128" t="b">
        <v>0</v>
      </c>
    </row>
    <row r="2129" spans="1:4" x14ac:dyDescent="0.25">
      <c r="A2129" t="s">
        <v>2447</v>
      </c>
      <c r="B2129">
        <v>6.6000000000000003E-2</v>
      </c>
      <c r="C2129" t="str">
        <f t="shared" si="33"/>
        <v>CLOVERCREEK MUD</v>
      </c>
      <c r="D2129" t="b">
        <v>0</v>
      </c>
    </row>
    <row r="2130" spans="1:4" x14ac:dyDescent="0.25">
      <c r="A2130" t="s">
        <v>2277</v>
      </c>
      <c r="B2130">
        <v>6.6000000000000003E-2</v>
      </c>
      <c r="C2130" t="str">
        <f t="shared" si="33"/>
        <v>HARRIS COUNTY MUD NO 366</v>
      </c>
      <c r="D2130" t="b">
        <v>0</v>
      </c>
    </row>
    <row r="2131" spans="1:4" x14ac:dyDescent="0.25">
      <c r="A2131" t="s">
        <v>1717</v>
      </c>
      <c r="B2131">
        <v>6.6000000000000003E-2</v>
      </c>
      <c r="C2131" t="str">
        <f t="shared" si="33"/>
        <v>FORT BEND COUNTY MUD 206</v>
      </c>
      <c r="D2131" t="b">
        <v>0</v>
      </c>
    </row>
    <row r="2132" spans="1:4" x14ac:dyDescent="0.25">
      <c r="A2132" t="s">
        <v>1153</v>
      </c>
      <c r="B2132">
        <v>6.5699999999999995E-2</v>
      </c>
      <c r="C2132" t="str">
        <f t="shared" si="33"/>
        <v>CITY OF BYERS</v>
      </c>
      <c r="D2132" t="b">
        <v>0</v>
      </c>
    </row>
    <row r="2133" spans="1:4" x14ac:dyDescent="0.25">
      <c r="A2133" t="s">
        <v>2762</v>
      </c>
      <c r="B2133">
        <v>6.54E-2</v>
      </c>
      <c r="C2133" t="str">
        <f t="shared" si="33"/>
        <v>MONARCH UTILITIES I LP</v>
      </c>
      <c r="D2133" t="b">
        <v>0</v>
      </c>
    </row>
    <row r="2134" spans="1:4" x14ac:dyDescent="0.25">
      <c r="A2134" t="s">
        <v>212</v>
      </c>
      <c r="B2134">
        <v>6.5199999999999994E-2</v>
      </c>
      <c r="C2134" t="str">
        <f t="shared" si="33"/>
        <v>FORT BEND COUNTY MUD NO 142</v>
      </c>
      <c r="D2134" t="b">
        <v>0</v>
      </c>
    </row>
    <row r="2135" spans="1:4" x14ac:dyDescent="0.25">
      <c r="A2135" t="s">
        <v>256</v>
      </c>
      <c r="B2135">
        <v>6.5000000000000002E-2</v>
      </c>
      <c r="C2135" t="str">
        <f t="shared" si="33"/>
        <v>CITY OF KNOX CITY</v>
      </c>
      <c r="D2135" t="b">
        <v>0</v>
      </c>
    </row>
    <row r="2136" spans="1:4" x14ac:dyDescent="0.25">
      <c r="A2136" t="s">
        <v>2506</v>
      </c>
      <c r="B2136">
        <v>6.5000000000000002E-2</v>
      </c>
      <c r="C2136" t="str">
        <f t="shared" si="33"/>
        <v>CONROE ISD</v>
      </c>
      <c r="D2136" t="b">
        <v>0</v>
      </c>
    </row>
    <row r="2137" spans="1:4" x14ac:dyDescent="0.25">
      <c r="A2137" t="s">
        <v>2478</v>
      </c>
      <c r="B2137">
        <v>6.4259999999999998E-2</v>
      </c>
      <c r="C2137" t="str">
        <f t="shared" si="33"/>
        <v>QUADVEST LP</v>
      </c>
      <c r="D2137" t="b">
        <v>0</v>
      </c>
    </row>
    <row r="2138" spans="1:4" x14ac:dyDescent="0.25">
      <c r="A2138" t="s">
        <v>273</v>
      </c>
      <c r="B2138">
        <v>6.4000000000000001E-2</v>
      </c>
      <c r="C2138" t="str">
        <f t="shared" si="33"/>
        <v>CITY OF KOSSE</v>
      </c>
      <c r="D2138" t="b">
        <v>0</v>
      </c>
    </row>
    <row r="2139" spans="1:4" x14ac:dyDescent="0.25">
      <c r="A2139" t="s">
        <v>1201</v>
      </c>
      <c r="B2139">
        <v>6.4000000000000001E-2</v>
      </c>
      <c r="C2139" t="str">
        <f t="shared" si="33"/>
        <v>CITY OF VERNON</v>
      </c>
      <c r="D2139" t="b">
        <v>0</v>
      </c>
    </row>
    <row r="2140" spans="1:4" x14ac:dyDescent="0.25">
      <c r="A2140" t="s">
        <v>2421</v>
      </c>
      <c r="B2140">
        <v>6.3967999999999997E-2</v>
      </c>
      <c r="C2140" t="str">
        <f t="shared" si="33"/>
        <v>MONTGOMERY COUNTY MUD NO 24</v>
      </c>
      <c r="D2140" t="b">
        <v>0</v>
      </c>
    </row>
    <row r="2141" spans="1:4" x14ac:dyDescent="0.25">
      <c r="A2141" t="s">
        <v>2808</v>
      </c>
      <c r="B2141">
        <v>6.3E-2</v>
      </c>
      <c r="C2141" t="str">
        <f t="shared" si="33"/>
        <v>CITY OF OAKWOOD</v>
      </c>
      <c r="D2141" t="b">
        <v>0</v>
      </c>
    </row>
    <row r="2142" spans="1:4" x14ac:dyDescent="0.25">
      <c r="A2142" t="s">
        <v>1695</v>
      </c>
      <c r="B2142">
        <v>6.2E-2</v>
      </c>
      <c r="C2142" t="str">
        <f t="shared" si="33"/>
        <v>HARRIS COUNTY MUD NO 531</v>
      </c>
      <c r="D2142" t="b">
        <v>0</v>
      </c>
    </row>
    <row r="2143" spans="1:4" x14ac:dyDescent="0.25">
      <c r="A2143" t="s">
        <v>1522</v>
      </c>
      <c r="B2143">
        <v>6.2E-2</v>
      </c>
      <c r="C2143" t="str">
        <f t="shared" si="33"/>
        <v>CITY OF SCHERTZ AND CIBOLO CREEK MUNICIPAL AUTHORITY</v>
      </c>
      <c r="D2143" t="b">
        <v>0</v>
      </c>
    </row>
    <row r="2144" spans="1:4" x14ac:dyDescent="0.25">
      <c r="A2144" t="s">
        <v>1555</v>
      </c>
      <c r="B2144">
        <v>6.1800000000000001E-2</v>
      </c>
      <c r="C2144" t="str">
        <f t="shared" si="33"/>
        <v>PHILLIPS 66 CO</v>
      </c>
      <c r="D2144" t="b">
        <v>0</v>
      </c>
    </row>
    <row r="2145" spans="1:4" x14ac:dyDescent="0.25">
      <c r="A2145" t="s">
        <v>120</v>
      </c>
      <c r="B2145">
        <v>6.1699999999999998E-2</v>
      </c>
      <c r="C2145" t="str">
        <f t="shared" si="33"/>
        <v>CITY OF BRYAN</v>
      </c>
      <c r="D2145" t="b">
        <v>0</v>
      </c>
    </row>
    <row r="2146" spans="1:4" x14ac:dyDescent="0.25">
      <c r="A2146" t="s">
        <v>304</v>
      </c>
      <c r="B2146">
        <v>6.1209E-2</v>
      </c>
      <c r="C2146" t="str">
        <f t="shared" si="33"/>
        <v>TOWN OF BUCKHOLTS</v>
      </c>
      <c r="D2146" t="b">
        <v>0</v>
      </c>
    </row>
    <row r="2147" spans="1:4" x14ac:dyDescent="0.25">
      <c r="A2147" t="s">
        <v>2168</v>
      </c>
      <c r="B2147">
        <v>6.1133E-2</v>
      </c>
      <c r="C2147" t="str">
        <f t="shared" si="33"/>
        <v>ALDINE ISD</v>
      </c>
      <c r="D2147" t="b">
        <v>0</v>
      </c>
    </row>
    <row r="2148" spans="1:4" x14ac:dyDescent="0.25">
      <c r="A2148" t="s">
        <v>210</v>
      </c>
      <c r="B2148">
        <v>6.1100000000000002E-2</v>
      </c>
      <c r="C2148" t="str">
        <f t="shared" si="33"/>
        <v>FORT BEND COUNTY MUD 143</v>
      </c>
      <c r="D2148" t="b">
        <v>0</v>
      </c>
    </row>
    <row r="2149" spans="1:4" x14ac:dyDescent="0.25">
      <c r="A2149" t="s">
        <v>2719</v>
      </c>
      <c r="B2149">
        <v>6.0999999999999999E-2</v>
      </c>
      <c r="C2149" t="str">
        <f t="shared" si="33"/>
        <v>THE SALVATION ARMY</v>
      </c>
      <c r="D2149" t="b">
        <v>0</v>
      </c>
    </row>
    <row r="2150" spans="1:4" x14ac:dyDescent="0.25">
      <c r="A2150" t="s">
        <v>2451</v>
      </c>
      <c r="B2150">
        <v>6.0516E-2</v>
      </c>
      <c r="C2150" t="str">
        <f t="shared" si="33"/>
        <v>LIBERTY UTILITIES (SILVERLEAF WATER) LLC</v>
      </c>
      <c r="D2150" t="b">
        <v>0</v>
      </c>
    </row>
    <row r="2151" spans="1:4" x14ac:dyDescent="0.25">
      <c r="A2151" t="s">
        <v>2328</v>
      </c>
      <c r="B2151">
        <v>6.0499999999999998E-2</v>
      </c>
      <c r="C2151" t="str">
        <f t="shared" si="33"/>
        <v>NORTHWEST HARRIS CO MUD NO 10</v>
      </c>
      <c r="D2151" t="b">
        <v>0</v>
      </c>
    </row>
    <row r="2152" spans="1:4" x14ac:dyDescent="0.25">
      <c r="A2152" t="s">
        <v>1766</v>
      </c>
      <c r="B2152">
        <v>6.0249999999999998E-2</v>
      </c>
      <c r="C2152" t="str">
        <f t="shared" si="33"/>
        <v>SASOL CHEMICALS USA LLC</v>
      </c>
      <c r="D2152" t="b">
        <v>0</v>
      </c>
    </row>
    <row r="2153" spans="1:4" x14ac:dyDescent="0.25">
      <c r="A2153" t="s">
        <v>1250</v>
      </c>
      <c r="B2153">
        <v>0.06</v>
      </c>
      <c r="C2153" t="str">
        <f t="shared" si="33"/>
        <v>LAREDO WLE LP</v>
      </c>
      <c r="D2153" t="b">
        <v>0</v>
      </c>
    </row>
    <row r="2154" spans="1:4" x14ac:dyDescent="0.25">
      <c r="A2154" t="s">
        <v>599</v>
      </c>
      <c r="B2154">
        <v>0.06</v>
      </c>
      <c r="C2154" t="str">
        <f t="shared" si="33"/>
        <v>DIANA SPECIAL UTILITY DISTRICT</v>
      </c>
      <c r="D2154" t="b">
        <v>0</v>
      </c>
    </row>
    <row r="2155" spans="1:4" x14ac:dyDescent="0.25">
      <c r="A2155" t="s">
        <v>828</v>
      </c>
      <c r="B2155">
        <v>0.06</v>
      </c>
      <c r="C2155" t="str">
        <f t="shared" si="33"/>
        <v>CITY OF MURCHISON</v>
      </c>
      <c r="D2155" t="b">
        <v>0</v>
      </c>
    </row>
    <row r="2156" spans="1:4" x14ac:dyDescent="0.25">
      <c r="A2156" t="s">
        <v>2427</v>
      </c>
      <c r="B2156">
        <v>0.06</v>
      </c>
      <c r="C2156" t="str">
        <f t="shared" si="33"/>
        <v>MONTGOMERY COUNTY MUD 16</v>
      </c>
      <c r="D2156" t="b">
        <v>0</v>
      </c>
    </row>
    <row r="2157" spans="1:4" x14ac:dyDescent="0.25">
      <c r="A2157" t="s">
        <v>2348</v>
      </c>
      <c r="B2157">
        <v>0.06</v>
      </c>
      <c r="C2157" t="str">
        <f t="shared" si="33"/>
        <v>SOUTH ATLANTIC SERVICES INC</v>
      </c>
      <c r="D2157" t="b">
        <v>0</v>
      </c>
    </row>
    <row r="2158" spans="1:4" x14ac:dyDescent="0.25">
      <c r="A2158" t="s">
        <v>640</v>
      </c>
      <c r="B2158">
        <v>5.9700000000000003E-2</v>
      </c>
      <c r="C2158" t="str">
        <f t="shared" si="33"/>
        <v>VICTORIA WLE LP</v>
      </c>
      <c r="D2158" t="b">
        <v>0</v>
      </c>
    </row>
    <row r="2159" spans="1:4" x14ac:dyDescent="0.25">
      <c r="A2159" t="s">
        <v>2880</v>
      </c>
      <c r="B2159">
        <v>5.8999999999999997E-2</v>
      </c>
      <c r="C2159" t="str">
        <f t="shared" si="33"/>
        <v>SAINT FRANCIS VILLAGE INC</v>
      </c>
      <c r="D2159" t="b">
        <v>0</v>
      </c>
    </row>
    <row r="2160" spans="1:4" x14ac:dyDescent="0.25">
      <c r="A2160" t="s">
        <v>26</v>
      </c>
      <c r="B2160">
        <v>5.8999999999999997E-2</v>
      </c>
      <c r="C2160" t="str">
        <f t="shared" si="33"/>
        <v>NEEDVILLE ISD</v>
      </c>
      <c r="D2160" t="b">
        <v>0</v>
      </c>
    </row>
    <row r="2161" spans="1:4" x14ac:dyDescent="0.25">
      <c r="A2161" t="s">
        <v>1208</v>
      </c>
      <c r="B2161">
        <v>5.8999999999999997E-2</v>
      </c>
      <c r="C2161" t="str">
        <f t="shared" si="33"/>
        <v>BROWNSVILLE PUBLIC UTILITIES BOARD</v>
      </c>
      <c r="D2161" t="b">
        <v>0</v>
      </c>
    </row>
    <row r="2162" spans="1:4" x14ac:dyDescent="0.25">
      <c r="A2162" t="s">
        <v>484</v>
      </c>
      <c r="B2162">
        <v>5.8999999999999997E-2</v>
      </c>
      <c r="C2162" t="str">
        <f t="shared" si="33"/>
        <v>CITY OF COLUMBUS</v>
      </c>
      <c r="D2162" t="b">
        <v>0</v>
      </c>
    </row>
    <row r="2163" spans="1:4" x14ac:dyDescent="0.25">
      <c r="A2163" t="s">
        <v>2519</v>
      </c>
      <c r="B2163">
        <v>5.8999999999999997E-2</v>
      </c>
      <c r="C2163" t="str">
        <f t="shared" si="33"/>
        <v>WALLER COUNTY RID 1</v>
      </c>
      <c r="D2163" t="b">
        <v>0</v>
      </c>
    </row>
    <row r="2164" spans="1:4" x14ac:dyDescent="0.25">
      <c r="A2164" t="s">
        <v>1762</v>
      </c>
      <c r="B2164">
        <v>5.8435000000000001E-2</v>
      </c>
      <c r="C2164" t="str">
        <f t="shared" si="33"/>
        <v>MARTIN PRODUCT SALES LLC</v>
      </c>
      <c r="D2164" t="b">
        <v>0</v>
      </c>
    </row>
    <row r="2165" spans="1:4" x14ac:dyDescent="0.25">
      <c r="A2165" t="s">
        <v>2423</v>
      </c>
      <c r="B2165">
        <v>5.8099999999999999E-2</v>
      </c>
      <c r="C2165" t="str">
        <f t="shared" si="33"/>
        <v>TOWN OF WOODLOCH</v>
      </c>
      <c r="D2165" t="b">
        <v>0</v>
      </c>
    </row>
    <row r="2166" spans="1:4" x14ac:dyDescent="0.25">
      <c r="A2166" t="s">
        <v>1178</v>
      </c>
      <c r="B2166">
        <v>5.8000000000000003E-2</v>
      </c>
      <c r="C2166" t="str">
        <f t="shared" si="33"/>
        <v>CITY OF CHILLICOTHE</v>
      </c>
      <c r="D2166" t="b">
        <v>0</v>
      </c>
    </row>
    <row r="2167" spans="1:4" x14ac:dyDescent="0.25">
      <c r="A2167" t="s">
        <v>747</v>
      </c>
      <c r="B2167">
        <v>5.7808999999999999E-2</v>
      </c>
      <c r="C2167" t="str">
        <f t="shared" si="33"/>
        <v>BASF CORPORATION</v>
      </c>
      <c r="D2167" t="b">
        <v>0</v>
      </c>
    </row>
    <row r="2168" spans="1:4" x14ac:dyDescent="0.25">
      <c r="A2168" t="s">
        <v>1523</v>
      </c>
      <c r="B2168">
        <v>5.7000000000000002E-2</v>
      </c>
      <c r="C2168" t="str">
        <f t="shared" si="33"/>
        <v>DHJB DEVELOPMENT LLC</v>
      </c>
      <c r="D2168" t="b">
        <v>0</v>
      </c>
    </row>
    <row r="2169" spans="1:4" x14ac:dyDescent="0.25">
      <c r="A2169" t="s">
        <v>2164</v>
      </c>
      <c r="B2169">
        <v>5.6732999999999999E-2</v>
      </c>
      <c r="C2169" t="str">
        <f t="shared" si="33"/>
        <v>HARRIS COUNTY MUD NO 250</v>
      </c>
      <c r="D2169" t="b">
        <v>0</v>
      </c>
    </row>
    <row r="2170" spans="1:4" x14ac:dyDescent="0.25">
      <c r="A2170" t="s">
        <v>691</v>
      </c>
      <c r="B2170">
        <v>5.6599999999999998E-2</v>
      </c>
      <c r="C2170" t="str">
        <f t="shared" si="33"/>
        <v>VICTORIA COUNTY WCID 2</v>
      </c>
      <c r="D2170" t="b">
        <v>0</v>
      </c>
    </row>
    <row r="2171" spans="1:4" x14ac:dyDescent="0.25">
      <c r="A2171" t="s">
        <v>1131</v>
      </c>
      <c r="B2171">
        <v>5.6493000000000002E-2</v>
      </c>
      <c r="C2171" t="str">
        <f t="shared" si="33"/>
        <v>MCMULLEN COUNTY</v>
      </c>
      <c r="D2171" t="b">
        <v>0</v>
      </c>
    </row>
    <row r="2172" spans="1:4" x14ac:dyDescent="0.25">
      <c r="A2172" t="s">
        <v>2557</v>
      </c>
      <c r="B2172">
        <v>5.6000000000000001E-2</v>
      </c>
      <c r="C2172" t="str">
        <f t="shared" si="33"/>
        <v>CITY OF DETROIT</v>
      </c>
      <c r="D2172" t="b">
        <v>0</v>
      </c>
    </row>
    <row r="2173" spans="1:4" x14ac:dyDescent="0.25">
      <c r="A2173" t="s">
        <v>441</v>
      </c>
      <c r="B2173">
        <v>5.6000000000000001E-2</v>
      </c>
      <c r="C2173" t="str">
        <f t="shared" si="33"/>
        <v>JACKSON COUNTY WCID 1</v>
      </c>
      <c r="D2173" t="b">
        <v>0</v>
      </c>
    </row>
    <row r="2174" spans="1:4" x14ac:dyDescent="0.25">
      <c r="A2174" t="s">
        <v>488</v>
      </c>
      <c r="B2174">
        <v>5.6000000000000001E-2</v>
      </c>
      <c r="C2174" t="str">
        <f t="shared" si="33"/>
        <v>CITY OF ROCKSPRINGS</v>
      </c>
      <c r="D2174" t="b">
        <v>0</v>
      </c>
    </row>
    <row r="2175" spans="1:4" x14ac:dyDescent="0.25">
      <c r="A2175" t="s">
        <v>2810</v>
      </c>
      <c r="B2175">
        <v>5.5800000000000002E-2</v>
      </c>
      <c r="C2175" t="str">
        <f t="shared" si="33"/>
        <v>CITY OF DEVERS</v>
      </c>
      <c r="D2175" t="b">
        <v>0</v>
      </c>
    </row>
    <row r="2176" spans="1:4" x14ac:dyDescent="0.25">
      <c r="A2176" t="s">
        <v>2560</v>
      </c>
      <c r="B2176">
        <v>5.5E-2</v>
      </c>
      <c r="C2176" t="str">
        <f t="shared" si="33"/>
        <v>CITY OF TALCO</v>
      </c>
      <c r="D2176" t="b">
        <v>0</v>
      </c>
    </row>
    <row r="2177" spans="1:4" x14ac:dyDescent="0.25">
      <c r="A2177" t="s">
        <v>474</v>
      </c>
      <c r="B2177">
        <v>5.5E-2</v>
      </c>
      <c r="C2177" t="str">
        <f t="shared" si="33"/>
        <v>CITY OF ROBERT LEE</v>
      </c>
      <c r="D2177" t="b">
        <v>0</v>
      </c>
    </row>
    <row r="2178" spans="1:4" x14ac:dyDescent="0.25">
      <c r="A2178" t="s">
        <v>2822</v>
      </c>
      <c r="B2178">
        <v>5.5E-2</v>
      </c>
      <c r="C2178" t="str">
        <f t="shared" ref="C2178:C2241" si="34">VLOOKUP(A2178,PERMITTEES,2,FALSE)</f>
        <v>MONTEREY MUSHROOMS INC</v>
      </c>
      <c r="D2178" t="b">
        <v>0</v>
      </c>
    </row>
    <row r="2179" spans="1:4" x14ac:dyDescent="0.25">
      <c r="A2179" t="s">
        <v>1393</v>
      </c>
      <c r="B2179">
        <v>5.5E-2</v>
      </c>
      <c r="C2179" t="str">
        <f t="shared" si="34"/>
        <v>CITY OF POINT</v>
      </c>
      <c r="D2179" t="b">
        <v>0</v>
      </c>
    </row>
    <row r="2180" spans="1:4" x14ac:dyDescent="0.25">
      <c r="A2180" t="s">
        <v>2242</v>
      </c>
      <c r="B2180">
        <v>5.5E-2</v>
      </c>
      <c r="C2180" t="str">
        <f t="shared" si="34"/>
        <v>HARRIS COUNTY MUD 24</v>
      </c>
      <c r="D2180" t="b">
        <v>0</v>
      </c>
    </row>
    <row r="2181" spans="1:4" x14ac:dyDescent="0.25">
      <c r="A2181" t="s">
        <v>1825</v>
      </c>
      <c r="B2181">
        <v>5.4800000000000001E-2</v>
      </c>
      <c r="C2181" t="str">
        <f t="shared" si="34"/>
        <v>GREENSPORT SHIP CHANNEL PARTNERS LP</v>
      </c>
      <c r="D2181" t="b">
        <v>0</v>
      </c>
    </row>
    <row r="2182" spans="1:4" x14ac:dyDescent="0.25">
      <c r="A2182" t="s">
        <v>2358</v>
      </c>
      <c r="B2182">
        <v>5.45E-2</v>
      </c>
      <c r="C2182" t="str">
        <f t="shared" si="34"/>
        <v>529 #35 LTD</v>
      </c>
      <c r="D2182" t="b">
        <v>0</v>
      </c>
    </row>
    <row r="2183" spans="1:4" x14ac:dyDescent="0.25">
      <c r="A2183" t="s">
        <v>2306</v>
      </c>
      <c r="B2183">
        <v>5.4300000000000001E-2</v>
      </c>
      <c r="C2183" t="str">
        <f t="shared" si="34"/>
        <v>PRAXAIR INC</v>
      </c>
      <c r="D2183" t="b">
        <v>0</v>
      </c>
    </row>
    <row r="2184" spans="1:4" x14ac:dyDescent="0.25">
      <c r="A2184" t="s">
        <v>2704</v>
      </c>
      <c r="B2184">
        <v>5.4163000000000003E-2</v>
      </c>
      <c r="C2184" t="str">
        <f t="shared" si="34"/>
        <v>MUSTANG SPECIAL UTILITY DISTRICT</v>
      </c>
      <c r="D2184" t="b">
        <v>0</v>
      </c>
    </row>
    <row r="2185" spans="1:4" x14ac:dyDescent="0.25">
      <c r="A2185" t="s">
        <v>2243</v>
      </c>
      <c r="B2185">
        <v>5.3999999999999999E-2</v>
      </c>
      <c r="C2185" t="str">
        <f t="shared" si="34"/>
        <v>HARRIS COUNTY MUD 24</v>
      </c>
      <c r="D2185" t="b">
        <v>0</v>
      </c>
    </row>
    <row r="2186" spans="1:4" x14ac:dyDescent="0.25">
      <c r="A2186" t="s">
        <v>316</v>
      </c>
      <c r="B2186">
        <v>5.3999999999999999E-2</v>
      </c>
      <c r="C2186" t="str">
        <f t="shared" si="34"/>
        <v>DOUBLE DIAMOND UTILITIES CO</v>
      </c>
      <c r="D2186" t="b">
        <v>0</v>
      </c>
    </row>
    <row r="2187" spans="1:4" x14ac:dyDescent="0.25">
      <c r="A2187" t="s">
        <v>615</v>
      </c>
      <c r="B2187">
        <v>5.3999999999999999E-2</v>
      </c>
      <c r="C2187" t="str">
        <f t="shared" si="34"/>
        <v>CITY OF BULVERDE</v>
      </c>
      <c r="D2187" t="b">
        <v>0</v>
      </c>
    </row>
    <row r="2188" spans="1:4" x14ac:dyDescent="0.25">
      <c r="A2188" t="s">
        <v>2365</v>
      </c>
      <c r="B2188">
        <v>5.3999999999999999E-2</v>
      </c>
      <c r="C2188" t="str">
        <f t="shared" si="34"/>
        <v>INTERURBAN FOREST LLP</v>
      </c>
      <c r="D2188" t="b">
        <v>0</v>
      </c>
    </row>
    <row r="2189" spans="1:4" x14ac:dyDescent="0.25">
      <c r="A2189" t="s">
        <v>2744</v>
      </c>
      <c r="B2189">
        <v>5.3800000000000001E-2</v>
      </c>
      <c r="C2189" t="str">
        <f t="shared" si="34"/>
        <v>CITY OF BEDIAS</v>
      </c>
      <c r="D2189" t="b">
        <v>0</v>
      </c>
    </row>
    <row r="2190" spans="1:4" x14ac:dyDescent="0.25">
      <c r="A2190" t="s">
        <v>2112</v>
      </c>
      <c r="B2190">
        <v>5.3699999999999998E-2</v>
      </c>
      <c r="C2190" t="str">
        <f t="shared" si="34"/>
        <v>BNSF RAILWAY CO</v>
      </c>
      <c r="D2190" t="b">
        <v>0</v>
      </c>
    </row>
    <row r="2191" spans="1:4" x14ac:dyDescent="0.25">
      <c r="A2191" t="s">
        <v>420</v>
      </c>
      <c r="B2191">
        <v>5.3404E-2</v>
      </c>
      <c r="C2191" t="str">
        <f t="shared" si="34"/>
        <v>ALCOA WORLD ALUMINA LLC</v>
      </c>
      <c r="D2191" t="b">
        <v>0</v>
      </c>
    </row>
    <row r="2192" spans="1:4" x14ac:dyDescent="0.25">
      <c r="A2192" t="s">
        <v>692</v>
      </c>
      <c r="B2192">
        <v>5.3400000000000003E-2</v>
      </c>
      <c r="C2192" t="str">
        <f t="shared" si="34"/>
        <v>AQUA TEXAS INC</v>
      </c>
      <c r="D2192" t="b">
        <v>0</v>
      </c>
    </row>
    <row r="2193" spans="1:4" x14ac:dyDescent="0.25">
      <c r="A2193" t="s">
        <v>713</v>
      </c>
      <c r="B2193">
        <v>5.33E-2</v>
      </c>
      <c r="C2193" t="str">
        <f t="shared" si="34"/>
        <v>AQUA TEXAS INC</v>
      </c>
      <c r="D2193" t="b">
        <v>0</v>
      </c>
    </row>
    <row r="2194" spans="1:4" x14ac:dyDescent="0.25">
      <c r="A2194" t="s">
        <v>1392</v>
      </c>
      <c r="B2194">
        <v>5.3199999999999997E-2</v>
      </c>
      <c r="C2194" t="str">
        <f t="shared" si="34"/>
        <v>CITY OF POINT</v>
      </c>
      <c r="D2194" t="b">
        <v>0</v>
      </c>
    </row>
    <row r="2195" spans="1:4" x14ac:dyDescent="0.25">
      <c r="A2195" t="s">
        <v>1345</v>
      </c>
      <c r="B2195">
        <v>5.2999999999999999E-2</v>
      </c>
      <c r="C2195" t="str">
        <f t="shared" si="34"/>
        <v>CITY OF CAMPBELL</v>
      </c>
      <c r="D2195" t="b">
        <v>0</v>
      </c>
    </row>
    <row r="2196" spans="1:4" x14ac:dyDescent="0.25">
      <c r="A2196" t="s">
        <v>708</v>
      </c>
      <c r="B2196">
        <v>5.2999999999999999E-2</v>
      </c>
      <c r="C2196" t="str">
        <f t="shared" si="34"/>
        <v>AQUA TEXAS INC</v>
      </c>
      <c r="D2196" t="b">
        <v>0</v>
      </c>
    </row>
    <row r="2197" spans="1:4" x14ac:dyDescent="0.25">
      <c r="A2197" t="s">
        <v>700</v>
      </c>
      <c r="B2197">
        <v>5.2499999999999998E-2</v>
      </c>
      <c r="C2197" t="str">
        <f t="shared" si="34"/>
        <v>AQUA TEXAS INC</v>
      </c>
      <c r="D2197" t="b">
        <v>0</v>
      </c>
    </row>
    <row r="2198" spans="1:4" x14ac:dyDescent="0.25">
      <c r="A2198" t="s">
        <v>814</v>
      </c>
      <c r="B2198">
        <v>5.2130000000000003E-2</v>
      </c>
      <c r="C2198" t="str">
        <f t="shared" si="34"/>
        <v>SOUTH HAMPTON RESOURCES INC</v>
      </c>
      <c r="D2198" t="b">
        <v>0</v>
      </c>
    </row>
    <row r="2199" spans="1:4" x14ac:dyDescent="0.25">
      <c r="A2199" t="s">
        <v>1430</v>
      </c>
      <c r="B2199">
        <v>5.1999999999999998E-2</v>
      </c>
      <c r="C2199" t="str">
        <f t="shared" si="34"/>
        <v>CITY OF GLADEWATER</v>
      </c>
      <c r="D2199" t="b">
        <v>0</v>
      </c>
    </row>
    <row r="2200" spans="1:4" x14ac:dyDescent="0.25">
      <c r="A2200" t="s">
        <v>232</v>
      </c>
      <c r="B2200">
        <v>5.1999999999999998E-2</v>
      </c>
      <c r="C2200" t="str">
        <f t="shared" si="34"/>
        <v>CITY OF ABBOTT</v>
      </c>
      <c r="D2200" t="b">
        <v>0</v>
      </c>
    </row>
    <row r="2201" spans="1:4" x14ac:dyDescent="0.25">
      <c r="A2201" t="s">
        <v>689</v>
      </c>
      <c r="B2201">
        <v>5.1999999999999998E-2</v>
      </c>
      <c r="C2201" t="str">
        <f t="shared" si="34"/>
        <v>AQUA TEXAS INC</v>
      </c>
      <c r="D2201" t="b">
        <v>0</v>
      </c>
    </row>
    <row r="2202" spans="1:4" x14ac:dyDescent="0.25">
      <c r="A2202" t="s">
        <v>142</v>
      </c>
      <c r="B2202">
        <v>5.0999999999999997E-2</v>
      </c>
      <c r="C2202" t="str">
        <f t="shared" si="34"/>
        <v>CITY OF EVANT</v>
      </c>
      <c r="D2202" t="b">
        <v>0</v>
      </c>
    </row>
    <row r="2203" spans="1:4" x14ac:dyDescent="0.25">
      <c r="A2203" t="s">
        <v>1160</v>
      </c>
      <c r="B2203">
        <v>5.0999999999999997E-2</v>
      </c>
      <c r="C2203" t="str">
        <f t="shared" si="34"/>
        <v>CITY OF DODD CITY</v>
      </c>
      <c r="D2203" t="b">
        <v>0</v>
      </c>
    </row>
    <row r="2204" spans="1:4" x14ac:dyDescent="0.25">
      <c r="A2204" t="s">
        <v>2286</v>
      </c>
      <c r="B2204">
        <v>5.0999999999999997E-2</v>
      </c>
      <c r="C2204" t="str">
        <f t="shared" si="34"/>
        <v>BRIXMOR GA MOUNT HOUSTON TX LP</v>
      </c>
      <c r="D2204" t="b">
        <v>0</v>
      </c>
    </row>
    <row r="2205" spans="1:4" x14ac:dyDescent="0.25">
      <c r="A2205" t="s">
        <v>1355</v>
      </c>
      <c r="B2205">
        <v>5.0550999999999999E-2</v>
      </c>
      <c r="C2205" t="str">
        <f t="shared" si="34"/>
        <v>CITY OF HAWK COVE</v>
      </c>
      <c r="D2205" t="b">
        <v>0</v>
      </c>
    </row>
    <row r="2206" spans="1:4" x14ac:dyDescent="0.25">
      <c r="A2206" t="s">
        <v>2169</v>
      </c>
      <c r="B2206">
        <v>5.04E-2</v>
      </c>
      <c r="C2206" t="str">
        <f t="shared" si="34"/>
        <v>AQUA UTILITIES INC</v>
      </c>
      <c r="D2206" t="b">
        <v>0</v>
      </c>
    </row>
    <row r="2207" spans="1:4" x14ac:dyDescent="0.25">
      <c r="A2207" t="s">
        <v>1808</v>
      </c>
      <c r="B2207">
        <v>0.05</v>
      </c>
      <c r="C2207" t="str">
        <f t="shared" si="34"/>
        <v>ARKEMA INC</v>
      </c>
      <c r="D2207" t="b">
        <v>0</v>
      </c>
    </row>
    <row r="2208" spans="1:4" x14ac:dyDescent="0.25">
      <c r="A2208" t="s">
        <v>1444</v>
      </c>
      <c r="B2208">
        <v>0.05</v>
      </c>
      <c r="C2208" t="str">
        <f t="shared" si="34"/>
        <v>CITY OF YANTIS</v>
      </c>
      <c r="D2208" t="b">
        <v>0</v>
      </c>
    </row>
    <row r="2209" spans="1:4" x14ac:dyDescent="0.25">
      <c r="A2209" t="s">
        <v>687</v>
      </c>
      <c r="B2209">
        <v>0.05</v>
      </c>
      <c r="C2209" t="str">
        <f t="shared" si="34"/>
        <v>AQUA TEXAS INC</v>
      </c>
      <c r="D2209" t="b">
        <v>0</v>
      </c>
    </row>
    <row r="2210" spans="1:4" x14ac:dyDescent="0.25">
      <c r="A2210" t="s">
        <v>526</v>
      </c>
      <c r="B2210">
        <v>0.05</v>
      </c>
      <c r="C2210" t="str">
        <f t="shared" si="34"/>
        <v>BEACH ROAD MUD</v>
      </c>
      <c r="D2210" t="b">
        <v>0</v>
      </c>
    </row>
    <row r="2211" spans="1:4" x14ac:dyDescent="0.25">
      <c r="A2211" t="s">
        <v>1038</v>
      </c>
      <c r="B2211">
        <v>0.05</v>
      </c>
      <c r="C2211" t="str">
        <f t="shared" si="34"/>
        <v>RIVIERA WCID</v>
      </c>
      <c r="D2211" t="b">
        <v>0</v>
      </c>
    </row>
    <row r="2212" spans="1:4" x14ac:dyDescent="0.25">
      <c r="A2212" t="s">
        <v>775</v>
      </c>
      <c r="B2212">
        <v>0.05</v>
      </c>
      <c r="C2212" t="str">
        <f t="shared" si="34"/>
        <v>KMTEX LLC</v>
      </c>
      <c r="D2212" t="b">
        <v>0</v>
      </c>
    </row>
    <row r="2213" spans="1:4" x14ac:dyDescent="0.25">
      <c r="A2213" t="s">
        <v>1482</v>
      </c>
      <c r="B2213">
        <v>0.05</v>
      </c>
      <c r="C2213" t="str">
        <f t="shared" si="34"/>
        <v>ST PAUL WSC</v>
      </c>
      <c r="D2213" t="b">
        <v>0</v>
      </c>
    </row>
    <row r="2214" spans="1:4" x14ac:dyDescent="0.25">
      <c r="A2214" t="s">
        <v>2869</v>
      </c>
      <c r="B2214">
        <v>4.9700000000000001E-2</v>
      </c>
      <c r="C2214" t="str">
        <f t="shared" si="34"/>
        <v>MONARCH UTILITIES  I LP</v>
      </c>
      <c r="D2214" t="b">
        <v>0</v>
      </c>
    </row>
    <row r="2215" spans="1:4" x14ac:dyDescent="0.25">
      <c r="A2215" t="s">
        <v>1595</v>
      </c>
      <c r="B2215">
        <v>4.9632999999999997E-2</v>
      </c>
      <c r="C2215" t="str">
        <f t="shared" si="34"/>
        <v>SKYMARK DEVELOPMENT CO INC</v>
      </c>
      <c r="D2215" t="b">
        <v>0</v>
      </c>
    </row>
    <row r="2216" spans="1:4" x14ac:dyDescent="0.25">
      <c r="A2216" t="s">
        <v>831</v>
      </c>
      <c r="B2216">
        <v>4.9248E-2</v>
      </c>
      <c r="C2216" t="str">
        <f t="shared" si="34"/>
        <v>CITY OF KENNARD</v>
      </c>
      <c r="D2216" t="b">
        <v>0</v>
      </c>
    </row>
    <row r="2217" spans="1:4" x14ac:dyDescent="0.25">
      <c r="A2217" t="s">
        <v>2477</v>
      </c>
      <c r="B2217">
        <v>4.9000000000000002E-2</v>
      </c>
      <c r="C2217" t="str">
        <f t="shared" si="34"/>
        <v>EAST MONTGOMERY COUNTY MUD 4</v>
      </c>
      <c r="D2217" t="b">
        <v>0</v>
      </c>
    </row>
    <row r="2218" spans="1:4" x14ac:dyDescent="0.25">
      <c r="A2218" t="s">
        <v>2664</v>
      </c>
      <c r="B2218">
        <v>4.8500000000000001E-2</v>
      </c>
      <c r="C2218" t="str">
        <f t="shared" si="34"/>
        <v>CITY OF GAINESVILLE</v>
      </c>
      <c r="D2218" t="b">
        <v>0</v>
      </c>
    </row>
    <row r="2219" spans="1:4" x14ac:dyDescent="0.25">
      <c r="A2219" t="s">
        <v>1539</v>
      </c>
      <c r="B2219">
        <v>4.8000000000000001E-2</v>
      </c>
      <c r="C2219" t="str">
        <f t="shared" si="34"/>
        <v>ASCEND PERFORMANCE MATERIALS TEXAS INC</v>
      </c>
      <c r="D2219" t="b">
        <v>0</v>
      </c>
    </row>
    <row r="2220" spans="1:4" x14ac:dyDescent="0.25">
      <c r="A2220" t="s">
        <v>1616</v>
      </c>
      <c r="B2220">
        <v>4.8000000000000001E-2</v>
      </c>
      <c r="C2220" t="str">
        <f t="shared" si="34"/>
        <v>GULF COPPER &amp; MANUFACTURING CORP</v>
      </c>
      <c r="D2220" t="b">
        <v>0</v>
      </c>
    </row>
    <row r="2221" spans="1:4" x14ac:dyDescent="0.25">
      <c r="A2221" t="s">
        <v>336</v>
      </c>
      <c r="B2221">
        <v>4.8000000000000001E-2</v>
      </c>
      <c r="C2221" t="str">
        <f t="shared" si="34"/>
        <v>CITY OF BREMOND</v>
      </c>
      <c r="D2221" t="b">
        <v>0</v>
      </c>
    </row>
    <row r="2222" spans="1:4" x14ac:dyDescent="0.25">
      <c r="A2222" t="s">
        <v>887</v>
      </c>
      <c r="B2222">
        <v>4.8000000000000001E-2</v>
      </c>
      <c r="C2222" t="str">
        <f t="shared" si="34"/>
        <v>INTEGRITY GOLDEN TRIANGLE MARINE SERVICES LLC</v>
      </c>
      <c r="D2222" t="b">
        <v>0</v>
      </c>
    </row>
    <row r="2223" spans="1:4" x14ac:dyDescent="0.25">
      <c r="A2223" t="s">
        <v>2882</v>
      </c>
      <c r="B2223">
        <v>4.8000000000000001E-2</v>
      </c>
      <c r="C2223" t="str">
        <f t="shared" si="34"/>
        <v>STONETOWN BENBROOK LLC</v>
      </c>
      <c r="D2223" t="b">
        <v>0</v>
      </c>
    </row>
    <row r="2224" spans="1:4" x14ac:dyDescent="0.25">
      <c r="A2224" t="s">
        <v>476</v>
      </c>
      <c r="B2224">
        <v>4.8000000000000001E-2</v>
      </c>
      <c r="C2224" t="str">
        <f t="shared" si="34"/>
        <v>CITY OF COLEMAN</v>
      </c>
      <c r="D2224" t="b">
        <v>0</v>
      </c>
    </row>
    <row r="2225" spans="1:4" x14ac:dyDescent="0.25">
      <c r="A2225" t="s">
        <v>2535</v>
      </c>
      <c r="B2225">
        <v>4.7899999999999998E-2</v>
      </c>
      <c r="C2225" t="str">
        <f t="shared" si="34"/>
        <v>DELTA COUNTY MUD</v>
      </c>
      <c r="D2225" t="b">
        <v>0</v>
      </c>
    </row>
    <row r="2226" spans="1:4" x14ac:dyDescent="0.25">
      <c r="A2226" t="s">
        <v>2159</v>
      </c>
      <c r="B2226">
        <v>4.7338999999999999E-2</v>
      </c>
      <c r="C2226" t="str">
        <f t="shared" si="34"/>
        <v>ALLIANCE HC III LP</v>
      </c>
      <c r="D2226" t="b">
        <v>0</v>
      </c>
    </row>
    <row r="2227" spans="1:4" x14ac:dyDescent="0.25">
      <c r="A2227" t="s">
        <v>1133</v>
      </c>
      <c r="B2227">
        <v>4.7E-2</v>
      </c>
      <c r="C2227" t="str">
        <f t="shared" si="34"/>
        <v>MEDINA COUNTY WCID 2</v>
      </c>
      <c r="D2227" t="b">
        <v>0</v>
      </c>
    </row>
    <row r="2228" spans="1:4" x14ac:dyDescent="0.25">
      <c r="A2228" t="s">
        <v>262</v>
      </c>
      <c r="B2228">
        <v>4.7E-2</v>
      </c>
      <c r="C2228" t="str">
        <f t="shared" si="34"/>
        <v>MANVILLE WATER SUPPLY CORPORATION</v>
      </c>
      <c r="D2228" t="b">
        <v>0</v>
      </c>
    </row>
    <row r="2229" spans="1:4" x14ac:dyDescent="0.25">
      <c r="A2229" t="s">
        <v>261</v>
      </c>
      <c r="B2229">
        <v>4.5999999999999999E-2</v>
      </c>
      <c r="C2229" t="str">
        <f t="shared" si="34"/>
        <v>LEE COUNTY FWSD NO 1</v>
      </c>
      <c r="D2229" t="b">
        <v>0</v>
      </c>
    </row>
    <row r="2230" spans="1:4" x14ac:dyDescent="0.25">
      <c r="A2230" t="s">
        <v>2273</v>
      </c>
      <c r="B2230">
        <v>4.5999999999999999E-2</v>
      </c>
      <c r="C2230" t="str">
        <f t="shared" si="34"/>
        <v>KATY-HOCKLEY CORP</v>
      </c>
      <c r="D2230" t="b">
        <v>0</v>
      </c>
    </row>
    <row r="2231" spans="1:4" x14ac:dyDescent="0.25">
      <c r="A2231" t="s">
        <v>2898</v>
      </c>
      <c r="B2231">
        <v>4.5999999999999999E-2</v>
      </c>
      <c r="C2231" t="str">
        <f t="shared" si="34"/>
        <v>CAMP OLYMPIA INC</v>
      </c>
      <c r="D2231" t="b">
        <v>0</v>
      </c>
    </row>
    <row r="2232" spans="1:4" x14ac:dyDescent="0.25">
      <c r="A2232" t="s">
        <v>1458</v>
      </c>
      <c r="B2232">
        <v>4.5999999999999999E-2</v>
      </c>
      <c r="C2232" t="str">
        <f t="shared" si="34"/>
        <v>ARANSAS BAY UTILITIES CO LLC</v>
      </c>
      <c r="D2232" t="b">
        <v>0</v>
      </c>
    </row>
    <row r="2233" spans="1:4" x14ac:dyDescent="0.25">
      <c r="A2233" t="s">
        <v>2353</v>
      </c>
      <c r="B2233">
        <v>4.5999999999999999E-2</v>
      </c>
      <c r="C2233" t="str">
        <f t="shared" si="34"/>
        <v>TARGA DOWNSTREAM LLC</v>
      </c>
      <c r="D2233" t="b">
        <v>0</v>
      </c>
    </row>
    <row r="2234" spans="1:4" x14ac:dyDescent="0.25">
      <c r="A2234" t="s">
        <v>2496</v>
      </c>
      <c r="B2234">
        <v>4.5999999999999999E-2</v>
      </c>
      <c r="C2234" t="str">
        <f t="shared" si="34"/>
        <v>MONTGOMERY COUNTY MUD 137</v>
      </c>
      <c r="D2234" t="b">
        <v>0</v>
      </c>
    </row>
    <row r="2235" spans="1:4" x14ac:dyDescent="0.25">
      <c r="A2235" t="s">
        <v>1086</v>
      </c>
      <c r="B2235">
        <v>4.5797999999999998E-2</v>
      </c>
      <c r="C2235" t="str">
        <f t="shared" si="34"/>
        <v>US ECOLOGY TEXAS INC</v>
      </c>
      <c r="D2235" t="b">
        <v>0</v>
      </c>
    </row>
    <row r="2236" spans="1:4" x14ac:dyDescent="0.25">
      <c r="A2236" t="s">
        <v>859</v>
      </c>
      <c r="B2236">
        <v>4.5499999999999999E-2</v>
      </c>
      <c r="C2236" t="str">
        <f t="shared" si="34"/>
        <v>LUCITE INTERNATIONAL INC</v>
      </c>
      <c r="D2236" t="b">
        <v>0</v>
      </c>
    </row>
    <row r="2237" spans="1:4" x14ac:dyDescent="0.25">
      <c r="A2237" t="s">
        <v>2567</v>
      </c>
      <c r="B2237">
        <v>4.4999999999999998E-2</v>
      </c>
      <c r="C2237" t="str">
        <f t="shared" si="34"/>
        <v>NERRO SUPPLY LLC</v>
      </c>
      <c r="D2237" t="b">
        <v>0</v>
      </c>
    </row>
    <row r="2238" spans="1:4" x14ac:dyDescent="0.25">
      <c r="A2238" t="s">
        <v>472</v>
      </c>
      <c r="B2238">
        <v>4.4999999999999998E-2</v>
      </c>
      <c r="C2238" t="str">
        <f t="shared" si="34"/>
        <v>CITY OF BLANKET</v>
      </c>
      <c r="D2238" t="b">
        <v>0</v>
      </c>
    </row>
    <row r="2239" spans="1:4" x14ac:dyDescent="0.25">
      <c r="A2239" t="s">
        <v>1071</v>
      </c>
      <c r="B2239">
        <v>4.48E-2</v>
      </c>
      <c r="C2239" t="str">
        <f t="shared" si="34"/>
        <v>CITY OF AGUA DULCE</v>
      </c>
      <c r="D2239" t="b">
        <v>0</v>
      </c>
    </row>
    <row r="2240" spans="1:4" x14ac:dyDescent="0.25">
      <c r="A2240" t="s">
        <v>673</v>
      </c>
      <c r="B2240">
        <v>4.4600000000000001E-2</v>
      </c>
      <c r="C2240" t="str">
        <f t="shared" si="34"/>
        <v>AQUA TEXAS INC</v>
      </c>
      <c r="D2240" t="b">
        <v>0</v>
      </c>
    </row>
    <row r="2241" spans="1:4" x14ac:dyDescent="0.25">
      <c r="A2241" t="s">
        <v>2570</v>
      </c>
      <c r="B2241">
        <v>4.4400000000000002E-2</v>
      </c>
      <c r="C2241" t="str">
        <f t="shared" si="34"/>
        <v>J&amp;S WATER CO LLC</v>
      </c>
      <c r="D2241" t="b">
        <v>0</v>
      </c>
    </row>
    <row r="2242" spans="1:4" x14ac:dyDescent="0.25">
      <c r="A2242" t="s">
        <v>651</v>
      </c>
      <c r="B2242">
        <v>4.3999999999999997E-2</v>
      </c>
      <c r="C2242" t="str">
        <f t="shared" ref="C2242:C2305" si="35">VLOOKUP(A2242,PERMITTEES,2,FALSE)</f>
        <v>UNION CARBIDE CORP</v>
      </c>
      <c r="D2242" t="b">
        <v>0</v>
      </c>
    </row>
    <row r="2243" spans="1:4" x14ac:dyDescent="0.25">
      <c r="A2243" t="s">
        <v>356</v>
      </c>
      <c r="B2243">
        <v>4.3999999999999997E-2</v>
      </c>
      <c r="C2243" t="str">
        <f t="shared" si="35"/>
        <v>COMANCHE PEAK POWER CO LLC</v>
      </c>
      <c r="D2243" t="b">
        <v>0</v>
      </c>
    </row>
    <row r="2244" spans="1:4" x14ac:dyDescent="0.25">
      <c r="A2244" t="s">
        <v>1428</v>
      </c>
      <c r="B2244">
        <v>4.3999999999999997E-2</v>
      </c>
      <c r="C2244" t="str">
        <f t="shared" si="35"/>
        <v>SKY RANCHES INC</v>
      </c>
      <c r="D2244" t="b">
        <v>0</v>
      </c>
    </row>
    <row r="2245" spans="1:4" x14ac:dyDescent="0.25">
      <c r="A2245" t="s">
        <v>553</v>
      </c>
      <c r="B2245">
        <v>4.3976000000000001E-2</v>
      </c>
      <c r="C2245" t="str">
        <f t="shared" si="35"/>
        <v>STRATUS BLOCK 21 LLC</v>
      </c>
      <c r="D2245" t="b">
        <v>0</v>
      </c>
    </row>
    <row r="2246" spans="1:4" x14ac:dyDescent="0.25">
      <c r="A2246" t="s">
        <v>2488</v>
      </c>
      <c r="B2246">
        <v>4.3630000000000002E-2</v>
      </c>
      <c r="C2246" t="str">
        <f t="shared" si="35"/>
        <v>QUADVEST LP</v>
      </c>
      <c r="D2246" t="b">
        <v>0</v>
      </c>
    </row>
    <row r="2247" spans="1:4" x14ac:dyDescent="0.25">
      <c r="A2247" t="s">
        <v>1411</v>
      </c>
      <c r="B2247">
        <v>4.3200000000000002E-2</v>
      </c>
      <c r="C2247" t="str">
        <f t="shared" si="35"/>
        <v>CITY OF CENTER</v>
      </c>
      <c r="D2247" t="b">
        <v>0</v>
      </c>
    </row>
    <row r="2248" spans="1:4" x14ac:dyDescent="0.25">
      <c r="A2248" t="s">
        <v>835</v>
      </c>
      <c r="B2248">
        <v>4.3198E-2</v>
      </c>
      <c r="C2248" t="str">
        <f t="shared" si="35"/>
        <v>WESTWOOD WSC</v>
      </c>
      <c r="D2248" t="b">
        <v>0</v>
      </c>
    </row>
    <row r="2249" spans="1:4" x14ac:dyDescent="0.25">
      <c r="A2249" t="s">
        <v>1830</v>
      </c>
      <c r="B2249">
        <v>4.2999999999999997E-2</v>
      </c>
      <c r="C2249" t="str">
        <f t="shared" si="35"/>
        <v>HUMBLE PARTNERS LP</v>
      </c>
      <c r="D2249" t="b">
        <v>0</v>
      </c>
    </row>
    <row r="2250" spans="1:4" x14ac:dyDescent="0.25">
      <c r="A2250" t="s">
        <v>2023</v>
      </c>
      <c r="B2250">
        <v>4.2999999999999997E-2</v>
      </c>
      <c r="C2250" t="str">
        <f t="shared" si="35"/>
        <v>FERNCO DEVELOPMENT LTD LENCO DEV LTD NORCO DEV LTD</v>
      </c>
      <c r="D2250" t="b">
        <v>0</v>
      </c>
    </row>
    <row r="2251" spans="1:4" x14ac:dyDescent="0.25">
      <c r="A2251" t="s">
        <v>2102</v>
      </c>
      <c r="B2251">
        <v>4.2999999999999997E-2</v>
      </c>
      <c r="C2251" t="str">
        <f t="shared" si="35"/>
        <v>PORT OF HOUSTON AUTHORITY</v>
      </c>
      <c r="D2251" t="b">
        <v>0</v>
      </c>
    </row>
    <row r="2252" spans="1:4" x14ac:dyDescent="0.25">
      <c r="A2252" t="s">
        <v>2172</v>
      </c>
      <c r="B2252">
        <v>4.2999999999999997E-2</v>
      </c>
      <c r="C2252" t="str">
        <f t="shared" si="35"/>
        <v>YES COMPANIES LLC</v>
      </c>
      <c r="D2252" t="b">
        <v>0</v>
      </c>
    </row>
    <row r="2253" spans="1:4" x14ac:dyDescent="0.25">
      <c r="A2253" t="s">
        <v>477</v>
      </c>
      <c r="B2253">
        <v>4.2999999999999997E-2</v>
      </c>
      <c r="C2253" t="str">
        <f t="shared" si="35"/>
        <v>CITY OF COLEMAN</v>
      </c>
      <c r="D2253" t="b">
        <v>0</v>
      </c>
    </row>
    <row r="2254" spans="1:4" x14ac:dyDescent="0.25">
      <c r="A2254" t="s">
        <v>2742</v>
      </c>
      <c r="B2254">
        <v>4.2000000000000003E-2</v>
      </c>
      <c r="C2254" t="str">
        <f t="shared" si="35"/>
        <v>CITY OF GUNTER</v>
      </c>
      <c r="D2254" t="b">
        <v>0</v>
      </c>
    </row>
    <row r="2255" spans="1:4" x14ac:dyDescent="0.25">
      <c r="A2255" t="s">
        <v>2055</v>
      </c>
      <c r="B2255">
        <v>4.1619000000000003E-2</v>
      </c>
      <c r="C2255" t="str">
        <f t="shared" si="35"/>
        <v>WHITE OAK OWNERS ASSN INC</v>
      </c>
      <c r="D2255" t="b">
        <v>0</v>
      </c>
    </row>
    <row r="2256" spans="1:4" x14ac:dyDescent="0.25">
      <c r="A2256" t="s">
        <v>2442</v>
      </c>
      <c r="B2256">
        <v>4.1551999999999999E-2</v>
      </c>
      <c r="C2256" t="str">
        <f t="shared" si="35"/>
        <v>KARBALIA, RITA LAURA REDOW</v>
      </c>
      <c r="D2256" t="b">
        <v>0</v>
      </c>
    </row>
    <row r="2257" spans="1:4" x14ac:dyDescent="0.25">
      <c r="A2257" t="s">
        <v>1765</v>
      </c>
      <c r="B2257">
        <v>4.1360000000000001E-2</v>
      </c>
      <c r="C2257" t="str">
        <f t="shared" si="35"/>
        <v>SASOL CHEMICALS USA LLC</v>
      </c>
      <c r="D2257" t="b">
        <v>0</v>
      </c>
    </row>
    <row r="2258" spans="1:4" x14ac:dyDescent="0.25">
      <c r="A2258" t="s">
        <v>2411</v>
      </c>
      <c r="B2258">
        <v>4.1000000000000002E-2</v>
      </c>
      <c r="C2258" t="str">
        <f t="shared" si="35"/>
        <v>CONROE BAY WATER SEWER SUPPLY CORP</v>
      </c>
      <c r="D2258" t="b">
        <v>0</v>
      </c>
    </row>
    <row r="2259" spans="1:4" x14ac:dyDescent="0.25">
      <c r="A2259" t="s">
        <v>2043</v>
      </c>
      <c r="B2259">
        <v>4.1000000000000002E-2</v>
      </c>
      <c r="C2259" t="str">
        <f t="shared" si="35"/>
        <v>HOOKS MOBILE HOME PARK LTD</v>
      </c>
      <c r="D2259" t="b">
        <v>0</v>
      </c>
    </row>
    <row r="2260" spans="1:4" x14ac:dyDescent="0.25">
      <c r="A2260" t="s">
        <v>2753</v>
      </c>
      <c r="B2260">
        <v>4.0599999999999997E-2</v>
      </c>
      <c r="C2260" t="str">
        <f t="shared" si="35"/>
        <v>MONARCH UTILITIES I LP</v>
      </c>
      <c r="D2260" t="b">
        <v>0</v>
      </c>
    </row>
    <row r="2261" spans="1:4" x14ac:dyDescent="0.25">
      <c r="A2261" t="s">
        <v>1061</v>
      </c>
      <c r="B2261">
        <v>0.04</v>
      </c>
      <c r="C2261" t="str">
        <f t="shared" si="35"/>
        <v>FLINT HILLS RESOURCES CORPUS CHRISTI LLC</v>
      </c>
      <c r="D2261" t="b">
        <v>0</v>
      </c>
    </row>
    <row r="2262" spans="1:4" x14ac:dyDescent="0.25">
      <c r="A2262" t="s">
        <v>1375</v>
      </c>
      <c r="B2262">
        <v>0.04</v>
      </c>
      <c r="C2262" t="str">
        <f t="shared" si="35"/>
        <v>NORTH ORANGE WATER AND SEWER LLC</v>
      </c>
      <c r="D2262" t="b">
        <v>0</v>
      </c>
    </row>
    <row r="2263" spans="1:4" x14ac:dyDescent="0.25">
      <c r="A2263" t="s">
        <v>1962</v>
      </c>
      <c r="B2263">
        <v>0.04</v>
      </c>
      <c r="C2263" t="str">
        <f t="shared" si="35"/>
        <v>BC HUMBLE ENTERPRISES LLC</v>
      </c>
      <c r="D2263" t="b">
        <v>0</v>
      </c>
    </row>
    <row r="2264" spans="1:4" x14ac:dyDescent="0.25">
      <c r="A2264" t="s">
        <v>595</v>
      </c>
      <c r="B2264">
        <v>0.04</v>
      </c>
      <c r="C2264" t="str">
        <f t="shared" si="35"/>
        <v>CITY OF WINFIELD</v>
      </c>
      <c r="D2264" t="b">
        <v>0</v>
      </c>
    </row>
    <row r="2265" spans="1:4" x14ac:dyDescent="0.25">
      <c r="A2265" t="s">
        <v>266</v>
      </c>
      <c r="B2265">
        <v>0.04</v>
      </c>
      <c r="C2265" t="str">
        <f t="shared" si="35"/>
        <v>CITY OF MARQUEZ</v>
      </c>
      <c r="D2265" t="b">
        <v>0</v>
      </c>
    </row>
    <row r="2266" spans="1:4" x14ac:dyDescent="0.25">
      <c r="A2266" t="s">
        <v>317</v>
      </c>
      <c r="B2266">
        <v>0.04</v>
      </c>
      <c r="C2266" t="str">
        <f t="shared" si="35"/>
        <v>PALO PINTO COUNTY WCID 1</v>
      </c>
      <c r="D2266" t="b">
        <v>0</v>
      </c>
    </row>
    <row r="2267" spans="1:4" x14ac:dyDescent="0.25">
      <c r="A2267" t="s">
        <v>2395</v>
      </c>
      <c r="B2267">
        <v>0.04</v>
      </c>
      <c r="C2267" t="str">
        <f t="shared" si="35"/>
        <v>QUAIL RUN SERVICES LLC</v>
      </c>
      <c r="D2267" t="b">
        <v>0</v>
      </c>
    </row>
    <row r="2268" spans="1:4" x14ac:dyDescent="0.25">
      <c r="A2268" t="s">
        <v>704</v>
      </c>
      <c r="B2268">
        <v>3.9800000000000002E-2</v>
      </c>
      <c r="C2268" t="str">
        <f t="shared" si="35"/>
        <v>AQUA TEXAS INC</v>
      </c>
      <c r="D2268" t="b">
        <v>0</v>
      </c>
    </row>
    <row r="2269" spans="1:4" x14ac:dyDescent="0.25">
      <c r="A2269" t="s">
        <v>813</v>
      </c>
      <c r="B2269">
        <v>3.9600000000000003E-2</v>
      </c>
      <c r="C2269" t="str">
        <f t="shared" si="35"/>
        <v>BNSF RAILWAY CO &amp; TIMBER ROCK RAILROAD LLC</v>
      </c>
      <c r="D2269" t="b">
        <v>0</v>
      </c>
    </row>
    <row r="2270" spans="1:4" x14ac:dyDescent="0.25">
      <c r="A2270" t="s">
        <v>97</v>
      </c>
      <c r="B2270">
        <v>3.9600000000000003E-2</v>
      </c>
      <c r="C2270" t="str">
        <f t="shared" si="35"/>
        <v>CITY OF FREEPORT</v>
      </c>
      <c r="D2270" t="b">
        <v>0</v>
      </c>
    </row>
    <row r="2271" spans="1:4" x14ac:dyDescent="0.25">
      <c r="A2271" t="s">
        <v>703</v>
      </c>
      <c r="B2271">
        <v>3.9600000000000003E-2</v>
      </c>
      <c r="C2271" t="str">
        <f t="shared" si="35"/>
        <v>AQUA TEXAS INC</v>
      </c>
      <c r="D2271" t="b">
        <v>0</v>
      </c>
    </row>
    <row r="2272" spans="1:4" x14ac:dyDescent="0.25">
      <c r="A2272" t="s">
        <v>48</v>
      </c>
      <c r="B2272">
        <v>3.9239999999999997E-2</v>
      </c>
      <c r="C2272" t="str">
        <f t="shared" si="35"/>
        <v>TEXAS PARKS &amp; WILDLIFE DEPT</v>
      </c>
      <c r="D2272" t="b">
        <v>0</v>
      </c>
    </row>
    <row r="2273" spans="1:4" x14ac:dyDescent="0.25">
      <c r="A2273" t="s">
        <v>2771</v>
      </c>
      <c r="B2273">
        <v>3.9199999999999999E-2</v>
      </c>
      <c r="C2273" t="str">
        <f t="shared" si="35"/>
        <v>HOUSTON COUNTY WCID 1</v>
      </c>
      <c r="D2273" t="b">
        <v>0</v>
      </c>
    </row>
    <row r="2274" spans="1:4" x14ac:dyDescent="0.25">
      <c r="A2274" t="s">
        <v>2852</v>
      </c>
      <c r="B2274">
        <v>3.9190000000000003E-2</v>
      </c>
      <c r="C2274" t="str">
        <f t="shared" si="35"/>
        <v>CITY OF GOODRICH</v>
      </c>
      <c r="D2274" t="b">
        <v>0</v>
      </c>
    </row>
    <row r="2275" spans="1:4" x14ac:dyDescent="0.25">
      <c r="A2275" t="s">
        <v>2835</v>
      </c>
      <c r="B2275">
        <v>3.9100000000000003E-2</v>
      </c>
      <c r="C2275" t="str">
        <f t="shared" si="35"/>
        <v>RICE WATER SUPPLY &amp; SEWER SERVICE CORP</v>
      </c>
      <c r="D2275" t="b">
        <v>0</v>
      </c>
    </row>
    <row r="2276" spans="1:4" x14ac:dyDescent="0.25">
      <c r="A2276" t="s">
        <v>2729</v>
      </c>
      <c r="B2276">
        <v>3.9E-2</v>
      </c>
      <c r="C2276" t="str">
        <f t="shared" si="35"/>
        <v>CITY OF STREETMAN</v>
      </c>
      <c r="D2276" t="b">
        <v>0</v>
      </c>
    </row>
    <row r="2277" spans="1:4" x14ac:dyDescent="0.25">
      <c r="A2277" t="s">
        <v>695</v>
      </c>
      <c r="B2277">
        <v>3.9E-2</v>
      </c>
      <c r="C2277" t="str">
        <f t="shared" si="35"/>
        <v>AQUA TEXAS INC</v>
      </c>
      <c r="D2277" t="b">
        <v>0</v>
      </c>
    </row>
    <row r="2278" spans="1:4" x14ac:dyDescent="0.25">
      <c r="A2278" t="s">
        <v>2885</v>
      </c>
      <c r="B2278">
        <v>3.9E-2</v>
      </c>
      <c r="C2278" t="str">
        <f t="shared" si="35"/>
        <v>EMCAD WATER AND WASTEWATER LLC</v>
      </c>
      <c r="D2278" t="b">
        <v>0</v>
      </c>
    </row>
    <row r="2279" spans="1:4" x14ac:dyDescent="0.25">
      <c r="A2279" t="s">
        <v>511</v>
      </c>
      <c r="B2279">
        <v>3.9E-2</v>
      </c>
      <c r="C2279" t="str">
        <f t="shared" si="35"/>
        <v>CORIX UTILITIES TEXAS INC</v>
      </c>
      <c r="D2279" t="b">
        <v>0</v>
      </c>
    </row>
    <row r="2280" spans="1:4" x14ac:dyDescent="0.25">
      <c r="A2280" t="s">
        <v>1142</v>
      </c>
      <c r="B2280">
        <v>3.9E-2</v>
      </c>
      <c r="C2280" t="str">
        <f t="shared" si="35"/>
        <v>ZAVALA COUNTY</v>
      </c>
      <c r="D2280" t="b">
        <v>0</v>
      </c>
    </row>
    <row r="2281" spans="1:4" x14ac:dyDescent="0.25">
      <c r="A2281" t="s">
        <v>2776</v>
      </c>
      <c r="B2281">
        <v>3.8289999999999998E-2</v>
      </c>
      <c r="C2281" t="str">
        <f t="shared" si="35"/>
        <v>MILLER WASTE MILLS INC</v>
      </c>
      <c r="D2281" t="b">
        <v>0</v>
      </c>
    </row>
    <row r="2282" spans="1:4" x14ac:dyDescent="0.25">
      <c r="A2282" t="s">
        <v>1574</v>
      </c>
      <c r="B2282">
        <v>3.8199999999999998E-2</v>
      </c>
      <c r="C2282" t="str">
        <f t="shared" si="35"/>
        <v>ORBIT SYSTEMS INC</v>
      </c>
      <c r="D2282" t="b">
        <v>0</v>
      </c>
    </row>
    <row r="2283" spans="1:4" x14ac:dyDescent="0.25">
      <c r="A2283" t="s">
        <v>1039</v>
      </c>
      <c r="B2283">
        <v>3.807E-2</v>
      </c>
      <c r="C2283" t="str">
        <f t="shared" si="35"/>
        <v>KLEBERG COUNTY</v>
      </c>
      <c r="D2283" t="b">
        <v>0</v>
      </c>
    </row>
    <row r="2284" spans="1:4" x14ac:dyDescent="0.25">
      <c r="A2284" t="s">
        <v>655</v>
      </c>
      <c r="B2284">
        <v>3.7999999999999999E-2</v>
      </c>
      <c r="C2284" t="str">
        <f t="shared" si="35"/>
        <v>UNION CARBIDE CORP</v>
      </c>
      <c r="D2284" t="b">
        <v>0</v>
      </c>
    </row>
    <row r="2285" spans="1:4" x14ac:dyDescent="0.25">
      <c r="A2285" t="s">
        <v>976</v>
      </c>
      <c r="B2285">
        <v>3.7999999999999999E-2</v>
      </c>
      <c r="C2285" t="str">
        <f t="shared" si="35"/>
        <v>BROWNSVILLE NAVIGATION DISTRICT</v>
      </c>
      <c r="D2285" t="b">
        <v>0</v>
      </c>
    </row>
    <row r="2286" spans="1:4" x14ac:dyDescent="0.25">
      <c r="A2286" t="s">
        <v>767</v>
      </c>
      <c r="B2286">
        <v>3.7999999999999999E-2</v>
      </c>
      <c r="C2286" t="str">
        <f t="shared" si="35"/>
        <v>CITY OF TAYLOR LANDING</v>
      </c>
      <c r="D2286" t="b">
        <v>0</v>
      </c>
    </row>
    <row r="2287" spans="1:4" x14ac:dyDescent="0.25">
      <c r="A2287" t="s">
        <v>685</v>
      </c>
      <c r="B2287">
        <v>3.7999999999999999E-2</v>
      </c>
      <c r="C2287" t="str">
        <f t="shared" si="35"/>
        <v>AQUA TEXAS INC</v>
      </c>
      <c r="D2287" t="b">
        <v>0</v>
      </c>
    </row>
    <row r="2288" spans="1:4" x14ac:dyDescent="0.25">
      <c r="A2288" t="s">
        <v>2444</v>
      </c>
      <c r="B2288">
        <v>3.7999999999999999E-2</v>
      </c>
      <c r="C2288" t="str">
        <f t="shared" si="35"/>
        <v>RICHARD CLARK ENTERPRISES LLC</v>
      </c>
      <c r="D2288" t="b">
        <v>0</v>
      </c>
    </row>
    <row r="2289" spans="1:4" x14ac:dyDescent="0.25">
      <c r="A2289" t="s">
        <v>1582</v>
      </c>
      <c r="B2289">
        <v>3.7999999999999999E-2</v>
      </c>
      <c r="C2289" t="str">
        <f t="shared" si="35"/>
        <v>RANCHO LA FUENTE PARTNERS LLC</v>
      </c>
      <c r="D2289" t="b">
        <v>0</v>
      </c>
    </row>
    <row r="2290" spans="1:4" x14ac:dyDescent="0.25">
      <c r="A2290" t="s">
        <v>1590</v>
      </c>
      <c r="B2290">
        <v>3.7999999999999999E-2</v>
      </c>
      <c r="C2290" t="str">
        <f t="shared" si="35"/>
        <v>MHP UTILITY SYSTEMS INC</v>
      </c>
      <c r="D2290" t="b">
        <v>0</v>
      </c>
    </row>
    <row r="2291" spans="1:4" x14ac:dyDescent="0.25">
      <c r="A2291" t="s">
        <v>2826</v>
      </c>
      <c r="B2291">
        <v>3.7499999999999999E-2</v>
      </c>
      <c r="C2291" t="str">
        <f t="shared" si="35"/>
        <v>CITY OF FROST</v>
      </c>
      <c r="D2291" t="b">
        <v>0</v>
      </c>
    </row>
    <row r="2292" spans="1:4" x14ac:dyDescent="0.25">
      <c r="A2292" t="s">
        <v>2456</v>
      </c>
      <c r="B2292">
        <v>3.7449999999999997E-2</v>
      </c>
      <c r="C2292" t="str">
        <f t="shared" si="35"/>
        <v>QUADVEST LP</v>
      </c>
      <c r="D2292" t="b">
        <v>0</v>
      </c>
    </row>
    <row r="2293" spans="1:4" x14ac:dyDescent="0.25">
      <c r="A2293" t="s">
        <v>2324</v>
      </c>
      <c r="B2293">
        <v>3.7249999999999998E-2</v>
      </c>
      <c r="C2293" t="str">
        <f t="shared" si="35"/>
        <v>RANKIN PARK MAINTENANCE &amp; UTILITIES CO INC</v>
      </c>
      <c r="D2293" t="b">
        <v>0</v>
      </c>
    </row>
    <row r="2294" spans="1:4" x14ac:dyDescent="0.25">
      <c r="A2294" t="s">
        <v>2156</v>
      </c>
      <c r="B2294">
        <v>3.7129000000000002E-2</v>
      </c>
      <c r="C2294" t="str">
        <f t="shared" si="35"/>
        <v>KARBALAI RITA LAURA REDOW</v>
      </c>
      <c r="D2294" t="b">
        <v>0</v>
      </c>
    </row>
    <row r="2295" spans="1:4" x14ac:dyDescent="0.25">
      <c r="A2295" t="s">
        <v>1560</v>
      </c>
      <c r="B2295">
        <v>3.6999999999999998E-2</v>
      </c>
      <c r="C2295" t="str">
        <f t="shared" si="35"/>
        <v>COMMODORE COVE IMPROVEMENT DIST</v>
      </c>
      <c r="D2295" t="b">
        <v>0</v>
      </c>
    </row>
    <row r="2296" spans="1:4" x14ac:dyDescent="0.25">
      <c r="A2296" t="s">
        <v>1457</v>
      </c>
      <c r="B2296">
        <v>3.6999999999999998E-2</v>
      </c>
      <c r="C2296" t="str">
        <f t="shared" si="35"/>
        <v>HOLIDAY BEACH WSC</v>
      </c>
      <c r="D2296" t="b">
        <v>0</v>
      </c>
    </row>
    <row r="2297" spans="1:4" x14ac:dyDescent="0.25">
      <c r="A2297" t="s">
        <v>2294</v>
      </c>
      <c r="B2297">
        <v>3.6999999999999998E-2</v>
      </c>
      <c r="C2297" t="str">
        <f t="shared" si="35"/>
        <v>SMITH, WILLIAM DONALD</v>
      </c>
      <c r="D2297" t="b">
        <v>0</v>
      </c>
    </row>
    <row r="2298" spans="1:4" x14ac:dyDescent="0.25">
      <c r="A2298" t="s">
        <v>307</v>
      </c>
      <c r="B2298">
        <v>3.6999999999999998E-2</v>
      </c>
      <c r="C2298" t="str">
        <f t="shared" si="35"/>
        <v>SOUTHWEST MILAM WATER SUPPLY CORP</v>
      </c>
      <c r="D2298" t="b">
        <v>0</v>
      </c>
    </row>
    <row r="2299" spans="1:4" x14ac:dyDescent="0.25">
      <c r="A2299" t="s">
        <v>2326</v>
      </c>
      <c r="B2299">
        <v>3.6999999999999998E-2</v>
      </c>
      <c r="C2299" t="str">
        <f t="shared" si="35"/>
        <v>AQUA UTILITIES INC</v>
      </c>
      <c r="D2299" t="b">
        <v>0</v>
      </c>
    </row>
    <row r="2300" spans="1:4" x14ac:dyDescent="0.25">
      <c r="A2300" t="s">
        <v>2377</v>
      </c>
      <c r="B2300">
        <v>3.6999999999999998E-2</v>
      </c>
      <c r="C2300" t="str">
        <f t="shared" si="35"/>
        <v>ROSEHILL RESERVE LTD</v>
      </c>
      <c r="D2300" t="b">
        <v>0</v>
      </c>
    </row>
    <row r="2301" spans="1:4" x14ac:dyDescent="0.25">
      <c r="A2301" t="s">
        <v>490</v>
      </c>
      <c r="B2301">
        <v>3.6900000000000002E-2</v>
      </c>
      <c r="C2301" t="str">
        <f t="shared" si="35"/>
        <v>CITY OF FAYETTEVILLE</v>
      </c>
      <c r="D2301" t="b">
        <v>0</v>
      </c>
    </row>
    <row r="2302" spans="1:4" x14ac:dyDescent="0.25">
      <c r="A2302" t="s">
        <v>701</v>
      </c>
      <c r="B2302">
        <v>3.6900000000000002E-2</v>
      </c>
      <c r="C2302" t="str">
        <f t="shared" si="35"/>
        <v>AQUA TEXAS INC</v>
      </c>
      <c r="D2302" t="b">
        <v>0</v>
      </c>
    </row>
    <row r="2303" spans="1:4" x14ac:dyDescent="0.25">
      <c r="A2303" t="s">
        <v>2787</v>
      </c>
      <c r="B2303">
        <v>3.6770999999999998E-2</v>
      </c>
      <c r="C2303" t="str">
        <f t="shared" si="35"/>
        <v>SOUTH FORT WORTH RV RANCH LLC</v>
      </c>
      <c r="D2303" t="b">
        <v>0</v>
      </c>
    </row>
    <row r="2304" spans="1:4" x14ac:dyDescent="0.25">
      <c r="A2304" t="s">
        <v>2090</v>
      </c>
      <c r="B2304">
        <v>3.6729999999999999E-2</v>
      </c>
      <c r="C2304" t="str">
        <f t="shared" si="35"/>
        <v>UNIVAR USA INC</v>
      </c>
      <c r="D2304" t="b">
        <v>0</v>
      </c>
    </row>
    <row r="2305" spans="1:4" x14ac:dyDescent="0.25">
      <c r="A2305" t="s">
        <v>2041</v>
      </c>
      <c r="B2305">
        <v>3.6216999999999999E-2</v>
      </c>
      <c r="C2305" t="str">
        <f t="shared" si="35"/>
        <v>ALDINE ISD</v>
      </c>
      <c r="D2305" t="b">
        <v>0</v>
      </c>
    </row>
    <row r="2306" spans="1:4" x14ac:dyDescent="0.25">
      <c r="A2306" t="s">
        <v>2706</v>
      </c>
      <c r="B2306">
        <v>3.6200000000000003E-2</v>
      </c>
      <c r="C2306" t="str">
        <f t="shared" ref="C2306:C2369" si="36">VLOOKUP(A2306,PERMITTEES,2,FALSE)</f>
        <v>CITY OF MILFORD</v>
      </c>
      <c r="D2306" t="b">
        <v>0</v>
      </c>
    </row>
    <row r="2307" spans="1:4" x14ac:dyDescent="0.25">
      <c r="A2307" t="s">
        <v>372</v>
      </c>
      <c r="B2307">
        <v>3.5999999999999997E-2</v>
      </c>
      <c r="C2307" t="str">
        <f t="shared" si="36"/>
        <v>CITY OF BURTON</v>
      </c>
      <c r="D2307" t="b">
        <v>0</v>
      </c>
    </row>
    <row r="2308" spans="1:4" x14ac:dyDescent="0.25">
      <c r="A2308" t="s">
        <v>1397</v>
      </c>
      <c r="B2308">
        <v>3.5999999999999997E-2</v>
      </c>
      <c r="C2308" t="str">
        <f t="shared" si="36"/>
        <v>CITY OF POINT</v>
      </c>
      <c r="D2308" t="b">
        <v>0</v>
      </c>
    </row>
    <row r="2309" spans="1:4" x14ac:dyDescent="0.25">
      <c r="A2309" t="s">
        <v>1146</v>
      </c>
      <c r="B2309">
        <v>3.5999999999999997E-2</v>
      </c>
      <c r="C2309" t="str">
        <f t="shared" si="36"/>
        <v>CITY OF ARCHER CITY</v>
      </c>
      <c r="D2309" t="b">
        <v>0</v>
      </c>
    </row>
    <row r="2310" spans="1:4" x14ac:dyDescent="0.25">
      <c r="A2310" t="s">
        <v>2394</v>
      </c>
      <c r="B2310">
        <v>3.5999999999999997E-2</v>
      </c>
      <c r="C2310" t="str">
        <f t="shared" si="36"/>
        <v>QUAIL RUN SERVICES LLC</v>
      </c>
      <c r="D2310" t="b">
        <v>0</v>
      </c>
    </row>
    <row r="2311" spans="1:4" x14ac:dyDescent="0.25">
      <c r="A2311" t="s">
        <v>860</v>
      </c>
      <c r="B2311">
        <v>3.5900000000000001E-2</v>
      </c>
      <c r="C2311" t="str">
        <f t="shared" si="36"/>
        <v>LUCITE INTERNATIONAL INC</v>
      </c>
      <c r="D2311" t="b">
        <v>0</v>
      </c>
    </row>
    <row r="2312" spans="1:4" x14ac:dyDescent="0.25">
      <c r="A2312" t="s">
        <v>2625</v>
      </c>
      <c r="B2312">
        <v>3.5400000000000001E-2</v>
      </c>
      <c r="C2312" t="str">
        <f t="shared" si="36"/>
        <v>UTILITIES INVESTMENT CO INC</v>
      </c>
      <c r="D2312" t="b">
        <v>0</v>
      </c>
    </row>
    <row r="2313" spans="1:4" x14ac:dyDescent="0.25">
      <c r="A2313" t="s">
        <v>656</v>
      </c>
      <c r="B2313">
        <v>3.5000000000000003E-2</v>
      </c>
      <c r="C2313" t="str">
        <f t="shared" si="36"/>
        <v>UNION CARBIDE CORP</v>
      </c>
      <c r="D2313" t="b">
        <v>0</v>
      </c>
    </row>
    <row r="2314" spans="1:4" x14ac:dyDescent="0.25">
      <c r="A2314" t="s">
        <v>1467</v>
      </c>
      <c r="B2314">
        <v>3.5000000000000003E-2</v>
      </c>
      <c r="C2314" t="str">
        <f t="shared" si="36"/>
        <v>REFUGIO COUNTY WCID 1</v>
      </c>
      <c r="D2314" t="b">
        <v>0</v>
      </c>
    </row>
    <row r="2315" spans="1:4" x14ac:dyDescent="0.25">
      <c r="A2315" t="s">
        <v>188</v>
      </c>
      <c r="B2315">
        <v>3.5000000000000003E-2</v>
      </c>
      <c r="C2315" t="str">
        <f t="shared" si="36"/>
        <v>STAFFORD MOBILE HOME PARK INC</v>
      </c>
      <c r="D2315" t="b">
        <v>0</v>
      </c>
    </row>
    <row r="2316" spans="1:4" x14ac:dyDescent="0.25">
      <c r="A2316" t="s">
        <v>1463</v>
      </c>
      <c r="B2316">
        <v>3.5000000000000003E-2</v>
      </c>
      <c r="C2316" t="str">
        <f t="shared" si="36"/>
        <v>TYNAN WSC</v>
      </c>
      <c r="D2316" t="b">
        <v>0</v>
      </c>
    </row>
    <row r="2317" spans="1:4" x14ac:dyDescent="0.25">
      <c r="A2317" t="s">
        <v>1118</v>
      </c>
      <c r="B2317">
        <v>3.5000000000000003E-2</v>
      </c>
      <c r="C2317" t="str">
        <f t="shared" si="36"/>
        <v>MOORE WSC</v>
      </c>
      <c r="D2317" t="b">
        <v>0</v>
      </c>
    </row>
    <row r="2318" spans="1:4" x14ac:dyDescent="0.25">
      <c r="A2318" t="s">
        <v>2392</v>
      </c>
      <c r="B2318">
        <v>3.5000000000000003E-2</v>
      </c>
      <c r="C2318" t="str">
        <f t="shared" si="36"/>
        <v>QUAIL RUN SERVICES LLC</v>
      </c>
      <c r="D2318" t="b">
        <v>0</v>
      </c>
    </row>
    <row r="2319" spans="1:4" x14ac:dyDescent="0.25">
      <c r="A2319" t="s">
        <v>2769</v>
      </c>
      <c r="B2319">
        <v>3.5000000000000003E-2</v>
      </c>
      <c r="C2319" t="str">
        <f t="shared" si="36"/>
        <v>CITY OF BYNUM</v>
      </c>
      <c r="D2319" t="b">
        <v>0</v>
      </c>
    </row>
    <row r="2320" spans="1:4" x14ac:dyDescent="0.25">
      <c r="A2320" t="s">
        <v>2759</v>
      </c>
      <c r="B2320">
        <v>3.44E-2</v>
      </c>
      <c r="C2320" t="str">
        <f t="shared" si="36"/>
        <v>MONARCH UTILITIES I LP</v>
      </c>
      <c r="D2320" t="b">
        <v>0</v>
      </c>
    </row>
    <row r="2321" spans="1:4" x14ac:dyDescent="0.25">
      <c r="A2321" t="s">
        <v>1362</v>
      </c>
      <c r="B2321">
        <v>3.424E-2</v>
      </c>
      <c r="C2321" t="str">
        <f t="shared" si="36"/>
        <v>SABINE RIVER AUTHORITY (SRA) OF TX, SRA-STATE OF LA AND ENTERGY TX INC</v>
      </c>
      <c r="D2321" t="b">
        <v>0</v>
      </c>
    </row>
    <row r="2322" spans="1:4" x14ac:dyDescent="0.25">
      <c r="A2322" t="s">
        <v>539</v>
      </c>
      <c r="B2322">
        <v>3.4000000000000002E-2</v>
      </c>
      <c r="C2322" t="str">
        <f t="shared" si="36"/>
        <v>CITY OF AUSTIN</v>
      </c>
      <c r="D2322" t="b">
        <v>0</v>
      </c>
    </row>
    <row r="2323" spans="1:4" x14ac:dyDescent="0.25">
      <c r="A2323" t="s">
        <v>271</v>
      </c>
      <c r="B2323">
        <v>3.4000000000000002E-2</v>
      </c>
      <c r="C2323" t="str">
        <f t="shared" si="36"/>
        <v>CITY OF THORNTON</v>
      </c>
      <c r="D2323" t="b">
        <v>0</v>
      </c>
    </row>
    <row r="2324" spans="1:4" x14ac:dyDescent="0.25">
      <c r="A2324" t="s">
        <v>2030</v>
      </c>
      <c r="B2324">
        <v>3.4000000000000002E-2</v>
      </c>
      <c r="C2324" t="str">
        <f t="shared" si="36"/>
        <v>TOWER OAK BEND WSC</v>
      </c>
      <c r="D2324" t="b">
        <v>0</v>
      </c>
    </row>
    <row r="2325" spans="1:4" x14ac:dyDescent="0.25">
      <c r="A2325" t="s">
        <v>2801</v>
      </c>
      <c r="B2325">
        <v>3.3700000000000001E-2</v>
      </c>
      <c r="C2325" t="str">
        <f t="shared" si="36"/>
        <v>CITY OF DALLAS</v>
      </c>
      <c r="D2325" t="b">
        <v>0</v>
      </c>
    </row>
    <row r="2326" spans="1:4" x14ac:dyDescent="0.25">
      <c r="A2326" t="s">
        <v>2798</v>
      </c>
      <c r="B2326">
        <v>3.3456E-2</v>
      </c>
      <c r="C2326" t="str">
        <f t="shared" si="36"/>
        <v>SCURRY-ROSSER ISD</v>
      </c>
      <c r="D2326" t="b">
        <v>0</v>
      </c>
    </row>
    <row r="2327" spans="1:4" x14ac:dyDescent="0.25">
      <c r="A2327" t="s">
        <v>1254</v>
      </c>
      <c r="B2327">
        <v>3.3000000000000002E-2</v>
      </c>
      <c r="C2327" t="str">
        <f t="shared" si="36"/>
        <v>CITY OF LAREDO</v>
      </c>
      <c r="D2327" t="b">
        <v>0</v>
      </c>
    </row>
    <row r="2328" spans="1:4" x14ac:dyDescent="0.25">
      <c r="A2328" t="s">
        <v>138</v>
      </c>
      <c r="B2328">
        <v>3.3000000000000002E-2</v>
      </c>
      <c r="C2328" t="str">
        <f t="shared" si="36"/>
        <v>CITY OF GUSTINE</v>
      </c>
      <c r="D2328" t="b">
        <v>0</v>
      </c>
    </row>
    <row r="2329" spans="1:4" x14ac:dyDescent="0.25">
      <c r="A2329" t="s">
        <v>2309</v>
      </c>
      <c r="B2329">
        <v>3.3000000000000002E-2</v>
      </c>
      <c r="C2329" t="str">
        <f t="shared" si="36"/>
        <v>HARRIS COUNTY MUD NO 405</v>
      </c>
      <c r="D2329" t="b">
        <v>0</v>
      </c>
    </row>
    <row r="2330" spans="1:4" x14ac:dyDescent="0.25">
      <c r="A2330" t="s">
        <v>1196</v>
      </c>
      <c r="B2330">
        <v>3.3000000000000002E-2</v>
      </c>
      <c r="C2330" t="str">
        <f t="shared" si="36"/>
        <v>CITY OF BURKBURNETT</v>
      </c>
      <c r="D2330" t="b">
        <v>0</v>
      </c>
    </row>
    <row r="2331" spans="1:4" x14ac:dyDescent="0.25">
      <c r="A2331" t="s">
        <v>1261</v>
      </c>
      <c r="B2331">
        <v>3.3000000000000002E-2</v>
      </c>
      <c r="C2331" t="str">
        <f t="shared" si="36"/>
        <v>CITY OF JOSEPHINE</v>
      </c>
      <c r="D2331" t="b">
        <v>0</v>
      </c>
    </row>
    <row r="2332" spans="1:4" x14ac:dyDescent="0.25">
      <c r="A2332" t="s">
        <v>2228</v>
      </c>
      <c r="B2332">
        <v>3.2968999999999998E-2</v>
      </c>
      <c r="C2332" t="str">
        <f t="shared" si="36"/>
        <v>PRAXAIR INC</v>
      </c>
      <c r="D2332" t="b">
        <v>0</v>
      </c>
    </row>
    <row r="2333" spans="1:4" x14ac:dyDescent="0.25">
      <c r="A2333" t="s">
        <v>36</v>
      </c>
      <c r="B2333">
        <v>3.2899999999999999E-2</v>
      </c>
      <c r="C2333" t="str">
        <f t="shared" si="36"/>
        <v>LAMBERTI USA INC</v>
      </c>
      <c r="D2333" t="b">
        <v>0</v>
      </c>
    </row>
    <row r="2334" spans="1:4" x14ac:dyDescent="0.25">
      <c r="A2334" t="s">
        <v>1374</v>
      </c>
      <c r="B2334">
        <v>3.27E-2</v>
      </c>
      <c r="C2334" t="str">
        <f t="shared" si="36"/>
        <v>NORTH ORANGE WATER &amp; SEWER LLC</v>
      </c>
      <c r="D2334" t="b">
        <v>0</v>
      </c>
    </row>
    <row r="2335" spans="1:4" x14ac:dyDescent="0.25">
      <c r="A2335" t="s">
        <v>1577</v>
      </c>
      <c r="B2335">
        <v>3.2599999999999997E-2</v>
      </c>
      <c r="C2335" t="str">
        <f t="shared" si="36"/>
        <v>K C UTILITIES INC</v>
      </c>
      <c r="D2335" t="b">
        <v>0</v>
      </c>
    </row>
    <row r="2336" spans="1:4" x14ac:dyDescent="0.25">
      <c r="A2336" t="s">
        <v>2351</v>
      </c>
      <c r="B2336">
        <v>3.2500000000000001E-2</v>
      </c>
      <c r="C2336" t="str">
        <f t="shared" si="36"/>
        <v>EXPLORER PIPELINE COMPANY</v>
      </c>
      <c r="D2336" t="b">
        <v>0</v>
      </c>
    </row>
    <row r="2337" spans="1:4" x14ac:dyDescent="0.25">
      <c r="A2337" t="s">
        <v>44</v>
      </c>
      <c r="B2337">
        <v>3.2099999999999997E-2</v>
      </c>
      <c r="C2337" t="str">
        <f t="shared" si="36"/>
        <v>TEXAS PARKS &amp; WILDLIFE DEPT</v>
      </c>
      <c r="D2337" t="b">
        <v>0</v>
      </c>
    </row>
    <row r="2338" spans="1:4" x14ac:dyDescent="0.25">
      <c r="A2338" t="s">
        <v>1935</v>
      </c>
      <c r="B2338">
        <v>3.2000000000000001E-2</v>
      </c>
      <c r="C2338" t="str">
        <f t="shared" si="36"/>
        <v>NATIONAL OILWELL VARCO LP</v>
      </c>
      <c r="D2338" t="b">
        <v>0</v>
      </c>
    </row>
    <row r="2339" spans="1:4" x14ac:dyDescent="0.25">
      <c r="A2339" t="s">
        <v>2453</v>
      </c>
      <c r="B2339">
        <v>3.2000000000000001E-2</v>
      </c>
      <c r="C2339" t="str">
        <f t="shared" si="36"/>
        <v>C&amp;R WATER SUPPLY INC</v>
      </c>
      <c r="D2339" t="b">
        <v>0</v>
      </c>
    </row>
    <row r="2340" spans="1:4" x14ac:dyDescent="0.25">
      <c r="A2340" t="s">
        <v>2458</v>
      </c>
      <c r="B2340">
        <v>3.2000000000000001E-2</v>
      </c>
      <c r="C2340" t="str">
        <f t="shared" si="36"/>
        <v>BISHOP TRAVIS LYNN</v>
      </c>
      <c r="D2340" t="b">
        <v>0</v>
      </c>
    </row>
    <row r="2341" spans="1:4" x14ac:dyDescent="0.25">
      <c r="A2341" t="s">
        <v>333</v>
      </c>
      <c r="B2341">
        <v>3.2000000000000001E-2</v>
      </c>
      <c r="C2341" t="str">
        <f t="shared" si="36"/>
        <v>RANCH UTILITIES LP</v>
      </c>
      <c r="D2341" t="b">
        <v>0</v>
      </c>
    </row>
    <row r="2342" spans="1:4" x14ac:dyDescent="0.25">
      <c r="A2342" t="s">
        <v>513</v>
      </c>
      <c r="B2342">
        <v>3.2000000000000001E-2</v>
      </c>
      <c r="C2342" t="str">
        <f t="shared" si="36"/>
        <v>CORIX UTILITIES TEXAS INC</v>
      </c>
      <c r="D2342" t="b">
        <v>0</v>
      </c>
    </row>
    <row r="2343" spans="1:4" x14ac:dyDescent="0.25">
      <c r="A2343" t="s">
        <v>1453</v>
      </c>
      <c r="B2343">
        <v>3.2000000000000001E-2</v>
      </c>
      <c r="C2343" t="str">
        <f t="shared" si="36"/>
        <v>BRIGHT STAR-SALEM SPECIAL UTILITY DISTRICT</v>
      </c>
      <c r="D2343" t="b">
        <v>0</v>
      </c>
    </row>
    <row r="2344" spans="1:4" x14ac:dyDescent="0.25">
      <c r="A2344" t="s">
        <v>893</v>
      </c>
      <c r="B2344">
        <v>3.1862000000000001E-2</v>
      </c>
      <c r="C2344" t="str">
        <f t="shared" si="36"/>
        <v>AIR LIQUIDE LARGE INDUSTRIES US LP</v>
      </c>
      <c r="D2344" t="b">
        <v>0</v>
      </c>
    </row>
    <row r="2345" spans="1:4" x14ac:dyDescent="0.25">
      <c r="A2345" t="s">
        <v>189</v>
      </c>
      <c r="B2345">
        <v>3.1800000000000002E-2</v>
      </c>
      <c r="C2345" t="str">
        <f t="shared" si="36"/>
        <v>AQUA TEXAS CO</v>
      </c>
      <c r="D2345" t="b">
        <v>0</v>
      </c>
    </row>
    <row r="2346" spans="1:4" x14ac:dyDescent="0.25">
      <c r="A2346" t="s">
        <v>2708</v>
      </c>
      <c r="B2346">
        <v>3.1E-2</v>
      </c>
      <c r="C2346" t="str">
        <f t="shared" si="36"/>
        <v>CITY OF BARDWELL</v>
      </c>
      <c r="D2346" t="b">
        <v>0</v>
      </c>
    </row>
    <row r="2347" spans="1:4" x14ac:dyDescent="0.25">
      <c r="A2347" t="s">
        <v>491</v>
      </c>
      <c r="B2347">
        <v>3.1E-2</v>
      </c>
      <c r="C2347" t="str">
        <f t="shared" si="36"/>
        <v>ELLINGER SEWER WSC</v>
      </c>
      <c r="D2347" t="b">
        <v>0</v>
      </c>
    </row>
    <row r="2348" spans="1:4" x14ac:dyDescent="0.25">
      <c r="A2348" t="s">
        <v>1270</v>
      </c>
      <c r="B2348">
        <v>3.1E-2</v>
      </c>
      <c r="C2348" t="str">
        <f t="shared" si="36"/>
        <v>LIBERTY-DANVILLE FWSD NO 2</v>
      </c>
      <c r="D2348" t="b">
        <v>0</v>
      </c>
    </row>
    <row r="2349" spans="1:4" x14ac:dyDescent="0.25">
      <c r="A2349" t="s">
        <v>2310</v>
      </c>
      <c r="B2349">
        <v>3.1E-2</v>
      </c>
      <c r="C2349" t="str">
        <f t="shared" si="36"/>
        <v>UA HOLDINGS 1994-5 LP</v>
      </c>
      <c r="D2349" t="b">
        <v>0</v>
      </c>
    </row>
    <row r="2350" spans="1:4" x14ac:dyDescent="0.25">
      <c r="A2350" t="s">
        <v>146</v>
      </c>
      <c r="B2350">
        <v>3.04E-2</v>
      </c>
      <c r="C2350" t="str">
        <f t="shared" si="36"/>
        <v>CITY OF OGLESBY</v>
      </c>
      <c r="D2350" t="b">
        <v>0</v>
      </c>
    </row>
    <row r="2351" spans="1:4" x14ac:dyDescent="0.25">
      <c r="A2351" t="s">
        <v>74</v>
      </c>
      <c r="B2351">
        <v>3.0200000000000001E-2</v>
      </c>
      <c r="C2351" t="str">
        <f t="shared" si="36"/>
        <v>CITY OF IREDELL</v>
      </c>
      <c r="D2351" t="b">
        <v>0</v>
      </c>
    </row>
    <row r="2352" spans="1:4" x14ac:dyDescent="0.25">
      <c r="A2352" t="s">
        <v>314</v>
      </c>
      <c r="B2352">
        <v>3.0200000000000001E-2</v>
      </c>
      <c r="C2352" t="str">
        <f t="shared" si="36"/>
        <v>PALO PINTO COUNTY</v>
      </c>
      <c r="D2352" t="b">
        <v>0</v>
      </c>
    </row>
    <row r="2353" spans="1:4" x14ac:dyDescent="0.25">
      <c r="A2353" t="s">
        <v>934</v>
      </c>
      <c r="B2353">
        <v>3.0099999999999998E-2</v>
      </c>
      <c r="C2353" t="str">
        <f t="shared" si="36"/>
        <v>MOSCOW WSC</v>
      </c>
      <c r="D2353" t="b">
        <v>0</v>
      </c>
    </row>
    <row r="2354" spans="1:4" x14ac:dyDescent="0.25">
      <c r="A2354" t="s">
        <v>791</v>
      </c>
      <c r="B2354">
        <v>3.005E-2</v>
      </c>
      <c r="C2354" t="str">
        <f t="shared" si="36"/>
        <v>OREAL INC</v>
      </c>
      <c r="D2354" t="b">
        <v>0</v>
      </c>
    </row>
    <row r="2355" spans="1:4" x14ac:dyDescent="0.25">
      <c r="A2355" t="s">
        <v>2823</v>
      </c>
      <c r="B2355">
        <v>0.03</v>
      </c>
      <c r="C2355" t="str">
        <f t="shared" si="36"/>
        <v>MONTEREY MUSHROOMS INC</v>
      </c>
      <c r="D2355" t="b">
        <v>0</v>
      </c>
    </row>
    <row r="2356" spans="1:4" x14ac:dyDescent="0.25">
      <c r="A2356" t="s">
        <v>1983</v>
      </c>
      <c r="B2356">
        <v>0.03</v>
      </c>
      <c r="C2356" t="str">
        <f t="shared" si="36"/>
        <v>HYDRIL USA MANUFACTURING LLC</v>
      </c>
      <c r="D2356" t="b">
        <v>0</v>
      </c>
    </row>
    <row r="2357" spans="1:4" x14ac:dyDescent="0.25">
      <c r="A2357" t="s">
        <v>2149</v>
      </c>
      <c r="B2357">
        <v>0.03</v>
      </c>
      <c r="C2357" t="str">
        <f t="shared" si="36"/>
        <v>SOUTHWEST SHIPYARD LP</v>
      </c>
      <c r="D2357" t="b">
        <v>0</v>
      </c>
    </row>
    <row r="2358" spans="1:4" x14ac:dyDescent="0.25">
      <c r="A2358" t="s">
        <v>2150</v>
      </c>
      <c r="B2358">
        <v>0.03</v>
      </c>
      <c r="C2358" t="str">
        <f t="shared" si="36"/>
        <v>SOUTHWEST SHIPYARD LP</v>
      </c>
      <c r="D2358" t="b">
        <v>0</v>
      </c>
    </row>
    <row r="2359" spans="1:4" x14ac:dyDescent="0.25">
      <c r="A2359" t="s">
        <v>2151</v>
      </c>
      <c r="B2359">
        <v>0.03</v>
      </c>
      <c r="C2359" t="str">
        <f t="shared" si="36"/>
        <v>SOUTHWEST SHIPYARD LP</v>
      </c>
      <c r="D2359" t="b">
        <v>0</v>
      </c>
    </row>
    <row r="2360" spans="1:4" x14ac:dyDescent="0.25">
      <c r="A2360" t="s">
        <v>2152</v>
      </c>
      <c r="B2360">
        <v>0.03</v>
      </c>
      <c r="C2360" t="str">
        <f t="shared" si="36"/>
        <v>SOUTHWEST SHIPYARD LP</v>
      </c>
      <c r="D2360" t="b">
        <v>0</v>
      </c>
    </row>
    <row r="2361" spans="1:4" x14ac:dyDescent="0.25">
      <c r="A2361" t="s">
        <v>2756</v>
      </c>
      <c r="B2361">
        <v>0.03</v>
      </c>
      <c r="C2361" t="str">
        <f t="shared" si="36"/>
        <v>MONARCH UTILITIES I LP</v>
      </c>
      <c r="D2361" t="b">
        <v>0</v>
      </c>
    </row>
    <row r="2362" spans="1:4" x14ac:dyDescent="0.25">
      <c r="A2362" t="s">
        <v>1084</v>
      </c>
      <c r="B2362">
        <v>0.03</v>
      </c>
      <c r="C2362" t="str">
        <f t="shared" si="36"/>
        <v>GRAVITY MIDSTREAM CORPUS CHRISTI LLC</v>
      </c>
      <c r="D2362" t="b">
        <v>0</v>
      </c>
    </row>
    <row r="2363" spans="1:4" x14ac:dyDescent="0.25">
      <c r="A2363" t="s">
        <v>670</v>
      </c>
      <c r="B2363">
        <v>0.03</v>
      </c>
      <c r="C2363" t="str">
        <f t="shared" si="36"/>
        <v>SOUTH CENTRAL CALHOUN COUNTY WCID 1</v>
      </c>
      <c r="D2363" t="b">
        <v>0</v>
      </c>
    </row>
    <row r="2364" spans="1:4" x14ac:dyDescent="0.25">
      <c r="A2364" t="s">
        <v>393</v>
      </c>
      <c r="B2364">
        <v>0.03</v>
      </c>
      <c r="C2364" t="str">
        <f t="shared" si="36"/>
        <v>CITY OF OLNEY</v>
      </c>
      <c r="D2364" t="b">
        <v>0</v>
      </c>
    </row>
    <row r="2365" spans="1:4" x14ac:dyDescent="0.25">
      <c r="A2365" t="s">
        <v>1257</v>
      </c>
      <c r="B2365">
        <v>0.03</v>
      </c>
      <c r="C2365" t="str">
        <f t="shared" si="36"/>
        <v>CITY OF LAREDO</v>
      </c>
      <c r="D2365" t="b">
        <v>0</v>
      </c>
    </row>
    <row r="2366" spans="1:4" x14ac:dyDescent="0.25">
      <c r="A2366" t="s">
        <v>2492</v>
      </c>
      <c r="B2366">
        <v>0.03</v>
      </c>
      <c r="C2366" t="str">
        <f t="shared" si="36"/>
        <v>SOUTH CENTRAL WATER CO</v>
      </c>
      <c r="D2366" t="b">
        <v>0</v>
      </c>
    </row>
    <row r="2367" spans="1:4" x14ac:dyDescent="0.25">
      <c r="A2367" t="s">
        <v>1119</v>
      </c>
      <c r="B2367">
        <v>0.03</v>
      </c>
      <c r="C2367" t="str">
        <f t="shared" si="36"/>
        <v>SEVENTY SEVEN LAND CO LLC</v>
      </c>
      <c r="D2367" t="b">
        <v>0</v>
      </c>
    </row>
    <row r="2368" spans="1:4" x14ac:dyDescent="0.25">
      <c r="A2368" t="s">
        <v>2768</v>
      </c>
      <c r="B2368">
        <v>0.03</v>
      </c>
      <c r="C2368" t="str">
        <f t="shared" si="36"/>
        <v>CITY OF MERTENS</v>
      </c>
      <c r="D2368" t="b">
        <v>0</v>
      </c>
    </row>
    <row r="2369" spans="1:4" x14ac:dyDescent="0.25">
      <c r="A2369" t="s">
        <v>626</v>
      </c>
      <c r="B2369">
        <v>0.03</v>
      </c>
      <c r="C2369" t="str">
        <f t="shared" si="36"/>
        <v>GONZALES COUNTY WSC</v>
      </c>
      <c r="D2369" t="b">
        <v>0</v>
      </c>
    </row>
    <row r="2370" spans="1:4" x14ac:dyDescent="0.25">
      <c r="A2370" t="s">
        <v>2452</v>
      </c>
      <c r="B2370">
        <v>2.9399999999999999E-2</v>
      </c>
      <c r="C2370" t="str">
        <f t="shared" ref="C2370:C2433" si="37">VLOOKUP(A2370,PERMITTEES,2,FALSE)</f>
        <v>DEL LAGO ESTATES WSC</v>
      </c>
      <c r="D2370" t="b">
        <v>0</v>
      </c>
    </row>
    <row r="2371" spans="1:4" x14ac:dyDescent="0.25">
      <c r="A2371" t="s">
        <v>2612</v>
      </c>
      <c r="B2371">
        <v>2.9339E-2</v>
      </c>
      <c r="C2371" t="str">
        <f t="shared" si="37"/>
        <v>MONUMENT CHEMICAL BAYTOWN LLC</v>
      </c>
      <c r="D2371" t="b">
        <v>0</v>
      </c>
    </row>
    <row r="2372" spans="1:4" x14ac:dyDescent="0.25">
      <c r="A2372" t="s">
        <v>358</v>
      </c>
      <c r="B2372">
        <v>2.92E-2</v>
      </c>
      <c r="C2372" t="str">
        <f t="shared" si="37"/>
        <v>TARRANT BAPTIST ASSN INC</v>
      </c>
      <c r="D2372" t="b">
        <v>0</v>
      </c>
    </row>
    <row r="2373" spans="1:4" x14ac:dyDescent="0.25">
      <c r="A2373" t="s">
        <v>1956</v>
      </c>
      <c r="B2373">
        <v>2.9000000000000001E-2</v>
      </c>
      <c r="C2373" t="str">
        <f t="shared" si="37"/>
        <v>WOODLOCH MHP LLC</v>
      </c>
      <c r="D2373" t="b">
        <v>0</v>
      </c>
    </row>
    <row r="2374" spans="1:4" x14ac:dyDescent="0.25">
      <c r="A2374" t="s">
        <v>646</v>
      </c>
      <c r="B2374">
        <v>2.9000000000000001E-2</v>
      </c>
      <c r="C2374" t="str">
        <f t="shared" si="37"/>
        <v>DEVEREUX FOUNDATION</v>
      </c>
      <c r="D2374" t="b">
        <v>0</v>
      </c>
    </row>
    <row r="2375" spans="1:4" x14ac:dyDescent="0.25">
      <c r="A2375" t="s">
        <v>2500</v>
      </c>
      <c r="B2375">
        <v>2.9000000000000001E-2</v>
      </c>
      <c r="C2375" t="str">
        <f t="shared" si="37"/>
        <v>MONTGOMERY COUNTY MUD NO 96</v>
      </c>
      <c r="D2375" t="b">
        <v>0</v>
      </c>
    </row>
    <row r="2376" spans="1:4" x14ac:dyDescent="0.25">
      <c r="A2376" t="s">
        <v>2503</v>
      </c>
      <c r="B2376">
        <v>2.8920000000000001E-2</v>
      </c>
      <c r="C2376" t="str">
        <f t="shared" si="37"/>
        <v>QUADVEST LP</v>
      </c>
      <c r="D2376" t="b">
        <v>0</v>
      </c>
    </row>
    <row r="2377" spans="1:4" x14ac:dyDescent="0.25">
      <c r="A2377" t="s">
        <v>463</v>
      </c>
      <c r="B2377">
        <v>2.877E-2</v>
      </c>
      <c r="C2377" t="str">
        <f t="shared" si="37"/>
        <v>AQUA WSC</v>
      </c>
      <c r="D2377" t="b">
        <v>0</v>
      </c>
    </row>
    <row r="2378" spans="1:4" x14ac:dyDescent="0.25">
      <c r="A2378" t="s">
        <v>77</v>
      </c>
      <c r="B2378">
        <v>2.87E-2</v>
      </c>
      <c r="C2378" t="str">
        <f t="shared" si="37"/>
        <v>CITY OF MORGAN</v>
      </c>
      <c r="D2378" t="b">
        <v>0</v>
      </c>
    </row>
    <row r="2379" spans="1:4" x14ac:dyDescent="0.25">
      <c r="A2379" t="s">
        <v>417</v>
      </c>
      <c r="B2379">
        <v>2.8000000000000001E-2</v>
      </c>
      <c r="C2379" t="str">
        <f t="shared" si="37"/>
        <v>ALCOA WORLD ALUMINA LLC</v>
      </c>
      <c r="D2379" t="b">
        <v>0</v>
      </c>
    </row>
    <row r="2380" spans="1:4" x14ac:dyDescent="0.25">
      <c r="A2380" t="s">
        <v>119</v>
      </c>
      <c r="B2380">
        <v>2.8000000000000001E-2</v>
      </c>
      <c r="C2380" t="str">
        <f t="shared" si="37"/>
        <v>HYDER SYED NOORIDUN</v>
      </c>
      <c r="D2380" t="b">
        <v>0</v>
      </c>
    </row>
    <row r="2381" spans="1:4" x14ac:dyDescent="0.25">
      <c r="A2381" t="s">
        <v>2527</v>
      </c>
      <c r="B2381">
        <v>2.8000000000000001E-2</v>
      </c>
      <c r="C2381" t="str">
        <f t="shared" si="37"/>
        <v>NALCO COMPANY LLC</v>
      </c>
      <c r="D2381" t="b">
        <v>0</v>
      </c>
    </row>
    <row r="2382" spans="1:4" x14ac:dyDescent="0.25">
      <c r="A2382" t="s">
        <v>1115</v>
      </c>
      <c r="B2382">
        <v>2.8000000000000001E-2</v>
      </c>
      <c r="C2382" t="str">
        <f t="shared" si="37"/>
        <v>CITY OF BIG WELLS</v>
      </c>
      <c r="D2382" t="b">
        <v>0</v>
      </c>
    </row>
    <row r="2383" spans="1:4" x14ac:dyDescent="0.25">
      <c r="A2383" t="s">
        <v>702</v>
      </c>
      <c r="B2383">
        <v>2.8000000000000001E-2</v>
      </c>
      <c r="C2383" t="str">
        <f t="shared" si="37"/>
        <v>AQUA TEXAS INC</v>
      </c>
      <c r="D2383" t="b">
        <v>0</v>
      </c>
    </row>
    <row r="2384" spans="1:4" x14ac:dyDescent="0.25">
      <c r="A2384" t="s">
        <v>896</v>
      </c>
      <c r="B2384">
        <v>2.8000000000000001E-2</v>
      </c>
      <c r="C2384" t="str">
        <f t="shared" si="37"/>
        <v>MARINE FUELING SERVICE INC</v>
      </c>
      <c r="D2384" t="b">
        <v>0</v>
      </c>
    </row>
    <row r="2385" spans="1:4" x14ac:dyDescent="0.25">
      <c r="A2385" t="s">
        <v>699</v>
      </c>
      <c r="B2385">
        <v>2.7799999999999998E-2</v>
      </c>
      <c r="C2385" t="str">
        <f t="shared" si="37"/>
        <v>AQUA TEXAS INC</v>
      </c>
      <c r="D2385" t="b">
        <v>0</v>
      </c>
    </row>
    <row r="2386" spans="1:4" x14ac:dyDescent="0.25">
      <c r="A2386" t="s">
        <v>2780</v>
      </c>
      <c r="B2386">
        <v>2.768E-2</v>
      </c>
      <c r="C2386" t="str">
        <f t="shared" si="37"/>
        <v>BLUE WATER OAKS PROPERTY OWNERS ASSN SEWER SERVICE AND WSC</v>
      </c>
      <c r="D2386" t="b">
        <v>0</v>
      </c>
    </row>
    <row r="2387" spans="1:4" x14ac:dyDescent="0.25">
      <c r="A2387" t="s">
        <v>654</v>
      </c>
      <c r="B2387">
        <v>2.7E-2</v>
      </c>
      <c r="C2387" t="str">
        <f t="shared" si="37"/>
        <v>UNION CARBIDE CORP</v>
      </c>
      <c r="D2387" t="b">
        <v>0</v>
      </c>
    </row>
    <row r="2388" spans="1:4" x14ac:dyDescent="0.25">
      <c r="A2388" t="s">
        <v>2764</v>
      </c>
      <c r="B2388">
        <v>2.7E-2</v>
      </c>
      <c r="C2388" t="str">
        <f t="shared" si="37"/>
        <v>CITY OF MALONE</v>
      </c>
      <c r="D2388" t="b">
        <v>0</v>
      </c>
    </row>
    <row r="2389" spans="1:4" x14ac:dyDescent="0.25">
      <c r="A2389" t="s">
        <v>1510</v>
      </c>
      <c r="B2389">
        <v>2.7E-2</v>
      </c>
      <c r="C2389" t="str">
        <f t="shared" si="37"/>
        <v>EAST CENTRAL ISD</v>
      </c>
      <c r="D2389" t="b">
        <v>0</v>
      </c>
    </row>
    <row r="2390" spans="1:4" x14ac:dyDescent="0.25">
      <c r="A2390" t="s">
        <v>1174</v>
      </c>
      <c r="B2390">
        <v>2.7E-2</v>
      </c>
      <c r="C2390" t="str">
        <f t="shared" si="37"/>
        <v>SRC WATER SUPPLY INC &amp; LASS WATER CO INC</v>
      </c>
      <c r="D2390" t="b">
        <v>0</v>
      </c>
    </row>
    <row r="2391" spans="1:4" x14ac:dyDescent="0.25">
      <c r="A2391" t="s">
        <v>220</v>
      </c>
      <c r="B2391">
        <v>2.7E-2</v>
      </c>
      <c r="C2391" t="str">
        <f t="shared" si="37"/>
        <v>CITY OF ANDERSON</v>
      </c>
      <c r="D2391" t="b">
        <v>0</v>
      </c>
    </row>
    <row r="2392" spans="1:4" x14ac:dyDescent="0.25">
      <c r="A2392" t="s">
        <v>2460</v>
      </c>
      <c r="B2392">
        <v>2.7E-2</v>
      </c>
      <c r="C2392" t="str">
        <f t="shared" si="37"/>
        <v>SPLENDORA ISD</v>
      </c>
      <c r="D2392" t="b">
        <v>0</v>
      </c>
    </row>
    <row r="2393" spans="1:4" x14ac:dyDescent="0.25">
      <c r="A2393" t="s">
        <v>532</v>
      </c>
      <c r="B2393">
        <v>2.7E-2</v>
      </c>
      <c r="C2393" t="str">
        <f t="shared" si="37"/>
        <v>CITY OF MULLIN</v>
      </c>
      <c r="D2393" t="b">
        <v>0</v>
      </c>
    </row>
    <row r="2394" spans="1:4" x14ac:dyDescent="0.25">
      <c r="A2394" t="s">
        <v>2491</v>
      </c>
      <c r="B2394">
        <v>2.7E-2</v>
      </c>
      <c r="C2394" t="str">
        <f t="shared" si="37"/>
        <v>EASTWOOD HILLS MOBILE HOME PARK LP</v>
      </c>
      <c r="D2394" t="b">
        <v>0</v>
      </c>
    </row>
    <row r="2395" spans="1:4" x14ac:dyDescent="0.25">
      <c r="A2395" t="s">
        <v>2369</v>
      </c>
      <c r="B2395">
        <v>2.7E-2</v>
      </c>
      <c r="C2395" t="str">
        <f t="shared" si="37"/>
        <v>SOUTH ATLANTIC SERVICES INC</v>
      </c>
      <c r="D2395" t="b">
        <v>0</v>
      </c>
    </row>
    <row r="2396" spans="1:4" x14ac:dyDescent="0.25">
      <c r="A2396" t="s">
        <v>2848</v>
      </c>
      <c r="B2396">
        <v>2.6856999999999999E-2</v>
      </c>
      <c r="C2396" t="str">
        <f t="shared" si="37"/>
        <v>PURE UTILITIES LC</v>
      </c>
      <c r="D2396" t="b">
        <v>0</v>
      </c>
    </row>
    <row r="2397" spans="1:4" x14ac:dyDescent="0.25">
      <c r="A2397" t="s">
        <v>2247</v>
      </c>
      <c r="B2397">
        <v>2.6811999999999999E-2</v>
      </c>
      <c r="C2397" t="str">
        <f t="shared" si="37"/>
        <v>ALDINE ISD</v>
      </c>
      <c r="D2397" t="b">
        <v>0</v>
      </c>
    </row>
    <row r="2398" spans="1:4" x14ac:dyDescent="0.25">
      <c r="A2398" t="s">
        <v>2716</v>
      </c>
      <c r="B2398">
        <v>2.6800000000000001E-2</v>
      </c>
      <c r="C2398" t="str">
        <f t="shared" si="37"/>
        <v>MATHESON TRI-GAS INC</v>
      </c>
      <c r="D2398" t="b">
        <v>0</v>
      </c>
    </row>
    <row r="2399" spans="1:4" x14ac:dyDescent="0.25">
      <c r="A2399" t="s">
        <v>1335</v>
      </c>
      <c r="B2399">
        <v>2.6599999999999999E-2</v>
      </c>
      <c r="C2399" t="str">
        <f t="shared" si="37"/>
        <v>BIG OAK LTD</v>
      </c>
      <c r="D2399" t="b">
        <v>0</v>
      </c>
    </row>
    <row r="2400" spans="1:4" x14ac:dyDescent="0.25">
      <c r="A2400" t="s">
        <v>37</v>
      </c>
      <c r="B2400">
        <v>2.6499999999999999E-2</v>
      </c>
      <c r="C2400" t="str">
        <f t="shared" si="37"/>
        <v>HUNGERFORD MUD NO 1</v>
      </c>
      <c r="D2400" t="b">
        <v>0</v>
      </c>
    </row>
    <row r="2401" spans="1:4" x14ac:dyDescent="0.25">
      <c r="A2401" t="s">
        <v>2573</v>
      </c>
      <c r="B2401">
        <v>2.6200000000000001E-2</v>
      </c>
      <c r="C2401" t="str">
        <f t="shared" si="37"/>
        <v>NERRO SUPPLY LLC</v>
      </c>
      <c r="D2401" t="b">
        <v>0</v>
      </c>
    </row>
    <row r="2402" spans="1:4" x14ac:dyDescent="0.25">
      <c r="A2402" t="s">
        <v>415</v>
      </c>
      <c r="B2402">
        <v>2.6061000000000001E-2</v>
      </c>
      <c r="C2402" t="str">
        <f t="shared" si="37"/>
        <v>ALCOA WORLD ALUMINA LLC</v>
      </c>
      <c r="D2402" t="b">
        <v>0</v>
      </c>
    </row>
    <row r="2403" spans="1:4" x14ac:dyDescent="0.25">
      <c r="A2403" t="s">
        <v>1570</v>
      </c>
      <c r="B2403">
        <v>2.5999999999999999E-2</v>
      </c>
      <c r="C2403" t="str">
        <f t="shared" si="37"/>
        <v>ORBIT SYSTEMS INC</v>
      </c>
      <c r="D2403" t="b">
        <v>0</v>
      </c>
    </row>
    <row r="2404" spans="1:4" x14ac:dyDescent="0.25">
      <c r="A2404" t="s">
        <v>2058</v>
      </c>
      <c r="B2404">
        <v>2.5999999999999999E-2</v>
      </c>
      <c r="C2404" t="str">
        <f t="shared" si="37"/>
        <v>FESTIVAL PROPERTIES INC</v>
      </c>
      <c r="D2404" t="b">
        <v>0</v>
      </c>
    </row>
    <row r="2405" spans="1:4" x14ac:dyDescent="0.25">
      <c r="A2405" t="s">
        <v>233</v>
      </c>
      <c r="B2405">
        <v>2.5999999999999999E-2</v>
      </c>
      <c r="C2405" t="str">
        <f t="shared" si="37"/>
        <v>CITY OF COVINGTON</v>
      </c>
      <c r="D2405" t="b">
        <v>0</v>
      </c>
    </row>
    <row r="2406" spans="1:4" x14ac:dyDescent="0.25">
      <c r="A2406" t="s">
        <v>2220</v>
      </c>
      <c r="B2406">
        <v>2.5999999999999999E-2</v>
      </c>
      <c r="C2406" t="str">
        <f t="shared" si="37"/>
        <v>SASSON ELI GRAVRIEL</v>
      </c>
      <c r="D2406" t="b">
        <v>0</v>
      </c>
    </row>
    <row r="2407" spans="1:4" x14ac:dyDescent="0.25">
      <c r="A2407" t="s">
        <v>2293</v>
      </c>
      <c r="B2407">
        <v>2.5999999999999999E-2</v>
      </c>
      <c r="C2407" t="str">
        <f t="shared" si="37"/>
        <v>TEXAS PARKS AND WILDLIFE DEPT</v>
      </c>
      <c r="D2407" t="b">
        <v>0</v>
      </c>
    </row>
    <row r="2408" spans="1:4" x14ac:dyDescent="0.25">
      <c r="A2408" t="s">
        <v>2677</v>
      </c>
      <c r="B2408">
        <v>2.5999999999999999E-2</v>
      </c>
      <c r="C2408" t="str">
        <f t="shared" si="37"/>
        <v>DALLAS 2100 ROSS LP</v>
      </c>
      <c r="D2408" t="b">
        <v>0</v>
      </c>
    </row>
    <row r="2409" spans="1:4" x14ac:dyDescent="0.25">
      <c r="A2409" t="s">
        <v>140</v>
      </c>
      <c r="B2409">
        <v>2.5999999999999999E-2</v>
      </c>
      <c r="C2409" t="str">
        <f t="shared" si="37"/>
        <v>UPPER LEON RIVER MWD</v>
      </c>
      <c r="D2409" t="b">
        <v>0</v>
      </c>
    </row>
    <row r="2410" spans="1:4" x14ac:dyDescent="0.25">
      <c r="A2410" t="s">
        <v>2715</v>
      </c>
      <c r="B2410">
        <v>2.5700000000000001E-2</v>
      </c>
      <c r="C2410" t="str">
        <f t="shared" si="37"/>
        <v>HOLCIM (TEXAS) LP</v>
      </c>
      <c r="D2410" t="b">
        <v>0</v>
      </c>
    </row>
    <row r="2411" spans="1:4" x14ac:dyDescent="0.25">
      <c r="A2411" t="s">
        <v>2517</v>
      </c>
      <c r="B2411">
        <v>2.5499999999999998E-2</v>
      </c>
      <c r="C2411" t="str">
        <f t="shared" si="37"/>
        <v>IGLOO PRODUCTS CORP</v>
      </c>
      <c r="D2411" t="b">
        <v>0</v>
      </c>
    </row>
    <row r="2412" spans="1:4" x14ac:dyDescent="0.25">
      <c r="A2412" t="s">
        <v>2734</v>
      </c>
      <c r="B2412">
        <v>2.53E-2</v>
      </c>
      <c r="C2412" t="str">
        <f t="shared" si="37"/>
        <v>THOMPSON WATER CO INC</v>
      </c>
      <c r="D2412" t="b">
        <v>0</v>
      </c>
    </row>
    <row r="2413" spans="1:4" x14ac:dyDescent="0.25">
      <c r="A2413" t="s">
        <v>2176</v>
      </c>
      <c r="B2413">
        <v>2.5219999999999999E-2</v>
      </c>
      <c r="C2413" t="str">
        <f t="shared" si="37"/>
        <v>KARBALAI, RITA LAURA REDOW</v>
      </c>
      <c r="D2413" t="b">
        <v>0</v>
      </c>
    </row>
    <row r="2414" spans="1:4" x14ac:dyDescent="0.25">
      <c r="A2414" t="s">
        <v>945</v>
      </c>
      <c r="B2414">
        <v>2.5000000000000001E-2</v>
      </c>
      <c r="C2414" t="str">
        <f t="shared" si="37"/>
        <v>CITY OF BROADDUS</v>
      </c>
      <c r="D2414" t="b">
        <v>0</v>
      </c>
    </row>
    <row r="2415" spans="1:4" x14ac:dyDescent="0.25">
      <c r="A2415" t="s">
        <v>2892</v>
      </c>
      <c r="B2415">
        <v>2.5000000000000001E-2</v>
      </c>
      <c r="C2415" t="str">
        <f t="shared" si="37"/>
        <v>YOUNG MENS CHRISTIAN ASSOCIATION OF THE GREATER HOUSTON AREA</v>
      </c>
      <c r="D2415" t="b">
        <v>0</v>
      </c>
    </row>
    <row r="2416" spans="1:4" x14ac:dyDescent="0.25">
      <c r="A2416" t="s">
        <v>677</v>
      </c>
      <c r="B2416">
        <v>2.5000000000000001E-2</v>
      </c>
      <c r="C2416" t="str">
        <f t="shared" si="37"/>
        <v>AQUA TEXAS INC</v>
      </c>
      <c r="D2416" t="b">
        <v>0</v>
      </c>
    </row>
    <row r="2417" spans="1:4" x14ac:dyDescent="0.25">
      <c r="A2417" t="s">
        <v>970</v>
      </c>
      <c r="B2417">
        <v>2.5000000000000001E-2</v>
      </c>
      <c r="C2417" t="str">
        <f t="shared" si="37"/>
        <v>CITY OF COLMESNEIL</v>
      </c>
      <c r="D2417" t="b">
        <v>0</v>
      </c>
    </row>
    <row r="2418" spans="1:4" x14ac:dyDescent="0.25">
      <c r="A2418" t="s">
        <v>2698</v>
      </c>
      <c r="B2418">
        <v>2.5000000000000001E-2</v>
      </c>
      <c r="C2418" t="str">
        <f t="shared" si="37"/>
        <v>ROCKY POINT ESTATES LAND TRUST &amp; CASE, STEVEN LEE</v>
      </c>
      <c r="D2418" t="b">
        <v>0</v>
      </c>
    </row>
    <row r="2419" spans="1:4" x14ac:dyDescent="0.25">
      <c r="A2419" t="s">
        <v>2486</v>
      </c>
      <c r="B2419">
        <v>2.5000000000000001E-2</v>
      </c>
      <c r="C2419" t="str">
        <f t="shared" si="37"/>
        <v>SOUTH CENTRAL WATER CO</v>
      </c>
      <c r="D2419" t="b">
        <v>0</v>
      </c>
    </row>
    <row r="2420" spans="1:4" x14ac:dyDescent="0.25">
      <c r="A2420" t="s">
        <v>440</v>
      </c>
      <c r="B2420">
        <v>2.5000000000000001E-2</v>
      </c>
      <c r="C2420" t="str">
        <f t="shared" si="37"/>
        <v>DRY CREEK (HOUSTON) ASLI VII LLC</v>
      </c>
      <c r="D2420" t="b">
        <v>0</v>
      </c>
    </row>
    <row r="2421" spans="1:4" x14ac:dyDescent="0.25">
      <c r="A2421" t="s">
        <v>1768</v>
      </c>
      <c r="B2421">
        <v>2.4910000000000002E-2</v>
      </c>
      <c r="C2421" t="str">
        <f t="shared" si="37"/>
        <v>SASOL CHEMICALS USA LLC</v>
      </c>
      <c r="D2421" t="b">
        <v>0</v>
      </c>
    </row>
    <row r="2422" spans="1:4" x14ac:dyDescent="0.25">
      <c r="A2422" t="s">
        <v>2370</v>
      </c>
      <c r="B2422">
        <v>2.4701000000000001E-2</v>
      </c>
      <c r="C2422" t="str">
        <f t="shared" si="37"/>
        <v>HOA KHUONG BUI AND CHUONG ANH NGUYEN</v>
      </c>
      <c r="D2422" t="b">
        <v>0</v>
      </c>
    </row>
    <row r="2423" spans="1:4" x14ac:dyDescent="0.25">
      <c r="A2423" t="s">
        <v>117</v>
      </c>
      <c r="B2423">
        <v>2.4E-2</v>
      </c>
      <c r="C2423" t="str">
        <f t="shared" si="37"/>
        <v>TXBR RAMBLEWOOD MHP LLC</v>
      </c>
      <c r="D2423" t="b">
        <v>0</v>
      </c>
    </row>
    <row r="2424" spans="1:4" x14ac:dyDescent="0.25">
      <c r="A2424" t="s">
        <v>2119</v>
      </c>
      <c r="B2424">
        <v>2.4E-2</v>
      </c>
      <c r="C2424" t="str">
        <f t="shared" si="37"/>
        <v>GEO SPECIALTY CHEMICALS INC</v>
      </c>
      <c r="D2424" t="b">
        <v>0</v>
      </c>
    </row>
    <row r="2425" spans="1:4" x14ac:dyDescent="0.25">
      <c r="A2425" t="s">
        <v>2886</v>
      </c>
      <c r="B2425">
        <v>2.4E-2</v>
      </c>
      <c r="C2425" t="str">
        <f t="shared" si="37"/>
        <v>EMCAD WATER AND WASTEWATER LLC</v>
      </c>
      <c r="D2425" t="b">
        <v>0</v>
      </c>
    </row>
    <row r="2426" spans="1:4" x14ac:dyDescent="0.25">
      <c r="A2426" t="s">
        <v>2297</v>
      </c>
      <c r="B2426">
        <v>2.4E-2</v>
      </c>
      <c r="C2426" t="str">
        <f t="shared" si="37"/>
        <v>TIDWELL WASTEWATER UTILITY LLC</v>
      </c>
      <c r="D2426" t="b">
        <v>0</v>
      </c>
    </row>
    <row r="2427" spans="1:4" x14ac:dyDescent="0.25">
      <c r="A2427" t="s">
        <v>2504</v>
      </c>
      <c r="B2427">
        <v>2.4E-2</v>
      </c>
      <c r="C2427" t="str">
        <f t="shared" si="37"/>
        <v>MSEC ENTERPRISES INC</v>
      </c>
      <c r="D2427" t="b">
        <v>0</v>
      </c>
    </row>
    <row r="2428" spans="1:4" x14ac:dyDescent="0.25">
      <c r="A2428" t="s">
        <v>841</v>
      </c>
      <c r="B2428">
        <v>2.3E-2</v>
      </c>
      <c r="C2428" t="str">
        <f t="shared" si="37"/>
        <v>MARTIN OPERATING PARTNERSHIP LP</v>
      </c>
      <c r="D2428" t="b">
        <v>0</v>
      </c>
    </row>
    <row r="2429" spans="1:4" x14ac:dyDescent="0.25">
      <c r="A2429" t="s">
        <v>1159</v>
      </c>
      <c r="B2429">
        <v>2.3E-2</v>
      </c>
      <c r="C2429" t="str">
        <f t="shared" si="37"/>
        <v>RANDOLPH WSC</v>
      </c>
      <c r="D2429" t="b">
        <v>0</v>
      </c>
    </row>
    <row r="2430" spans="1:4" x14ac:dyDescent="0.25">
      <c r="A2430" t="s">
        <v>1466</v>
      </c>
      <c r="B2430">
        <v>2.3E-2</v>
      </c>
      <c r="C2430" t="str">
        <f t="shared" si="37"/>
        <v>CITY OF AUSTWELL</v>
      </c>
      <c r="D2430" t="b">
        <v>0</v>
      </c>
    </row>
    <row r="2431" spans="1:4" x14ac:dyDescent="0.25">
      <c r="A2431" t="s">
        <v>2821</v>
      </c>
      <c r="B2431">
        <v>2.3E-2</v>
      </c>
      <c r="C2431" t="str">
        <f t="shared" si="37"/>
        <v>MONTEREY MUSHROOMS INC</v>
      </c>
      <c r="D2431" t="b">
        <v>0</v>
      </c>
    </row>
    <row r="2432" spans="1:4" x14ac:dyDescent="0.25">
      <c r="A2432" t="s">
        <v>969</v>
      </c>
      <c r="B2432">
        <v>2.3E-2</v>
      </c>
      <c r="C2432" t="str">
        <f t="shared" si="37"/>
        <v>WARREN ISD</v>
      </c>
      <c r="D2432" t="b">
        <v>0</v>
      </c>
    </row>
    <row r="2433" spans="1:4" x14ac:dyDescent="0.25">
      <c r="A2433" t="s">
        <v>688</v>
      </c>
      <c r="B2433">
        <v>2.3E-2</v>
      </c>
      <c r="C2433" t="str">
        <f t="shared" si="37"/>
        <v>AQUA TEXAS INC</v>
      </c>
      <c r="D2433" t="b">
        <v>0</v>
      </c>
    </row>
    <row r="2434" spans="1:4" x14ac:dyDescent="0.25">
      <c r="A2434" t="s">
        <v>31</v>
      </c>
      <c r="B2434">
        <v>2.3E-2</v>
      </c>
      <c r="C2434" t="str">
        <f t="shared" ref="C2434:C2497" si="38">VLOOKUP(A2434,PERMITTEES,2,FALSE)</f>
        <v>WADSWORTH WSC</v>
      </c>
      <c r="D2434" t="b">
        <v>0</v>
      </c>
    </row>
    <row r="2435" spans="1:4" x14ac:dyDescent="0.25">
      <c r="A2435" t="s">
        <v>694</v>
      </c>
      <c r="B2435">
        <v>2.3E-2</v>
      </c>
      <c r="C2435" t="str">
        <f t="shared" si="38"/>
        <v>AQUA TEXAS INC</v>
      </c>
      <c r="D2435" t="b">
        <v>0</v>
      </c>
    </row>
    <row r="2436" spans="1:4" x14ac:dyDescent="0.25">
      <c r="A2436" t="s">
        <v>238</v>
      </c>
      <c r="B2436">
        <v>2.3E-2</v>
      </c>
      <c r="C2436" t="str">
        <f t="shared" si="38"/>
        <v>TEXAS H2O INC</v>
      </c>
      <c r="D2436" t="b">
        <v>0</v>
      </c>
    </row>
    <row r="2437" spans="1:4" x14ac:dyDescent="0.25">
      <c r="A2437" t="s">
        <v>2766</v>
      </c>
      <c r="B2437">
        <v>2.3E-2</v>
      </c>
      <c r="C2437" t="str">
        <f t="shared" si="38"/>
        <v>CITY OF PENELOPE</v>
      </c>
      <c r="D2437" t="b">
        <v>0</v>
      </c>
    </row>
    <row r="2438" spans="1:4" x14ac:dyDescent="0.25">
      <c r="A2438" t="s">
        <v>1696</v>
      </c>
      <c r="B2438">
        <v>2.2800000000000001E-2</v>
      </c>
      <c r="C2438" t="str">
        <f t="shared" si="38"/>
        <v>COUPLAND WATER SUPPLY CORP</v>
      </c>
      <c r="D2438" t="b">
        <v>0</v>
      </c>
    </row>
    <row r="2439" spans="1:4" x14ac:dyDescent="0.25">
      <c r="A2439" t="s">
        <v>2511</v>
      </c>
      <c r="B2439">
        <v>2.2509000000000001E-2</v>
      </c>
      <c r="C2439" t="str">
        <f t="shared" si="38"/>
        <v>FOREST GLEN INC</v>
      </c>
      <c r="D2439" t="b">
        <v>0</v>
      </c>
    </row>
    <row r="2440" spans="1:4" x14ac:dyDescent="0.25">
      <c r="A2440" t="s">
        <v>2758</v>
      </c>
      <c r="B2440">
        <v>2.24E-2</v>
      </c>
      <c r="C2440" t="str">
        <f t="shared" si="38"/>
        <v>MONARCH UTILITIES I LP</v>
      </c>
      <c r="D2440" t="b">
        <v>0</v>
      </c>
    </row>
    <row r="2441" spans="1:4" x14ac:dyDescent="0.25">
      <c r="A2441" t="s">
        <v>705</v>
      </c>
      <c r="B2441">
        <v>2.24E-2</v>
      </c>
      <c r="C2441" t="str">
        <f t="shared" si="38"/>
        <v>AQUA TEXAS INC</v>
      </c>
      <c r="D2441" t="b">
        <v>0</v>
      </c>
    </row>
    <row r="2442" spans="1:4" x14ac:dyDescent="0.25">
      <c r="A2442" t="s">
        <v>242</v>
      </c>
      <c r="B2442">
        <v>2.23E-2</v>
      </c>
      <c r="C2442" t="str">
        <f t="shared" si="38"/>
        <v>CITY OF LIPAN</v>
      </c>
      <c r="D2442" t="b">
        <v>0</v>
      </c>
    </row>
    <row r="2443" spans="1:4" x14ac:dyDescent="0.25">
      <c r="A2443" t="s">
        <v>722</v>
      </c>
      <c r="B2443">
        <v>2.2100000000000002E-2</v>
      </c>
      <c r="C2443" t="str">
        <f t="shared" si="38"/>
        <v>SHERIDAN WSC</v>
      </c>
      <c r="D2443" t="b">
        <v>0</v>
      </c>
    </row>
    <row r="2444" spans="1:4" x14ac:dyDescent="0.25">
      <c r="A2444" t="s">
        <v>1882</v>
      </c>
      <c r="B2444">
        <v>2.1999999999999999E-2</v>
      </c>
      <c r="C2444" t="str">
        <f t="shared" si="38"/>
        <v>SASSON ELI GRAVRIEL</v>
      </c>
      <c r="D2444" t="b">
        <v>0</v>
      </c>
    </row>
    <row r="2445" spans="1:4" x14ac:dyDescent="0.25">
      <c r="A2445" t="s">
        <v>1986</v>
      </c>
      <c r="B2445">
        <v>2.1999999999999999E-2</v>
      </c>
      <c r="C2445" t="str">
        <f t="shared" si="38"/>
        <v>BOYS AND GIRLS COUNTRY OF HOUSTON INC</v>
      </c>
      <c r="D2445" t="b">
        <v>0</v>
      </c>
    </row>
    <row r="2446" spans="1:4" x14ac:dyDescent="0.25">
      <c r="A2446" t="s">
        <v>2202</v>
      </c>
      <c r="B2446">
        <v>2.1999999999999999E-2</v>
      </c>
      <c r="C2446" t="str">
        <f t="shared" si="38"/>
        <v>CHAPMAN MOBILE HOME PARK LLC</v>
      </c>
      <c r="D2446" t="b">
        <v>0</v>
      </c>
    </row>
    <row r="2447" spans="1:4" x14ac:dyDescent="0.25">
      <c r="A2447" t="s">
        <v>1207</v>
      </c>
      <c r="B2447">
        <v>2.1999999999999999E-2</v>
      </c>
      <c r="C2447" t="str">
        <f t="shared" si="38"/>
        <v>BROWNSVILLE PUBLIC UTILITIES BOARD</v>
      </c>
      <c r="D2447" t="b">
        <v>0</v>
      </c>
    </row>
    <row r="2448" spans="1:4" x14ac:dyDescent="0.25">
      <c r="A2448" t="s">
        <v>2663</v>
      </c>
      <c r="B2448">
        <v>2.1999999999999999E-2</v>
      </c>
      <c r="C2448" t="str">
        <f t="shared" si="38"/>
        <v>TOWN OF OAK RIDGE</v>
      </c>
      <c r="D2448" t="b">
        <v>0</v>
      </c>
    </row>
    <row r="2449" spans="1:4" x14ac:dyDescent="0.25">
      <c r="A2449" t="s">
        <v>2238</v>
      </c>
      <c r="B2449">
        <v>2.1999999999999999E-2</v>
      </c>
      <c r="C2449" t="str">
        <f t="shared" si="38"/>
        <v>ROVING MEADOWS UTILITIES INC</v>
      </c>
      <c r="D2449" t="b">
        <v>0</v>
      </c>
    </row>
    <row r="2450" spans="1:4" x14ac:dyDescent="0.25">
      <c r="A2450" t="s">
        <v>467</v>
      </c>
      <c r="B2450">
        <v>2.1999999999999999E-2</v>
      </c>
      <c r="C2450" t="str">
        <f t="shared" si="38"/>
        <v>BASTROP COUNTY MUD NO 1</v>
      </c>
      <c r="D2450" t="b">
        <v>0</v>
      </c>
    </row>
    <row r="2451" spans="1:4" x14ac:dyDescent="0.25">
      <c r="A2451" t="s">
        <v>2888</v>
      </c>
      <c r="B2451">
        <v>2.1999999999999999E-2</v>
      </c>
      <c r="C2451" t="str">
        <f t="shared" si="38"/>
        <v>MANSFIELD ISD</v>
      </c>
      <c r="D2451" t="b">
        <v>0</v>
      </c>
    </row>
    <row r="2452" spans="1:4" x14ac:dyDescent="0.25">
      <c r="A2452" t="s">
        <v>2099</v>
      </c>
      <c r="B2452">
        <v>2.1793E-2</v>
      </c>
      <c r="C2452" t="str">
        <f t="shared" si="38"/>
        <v>RITA LAURA REDOW KARBALAI</v>
      </c>
      <c r="D2452" t="b">
        <v>0</v>
      </c>
    </row>
    <row r="2453" spans="1:4" x14ac:dyDescent="0.25">
      <c r="A2453" t="s">
        <v>2853</v>
      </c>
      <c r="B2453">
        <v>2.171E-2</v>
      </c>
      <c r="C2453" t="str">
        <f t="shared" si="38"/>
        <v>DAVID LEE SHEFFIELD</v>
      </c>
      <c r="D2453" t="b">
        <v>0</v>
      </c>
    </row>
    <row r="2454" spans="1:4" x14ac:dyDescent="0.25">
      <c r="A2454" t="s">
        <v>2586</v>
      </c>
      <c r="B2454">
        <v>2.1700000000000001E-2</v>
      </c>
      <c r="C2454" t="e">
        <f t="shared" si="38"/>
        <v>#N/A</v>
      </c>
      <c r="D2454" t="b">
        <v>0</v>
      </c>
    </row>
    <row r="2455" spans="1:4" x14ac:dyDescent="0.25">
      <c r="A2455" t="s">
        <v>2087</v>
      </c>
      <c r="B2455">
        <v>2.1399999999999999E-2</v>
      </c>
      <c r="C2455" t="str">
        <f t="shared" si="38"/>
        <v>R &amp; K WEIMAN MHP LC</v>
      </c>
      <c r="D2455" t="b">
        <v>0</v>
      </c>
    </row>
    <row r="2456" spans="1:4" x14ac:dyDescent="0.25">
      <c r="A2456" t="s">
        <v>2052</v>
      </c>
      <c r="B2456">
        <v>2.12E-2</v>
      </c>
      <c r="C2456" t="e">
        <f t="shared" si="38"/>
        <v>#N/A</v>
      </c>
      <c r="D2456" t="b">
        <v>0</v>
      </c>
    </row>
    <row r="2457" spans="1:4" x14ac:dyDescent="0.25">
      <c r="A2457" t="s">
        <v>2432</v>
      </c>
      <c r="B2457">
        <v>2.1000000000000001E-2</v>
      </c>
      <c r="C2457" t="str">
        <f t="shared" si="38"/>
        <v>MHC TT INC</v>
      </c>
      <c r="D2457" t="b">
        <v>0</v>
      </c>
    </row>
    <row r="2458" spans="1:4" x14ac:dyDescent="0.25">
      <c r="A2458" t="s">
        <v>1145</v>
      </c>
      <c r="B2458">
        <v>2.1000000000000001E-2</v>
      </c>
      <c r="C2458" t="str">
        <f t="shared" si="38"/>
        <v>CITY OF MEGARGEL</v>
      </c>
      <c r="D2458" t="b">
        <v>0</v>
      </c>
    </row>
    <row r="2459" spans="1:4" x14ac:dyDescent="0.25">
      <c r="A2459" t="s">
        <v>1579</v>
      </c>
      <c r="B2459">
        <v>2.1000000000000001E-2</v>
      </c>
      <c r="C2459" t="str">
        <f t="shared" si="38"/>
        <v>ALLIED PETROCHEMICAL LLC</v>
      </c>
      <c r="D2459" t="b">
        <v>0</v>
      </c>
    </row>
    <row r="2460" spans="1:4" x14ac:dyDescent="0.25">
      <c r="A2460" t="s">
        <v>305</v>
      </c>
      <c r="B2460">
        <v>2.1000000000000001E-2</v>
      </c>
      <c r="C2460" t="str">
        <f t="shared" si="38"/>
        <v>SOUTHWEST MILAM WSC</v>
      </c>
      <c r="D2460" t="b">
        <v>0</v>
      </c>
    </row>
    <row r="2461" spans="1:4" x14ac:dyDescent="0.25">
      <c r="A2461" t="s">
        <v>2278</v>
      </c>
      <c r="B2461">
        <v>2.1000000000000001E-2</v>
      </c>
      <c r="C2461" t="str">
        <f t="shared" si="38"/>
        <v>SOLHJOU ALI MOHAMMAD</v>
      </c>
      <c r="D2461" t="b">
        <v>0</v>
      </c>
    </row>
    <row r="2462" spans="1:4" x14ac:dyDescent="0.25">
      <c r="A2462" t="s">
        <v>2301</v>
      </c>
      <c r="B2462">
        <v>2.0820000000000002E-2</v>
      </c>
      <c r="C2462" t="str">
        <f t="shared" si="38"/>
        <v>HOLY TRINITY EPISCOPAL SCHOOL OF GREATER HOUSTON INC</v>
      </c>
      <c r="D2462" t="b">
        <v>0</v>
      </c>
    </row>
    <row r="2463" spans="1:4" x14ac:dyDescent="0.25">
      <c r="A2463" t="s">
        <v>1427</v>
      </c>
      <c r="B2463">
        <v>2.07E-2</v>
      </c>
      <c r="C2463" t="str">
        <f t="shared" si="38"/>
        <v>FRANCIS MILONE REID</v>
      </c>
      <c r="D2463" t="b">
        <v>0</v>
      </c>
    </row>
    <row r="2464" spans="1:4" x14ac:dyDescent="0.25">
      <c r="A2464" t="s">
        <v>1357</v>
      </c>
      <c r="B2464">
        <v>2.0677999999999998E-2</v>
      </c>
      <c r="C2464" t="str">
        <f t="shared" si="38"/>
        <v>COMBINED CONSUMERS SPECIAL UTILITY DISTRICT</v>
      </c>
      <c r="D2464" t="b">
        <v>0</v>
      </c>
    </row>
    <row r="2465" spans="1:4" x14ac:dyDescent="0.25">
      <c r="A2465" t="s">
        <v>2350</v>
      </c>
      <c r="B2465">
        <v>2.0659E-2</v>
      </c>
      <c r="C2465" t="str">
        <f t="shared" si="38"/>
        <v>SAN JACINTO BARGE REPAIR INC</v>
      </c>
      <c r="D2465" t="b">
        <v>0</v>
      </c>
    </row>
    <row r="2466" spans="1:4" x14ac:dyDescent="0.25">
      <c r="A2466" t="s">
        <v>370</v>
      </c>
      <c r="B2466">
        <v>2.06E-2</v>
      </c>
      <c r="C2466" t="str">
        <f t="shared" si="38"/>
        <v>BEACON ESTATES WSC</v>
      </c>
      <c r="D2466" t="b">
        <v>0</v>
      </c>
    </row>
    <row r="2467" spans="1:4" x14ac:dyDescent="0.25">
      <c r="A2467" t="s">
        <v>495</v>
      </c>
      <c r="B2467">
        <v>2.052E-2</v>
      </c>
      <c r="C2467" t="str">
        <f t="shared" si="38"/>
        <v>TOWN OF ROUND TOP</v>
      </c>
      <c r="D2467" t="b">
        <v>0</v>
      </c>
    </row>
    <row r="2468" spans="1:4" x14ac:dyDescent="0.25">
      <c r="A2468" t="s">
        <v>2111</v>
      </c>
      <c r="B2468">
        <v>2.0449999999999999E-2</v>
      </c>
      <c r="C2468" t="str">
        <f t="shared" si="38"/>
        <v>BNSF RAILWAY CO</v>
      </c>
      <c r="D2468" t="b">
        <v>0</v>
      </c>
    </row>
    <row r="2469" spans="1:4" x14ac:dyDescent="0.25">
      <c r="A2469" t="s">
        <v>2781</v>
      </c>
      <c r="B2469">
        <v>2.0405E-2</v>
      </c>
      <c r="C2469" t="str">
        <f t="shared" si="38"/>
        <v>S&amp;K OAKRIDGE SQUARE PROPERTIES LLC</v>
      </c>
      <c r="D2469" t="b">
        <v>0</v>
      </c>
    </row>
    <row r="2470" spans="1:4" x14ac:dyDescent="0.25">
      <c r="A2470" t="s">
        <v>2174</v>
      </c>
      <c r="B2470">
        <v>2.01E-2</v>
      </c>
      <c r="C2470" t="str">
        <f t="shared" si="38"/>
        <v>AQUA UTILITIES INC</v>
      </c>
      <c r="D2470" t="b">
        <v>0</v>
      </c>
    </row>
    <row r="2471" spans="1:4" x14ac:dyDescent="0.25">
      <c r="A2471" t="s">
        <v>1806</v>
      </c>
      <c r="B2471">
        <v>0.02</v>
      </c>
      <c r="C2471" t="str">
        <f t="shared" si="38"/>
        <v>ARKEMA INC</v>
      </c>
      <c r="D2471" t="b">
        <v>0</v>
      </c>
    </row>
    <row r="2472" spans="1:4" x14ac:dyDescent="0.25">
      <c r="A2472" t="s">
        <v>1152</v>
      </c>
      <c r="B2472">
        <v>0.02</v>
      </c>
      <c r="C2472" t="str">
        <f t="shared" si="38"/>
        <v>CITY OF BELLEVUE</v>
      </c>
      <c r="D2472" t="b">
        <v>0</v>
      </c>
    </row>
    <row r="2473" spans="1:4" x14ac:dyDescent="0.25">
      <c r="A2473" t="s">
        <v>1172</v>
      </c>
      <c r="B2473">
        <v>0.02</v>
      </c>
      <c r="C2473" t="str">
        <f t="shared" si="38"/>
        <v>CITY OF SADLER</v>
      </c>
      <c r="D2473" t="b">
        <v>0</v>
      </c>
    </row>
    <row r="2474" spans="1:4" x14ac:dyDescent="0.25">
      <c r="A2474" t="s">
        <v>464</v>
      </c>
      <c r="B2474">
        <v>0.02</v>
      </c>
      <c r="C2474" t="str">
        <f t="shared" si="38"/>
        <v>THE COLONY MUD 1A</v>
      </c>
      <c r="D2474" t="b">
        <v>0</v>
      </c>
    </row>
    <row r="2475" spans="1:4" x14ac:dyDescent="0.25">
      <c r="A2475" t="s">
        <v>2629</v>
      </c>
      <c r="B2475">
        <v>0.02</v>
      </c>
      <c r="C2475" t="str">
        <f t="shared" si="38"/>
        <v>SRALLA MHP LP</v>
      </c>
      <c r="D2475" t="b">
        <v>0</v>
      </c>
    </row>
    <row r="2476" spans="1:4" x14ac:dyDescent="0.25">
      <c r="A2476" t="s">
        <v>494</v>
      </c>
      <c r="B2476">
        <v>0.02</v>
      </c>
      <c r="C2476" t="str">
        <f t="shared" si="38"/>
        <v>FAYETTE WSC</v>
      </c>
      <c r="D2476" t="b">
        <v>0</v>
      </c>
    </row>
    <row r="2477" spans="1:4" x14ac:dyDescent="0.25">
      <c r="A2477" t="s">
        <v>2335</v>
      </c>
      <c r="B2477">
        <v>0.02</v>
      </c>
      <c r="C2477" t="str">
        <f t="shared" si="38"/>
        <v>TWAN DEVELOPMENT LLC</v>
      </c>
      <c r="D2477" t="b">
        <v>0</v>
      </c>
    </row>
    <row r="2478" spans="1:4" x14ac:dyDescent="0.25">
      <c r="A2478" t="s">
        <v>1532</v>
      </c>
      <c r="B2478">
        <v>0.02</v>
      </c>
      <c r="C2478" t="str">
        <f t="shared" si="38"/>
        <v>FOREST GLEN UTILITY CO</v>
      </c>
      <c r="D2478" t="b">
        <v>0</v>
      </c>
    </row>
    <row r="2479" spans="1:4" x14ac:dyDescent="0.25">
      <c r="A2479" t="s">
        <v>2357</v>
      </c>
      <c r="B2479">
        <v>0.02</v>
      </c>
      <c r="C2479" t="str">
        <f t="shared" si="38"/>
        <v>TRINITY @ WINDFERN LLC</v>
      </c>
      <c r="D2479" t="b">
        <v>0</v>
      </c>
    </row>
    <row r="2480" spans="1:4" x14ac:dyDescent="0.25">
      <c r="A2480" t="s">
        <v>637</v>
      </c>
      <c r="B2480">
        <v>0.02</v>
      </c>
      <c r="C2480" t="str">
        <f t="shared" si="38"/>
        <v>WINDY HILL UTILITY CO LLC</v>
      </c>
      <c r="D2480" t="b">
        <v>0</v>
      </c>
    </row>
    <row r="2481" spans="1:4" x14ac:dyDescent="0.25">
      <c r="A2481" t="s">
        <v>2802</v>
      </c>
      <c r="B2481">
        <v>1.9800000000000002E-2</v>
      </c>
      <c r="C2481" t="str">
        <f t="shared" si="38"/>
        <v>CITY OF DALLAS</v>
      </c>
      <c r="D2481" t="b">
        <v>0</v>
      </c>
    </row>
    <row r="2482" spans="1:4" x14ac:dyDescent="0.25">
      <c r="A2482" t="s">
        <v>410</v>
      </c>
      <c r="B2482">
        <v>1.95E-2</v>
      </c>
      <c r="C2482" t="str">
        <f t="shared" si="38"/>
        <v>CITY OF MIAMI</v>
      </c>
      <c r="D2482" t="b">
        <v>0</v>
      </c>
    </row>
    <row r="2483" spans="1:4" x14ac:dyDescent="0.25">
      <c r="A2483" t="s">
        <v>1407</v>
      </c>
      <c r="B2483">
        <v>1.934E-2</v>
      </c>
      <c r="C2483" t="str">
        <f t="shared" si="38"/>
        <v>BEECHWOOD WSC</v>
      </c>
      <c r="D2483" t="b">
        <v>0</v>
      </c>
    </row>
    <row r="2484" spans="1:4" x14ac:dyDescent="0.25">
      <c r="A2484" t="s">
        <v>657</v>
      </c>
      <c r="B2484">
        <v>1.9E-2</v>
      </c>
      <c r="C2484" t="str">
        <f t="shared" si="38"/>
        <v>UNION CARBIDE CORP</v>
      </c>
      <c r="D2484" t="b">
        <v>0</v>
      </c>
    </row>
    <row r="2485" spans="1:4" x14ac:dyDescent="0.25">
      <c r="A2485" t="s">
        <v>2001</v>
      </c>
      <c r="B2485">
        <v>1.9E-2</v>
      </c>
      <c r="C2485" t="str">
        <f t="shared" si="38"/>
        <v>CLP SPLASHTOWN LLC</v>
      </c>
      <c r="D2485" t="b">
        <v>0</v>
      </c>
    </row>
    <row r="2486" spans="1:4" x14ac:dyDescent="0.25">
      <c r="A2486" t="s">
        <v>770</v>
      </c>
      <c r="B2486">
        <v>1.9E-2</v>
      </c>
      <c r="C2486" t="str">
        <f t="shared" si="38"/>
        <v>HAMPSHIRE-FANNET ISD</v>
      </c>
      <c r="D2486" t="b">
        <v>0</v>
      </c>
    </row>
    <row r="2487" spans="1:4" x14ac:dyDescent="0.25">
      <c r="A2487" t="s">
        <v>2124</v>
      </c>
      <c r="B2487">
        <v>1.9E-2</v>
      </c>
      <c r="C2487" t="str">
        <f t="shared" si="38"/>
        <v>WEATHERFORD US LP</v>
      </c>
      <c r="D2487" t="b">
        <v>0</v>
      </c>
    </row>
    <row r="2488" spans="1:4" x14ac:dyDescent="0.25">
      <c r="A2488" t="s">
        <v>446</v>
      </c>
      <c r="B2488">
        <v>1.9E-2</v>
      </c>
      <c r="C2488" t="str">
        <f t="shared" si="38"/>
        <v>MIDFIELD WATER SUPPLY CORPORATION</v>
      </c>
      <c r="D2488" t="b">
        <v>0</v>
      </c>
    </row>
    <row r="2489" spans="1:4" x14ac:dyDescent="0.25">
      <c r="A2489" t="s">
        <v>571</v>
      </c>
      <c r="B2489">
        <v>1.9E-2</v>
      </c>
      <c r="C2489" t="str">
        <f t="shared" si="38"/>
        <v>SNIDER INDUSTRIES LLP</v>
      </c>
      <c r="D2489" t="b">
        <v>0</v>
      </c>
    </row>
    <row r="2490" spans="1:4" x14ac:dyDescent="0.25">
      <c r="A2490" t="s">
        <v>2757</v>
      </c>
      <c r="B2490">
        <v>1.9E-2</v>
      </c>
      <c r="C2490" t="str">
        <f t="shared" si="38"/>
        <v>CROSS ROADS ISD</v>
      </c>
      <c r="D2490" t="b">
        <v>0</v>
      </c>
    </row>
    <row r="2491" spans="1:4" x14ac:dyDescent="0.25">
      <c r="A2491" t="s">
        <v>373</v>
      </c>
      <c r="B2491">
        <v>1.9E-2</v>
      </c>
      <c r="C2491" t="str">
        <f t="shared" si="38"/>
        <v>CAMP FOR ALL FOUNDATION</v>
      </c>
      <c r="D2491" t="b">
        <v>0</v>
      </c>
    </row>
    <row r="2492" spans="1:4" x14ac:dyDescent="0.25">
      <c r="A2492" t="s">
        <v>2656</v>
      </c>
      <c r="B2492">
        <v>1.9E-2</v>
      </c>
      <c r="C2492" t="str">
        <f t="shared" si="38"/>
        <v>THE ESTATES PARTNERS LLC</v>
      </c>
      <c r="D2492" t="b">
        <v>0</v>
      </c>
    </row>
    <row r="2493" spans="1:4" x14ac:dyDescent="0.25">
      <c r="A2493" t="s">
        <v>686</v>
      </c>
      <c r="B2493">
        <v>1.8700000000000001E-2</v>
      </c>
      <c r="C2493" t="str">
        <f t="shared" si="38"/>
        <v>AQUA TEXAS INC</v>
      </c>
      <c r="D2493" t="b">
        <v>0</v>
      </c>
    </row>
    <row r="2494" spans="1:4" x14ac:dyDescent="0.25">
      <c r="A2494" t="s">
        <v>245</v>
      </c>
      <c r="B2494">
        <v>1.8633E-2</v>
      </c>
      <c r="C2494" t="str">
        <f t="shared" si="38"/>
        <v>CITY OF CRESSON</v>
      </c>
      <c r="D2494" t="b">
        <v>0</v>
      </c>
    </row>
    <row r="2495" spans="1:4" x14ac:dyDescent="0.25">
      <c r="A2495" t="s">
        <v>2621</v>
      </c>
      <c r="B2495">
        <v>1.83E-2</v>
      </c>
      <c r="C2495" t="str">
        <f t="shared" si="38"/>
        <v>UTILITIES INVESTMENT CO INC</v>
      </c>
      <c r="D2495" t="b">
        <v>0</v>
      </c>
    </row>
    <row r="2496" spans="1:4" x14ac:dyDescent="0.25">
      <c r="A2496" t="s">
        <v>650</v>
      </c>
      <c r="B2496">
        <v>1.7999999999999999E-2</v>
      </c>
      <c r="C2496" t="str">
        <f t="shared" si="38"/>
        <v>UNION CARBIDE CORP</v>
      </c>
      <c r="D2496" t="b">
        <v>0</v>
      </c>
    </row>
    <row r="2497" spans="1:4" x14ac:dyDescent="0.25">
      <c r="A2497" t="s">
        <v>1569</v>
      </c>
      <c r="B2497">
        <v>1.7999999999999999E-2</v>
      </c>
      <c r="C2497" t="str">
        <f t="shared" si="38"/>
        <v>SCHLUMBERGER TECHNOLOGY CORP</v>
      </c>
      <c r="D2497" t="b">
        <v>0</v>
      </c>
    </row>
    <row r="2498" spans="1:4" x14ac:dyDescent="0.25">
      <c r="A2498" t="s">
        <v>2177</v>
      </c>
      <c r="B2498">
        <v>1.7999999999999999E-2</v>
      </c>
      <c r="C2498" t="str">
        <f t="shared" ref="C2498:C2561" si="39">VLOOKUP(A2498,PERMITTEES,2,FALSE)</f>
        <v>BAHRAM SOLHJOU</v>
      </c>
      <c r="D2498" t="b">
        <v>0</v>
      </c>
    </row>
    <row r="2499" spans="1:4" x14ac:dyDescent="0.25">
      <c r="A2499" t="s">
        <v>516</v>
      </c>
      <c r="B2499">
        <v>1.7999999999999999E-2</v>
      </c>
      <c r="C2499" t="str">
        <f t="shared" si="39"/>
        <v>CORIX UTILITIES TEXAS INC</v>
      </c>
      <c r="D2499" t="b">
        <v>0</v>
      </c>
    </row>
    <row r="2500" spans="1:4" x14ac:dyDescent="0.25">
      <c r="A2500" t="s">
        <v>1693</v>
      </c>
      <c r="B2500">
        <v>1.7999999999999999E-2</v>
      </c>
      <c r="C2500" t="str">
        <f t="shared" si="39"/>
        <v>BAY BLUFF LP</v>
      </c>
      <c r="D2500" t="b">
        <v>0</v>
      </c>
    </row>
    <row r="2501" spans="1:4" x14ac:dyDescent="0.25">
      <c r="A2501" t="s">
        <v>627</v>
      </c>
      <c r="B2501">
        <v>1.7999999999999999E-2</v>
      </c>
      <c r="C2501" t="str">
        <f t="shared" si="39"/>
        <v>GONZALES COUNTY WSC</v>
      </c>
      <c r="D2501" t="b">
        <v>0</v>
      </c>
    </row>
    <row r="2502" spans="1:4" x14ac:dyDescent="0.25">
      <c r="A2502" t="s">
        <v>2469</v>
      </c>
      <c r="B2502">
        <v>1.77E-2</v>
      </c>
      <c r="C2502" t="str">
        <f t="shared" si="39"/>
        <v>ARCHDIOCESE OF GALVESTONHOUSTON</v>
      </c>
      <c r="D2502" t="b">
        <v>0</v>
      </c>
    </row>
    <row r="2503" spans="1:4" x14ac:dyDescent="0.25">
      <c r="A2503" t="s">
        <v>2815</v>
      </c>
      <c r="B2503">
        <v>1.7628000000000001E-2</v>
      </c>
      <c r="C2503" t="str">
        <f t="shared" si="39"/>
        <v>ARTESIAN LAKES LTD</v>
      </c>
      <c r="D2503" t="b">
        <v>0</v>
      </c>
    </row>
    <row r="2504" spans="1:4" x14ac:dyDescent="0.25">
      <c r="A2504" t="s">
        <v>1445</v>
      </c>
      <c r="B2504">
        <v>1.7600000000000001E-2</v>
      </c>
      <c r="C2504" t="str">
        <f t="shared" si="39"/>
        <v>LIBERTY UTILITIES SILVERLEAF WATER LLC</v>
      </c>
      <c r="D2504" t="b">
        <v>0</v>
      </c>
    </row>
    <row r="2505" spans="1:4" x14ac:dyDescent="0.25">
      <c r="A2505" t="s">
        <v>1573</v>
      </c>
      <c r="B2505">
        <v>1.7500000000000002E-2</v>
      </c>
      <c r="C2505" t="str">
        <f t="shared" si="39"/>
        <v>ORBIT SYSTEMS INC</v>
      </c>
      <c r="D2505" t="b">
        <v>0</v>
      </c>
    </row>
    <row r="2506" spans="1:4" x14ac:dyDescent="0.25">
      <c r="A2506" t="s">
        <v>600</v>
      </c>
      <c r="B2506">
        <v>1.7302999999999999E-2</v>
      </c>
      <c r="C2506" t="str">
        <f t="shared" si="39"/>
        <v>HARMONY ISD</v>
      </c>
      <c r="D2506" t="b">
        <v>0</v>
      </c>
    </row>
    <row r="2507" spans="1:4" x14ac:dyDescent="0.25">
      <c r="A2507" t="s">
        <v>2617</v>
      </c>
      <c r="B2507">
        <v>1.72E-2</v>
      </c>
      <c r="C2507" t="str">
        <f t="shared" si="39"/>
        <v>UTILITIES INVESTMENT CO INC</v>
      </c>
      <c r="D2507" t="b">
        <v>0</v>
      </c>
    </row>
    <row r="2508" spans="1:4" x14ac:dyDescent="0.25">
      <c r="A2508" t="s">
        <v>43</v>
      </c>
      <c r="B2508">
        <v>1.7000000000000001E-2</v>
      </c>
      <c r="C2508" t="str">
        <f t="shared" si="39"/>
        <v>TEXAS PARKS &amp; WILDLIFE DEPT</v>
      </c>
      <c r="D2508" t="b">
        <v>0</v>
      </c>
    </row>
    <row r="2509" spans="1:4" x14ac:dyDescent="0.25">
      <c r="A2509" t="s">
        <v>110</v>
      </c>
      <c r="B2509">
        <v>1.7000000000000001E-2</v>
      </c>
      <c r="C2509" t="str">
        <f t="shared" si="39"/>
        <v>SI GROUP INC</v>
      </c>
      <c r="D2509" t="b">
        <v>0</v>
      </c>
    </row>
    <row r="2510" spans="1:4" x14ac:dyDescent="0.25">
      <c r="A2510" t="s">
        <v>2107</v>
      </c>
      <c r="B2510">
        <v>1.7000000000000001E-2</v>
      </c>
      <c r="C2510" t="str">
        <f t="shared" si="39"/>
        <v>TRINITY RCT GP LLC</v>
      </c>
      <c r="D2510" t="b">
        <v>0</v>
      </c>
    </row>
    <row r="2511" spans="1:4" x14ac:dyDescent="0.25">
      <c r="A2511" t="s">
        <v>2196</v>
      </c>
      <c r="B2511">
        <v>1.7000000000000001E-2</v>
      </c>
      <c r="C2511" t="str">
        <f t="shared" si="39"/>
        <v>ROVING MEADOWS UTILITIES INC</v>
      </c>
      <c r="D2511" t="b">
        <v>0</v>
      </c>
    </row>
    <row r="2512" spans="1:4" x14ac:dyDescent="0.25">
      <c r="A2512" t="s">
        <v>706</v>
      </c>
      <c r="B2512">
        <v>1.7000000000000001E-2</v>
      </c>
      <c r="C2512" t="str">
        <f t="shared" si="39"/>
        <v>AQUA TEXAS INC</v>
      </c>
      <c r="D2512" t="b">
        <v>0</v>
      </c>
    </row>
    <row r="2513" spans="1:4" x14ac:dyDescent="0.25">
      <c r="A2513" t="s">
        <v>710</v>
      </c>
      <c r="B2513">
        <v>1.7000000000000001E-2</v>
      </c>
      <c r="C2513" t="str">
        <f t="shared" si="39"/>
        <v>AQUA TEXAS INC</v>
      </c>
      <c r="D2513" t="b">
        <v>0</v>
      </c>
    </row>
    <row r="2514" spans="1:4" x14ac:dyDescent="0.25">
      <c r="A2514" t="s">
        <v>2332</v>
      </c>
      <c r="B2514">
        <v>1.7000000000000001E-2</v>
      </c>
      <c r="C2514" t="str">
        <f t="shared" si="39"/>
        <v>DRIL-QUIP INC</v>
      </c>
      <c r="D2514" t="b">
        <v>0</v>
      </c>
    </row>
    <row r="2515" spans="1:4" x14ac:dyDescent="0.25">
      <c r="A2515" t="s">
        <v>2814</v>
      </c>
      <c r="B2515">
        <v>1.7000000000000001E-2</v>
      </c>
      <c r="C2515" t="str">
        <f t="shared" si="39"/>
        <v>TARKINGTON ISD</v>
      </c>
      <c r="D2515" t="b">
        <v>0</v>
      </c>
    </row>
    <row r="2516" spans="1:4" x14ac:dyDescent="0.25">
      <c r="A2516" t="s">
        <v>2767</v>
      </c>
      <c r="B2516">
        <v>1.6899999999999998E-2</v>
      </c>
      <c r="C2516" t="str">
        <f t="shared" si="39"/>
        <v>TA OPERATING LLC</v>
      </c>
      <c r="D2516" t="b">
        <v>0</v>
      </c>
    </row>
    <row r="2517" spans="1:4" x14ac:dyDescent="0.25">
      <c r="A2517" t="s">
        <v>418</v>
      </c>
      <c r="B2517">
        <v>1.6788000000000001E-2</v>
      </c>
      <c r="C2517" t="e">
        <f t="shared" si="39"/>
        <v>#N/A</v>
      </c>
      <c r="D2517" t="b">
        <v>0</v>
      </c>
    </row>
    <row r="2518" spans="1:4" x14ac:dyDescent="0.25">
      <c r="A2518" t="s">
        <v>2103</v>
      </c>
      <c r="B2518">
        <v>1.6716999999999999E-2</v>
      </c>
      <c r="C2518" t="str">
        <f t="shared" si="39"/>
        <v>STONETOWN WOODGATE LLC</v>
      </c>
      <c r="D2518" t="b">
        <v>0</v>
      </c>
    </row>
    <row r="2519" spans="1:4" x14ac:dyDescent="0.25">
      <c r="A2519" t="s">
        <v>2260</v>
      </c>
      <c r="B2519">
        <v>1.67E-2</v>
      </c>
      <c r="C2519" t="str">
        <f t="shared" si="39"/>
        <v>COLE CREEK BUSINESS PARK ASSN INC</v>
      </c>
      <c r="D2519" t="b">
        <v>0</v>
      </c>
    </row>
    <row r="2520" spans="1:4" x14ac:dyDescent="0.25">
      <c r="A2520" t="s">
        <v>2813</v>
      </c>
      <c r="B2520">
        <v>1.6645E-2</v>
      </c>
      <c r="C2520" t="str">
        <f t="shared" si="39"/>
        <v>THE LIBERTY LAKES PROPERTY OWNERS ASSN INC &amp; DAVIS BAYOU SERVICE CO</v>
      </c>
      <c r="D2520" t="b">
        <v>0</v>
      </c>
    </row>
    <row r="2521" spans="1:4" x14ac:dyDescent="0.25">
      <c r="A2521" t="s">
        <v>368</v>
      </c>
      <c r="B2521">
        <v>1.66E-2</v>
      </c>
      <c r="C2521" t="str">
        <f t="shared" si="39"/>
        <v>HAMMOND MOUND UTILITIES INC</v>
      </c>
      <c r="D2521" t="b">
        <v>0</v>
      </c>
    </row>
    <row r="2522" spans="1:4" x14ac:dyDescent="0.25">
      <c r="A2522" t="s">
        <v>1567</v>
      </c>
      <c r="B2522">
        <v>1.6049999999999998E-2</v>
      </c>
      <c r="C2522" t="str">
        <f t="shared" si="39"/>
        <v>HC MANVEL INC</v>
      </c>
      <c r="D2522" t="b">
        <v>0</v>
      </c>
    </row>
    <row r="2523" spans="1:4" x14ac:dyDescent="0.25">
      <c r="A2523" t="s">
        <v>659</v>
      </c>
      <c r="B2523">
        <v>1.6E-2</v>
      </c>
      <c r="C2523" t="str">
        <f t="shared" si="39"/>
        <v>UNION CARBIDE CORP</v>
      </c>
      <c r="D2523" t="b">
        <v>0</v>
      </c>
    </row>
    <row r="2524" spans="1:4" x14ac:dyDescent="0.25">
      <c r="A2524" t="s">
        <v>2271</v>
      </c>
      <c r="B2524">
        <v>1.6E-2</v>
      </c>
      <c r="C2524" t="str">
        <f t="shared" si="39"/>
        <v>AQUA UTILITIES INC</v>
      </c>
      <c r="D2524" t="b">
        <v>0</v>
      </c>
    </row>
    <row r="2525" spans="1:4" x14ac:dyDescent="0.25">
      <c r="A2525" t="s">
        <v>1584</v>
      </c>
      <c r="B2525">
        <v>1.6E-2</v>
      </c>
      <c r="C2525" t="str">
        <f t="shared" si="39"/>
        <v>SP UTILITY CO INC</v>
      </c>
      <c r="D2525" t="b">
        <v>0</v>
      </c>
    </row>
    <row r="2526" spans="1:4" x14ac:dyDescent="0.25">
      <c r="A2526" t="s">
        <v>71</v>
      </c>
      <c r="B2526">
        <v>1.6E-2</v>
      </c>
      <c r="C2526" t="str">
        <f t="shared" si="39"/>
        <v>AMERICAN WATER OPERATIONS AND MAINTENANCE INC</v>
      </c>
      <c r="D2526" t="b">
        <v>0</v>
      </c>
    </row>
    <row r="2527" spans="1:4" x14ac:dyDescent="0.25">
      <c r="A2527" t="s">
        <v>1454</v>
      </c>
      <c r="B2527">
        <v>1.6E-2</v>
      </c>
      <c r="C2527" t="str">
        <f t="shared" si="39"/>
        <v>ALF PROPERTIES LLC</v>
      </c>
      <c r="D2527" t="b">
        <v>0</v>
      </c>
    </row>
    <row r="2528" spans="1:4" x14ac:dyDescent="0.25">
      <c r="A2528" t="s">
        <v>2359</v>
      </c>
      <c r="B2528">
        <v>1.5800000000000002E-2</v>
      </c>
      <c r="C2528" t="str">
        <f t="shared" si="39"/>
        <v>M&amp;D DEVELOPMENT LLC</v>
      </c>
      <c r="D2528" t="b">
        <v>0</v>
      </c>
    </row>
    <row r="2529" spans="1:4" x14ac:dyDescent="0.25">
      <c r="A2529" t="s">
        <v>2291</v>
      </c>
      <c r="B2529">
        <v>1.5636000000000001E-2</v>
      </c>
      <c r="C2529" t="str">
        <f t="shared" si="39"/>
        <v>KARBALAI, RITA LAURA REDOW</v>
      </c>
      <c r="D2529" t="b">
        <v>0</v>
      </c>
    </row>
    <row r="2530" spans="1:4" x14ac:dyDescent="0.25">
      <c r="A2530" t="s">
        <v>221</v>
      </c>
      <c r="B2530">
        <v>1.54E-2</v>
      </c>
      <c r="C2530" t="str">
        <f t="shared" si="39"/>
        <v>PROTESTANT EPISCOPAL CHURCH COUNCIL OF THE DIOCES</v>
      </c>
      <c r="D2530" t="b">
        <v>0</v>
      </c>
    </row>
    <row r="2531" spans="1:4" x14ac:dyDescent="0.25">
      <c r="A2531" t="s">
        <v>465</v>
      </c>
      <c r="B2531">
        <v>1.538E-2</v>
      </c>
      <c r="C2531" t="str">
        <f t="shared" si="39"/>
        <v>AQUA WSC</v>
      </c>
      <c r="D2531" t="b">
        <v>0</v>
      </c>
    </row>
    <row r="2532" spans="1:4" x14ac:dyDescent="0.25">
      <c r="A2532" t="s">
        <v>512</v>
      </c>
      <c r="B2532">
        <v>1.5299999999999999E-2</v>
      </c>
      <c r="C2532" t="str">
        <f t="shared" si="39"/>
        <v>CORIX UTILITIES TEXAS INC</v>
      </c>
      <c r="D2532" t="b">
        <v>0</v>
      </c>
    </row>
    <row r="2533" spans="1:4" x14ac:dyDescent="0.25">
      <c r="A2533" t="s">
        <v>555</v>
      </c>
      <c r="B2533">
        <v>1.5259999999999999E-2</v>
      </c>
      <c r="C2533" t="str">
        <f t="shared" si="39"/>
        <v>SR AUS LLC</v>
      </c>
      <c r="D2533" t="b">
        <v>0</v>
      </c>
    </row>
    <row r="2534" spans="1:4" x14ac:dyDescent="0.25">
      <c r="A2534" t="s">
        <v>2264</v>
      </c>
      <c r="B2534">
        <v>1.5228E-2</v>
      </c>
      <c r="C2534" t="str">
        <f t="shared" si="39"/>
        <v>CHEVRON USA INC</v>
      </c>
      <c r="D2534" t="b">
        <v>0</v>
      </c>
    </row>
    <row r="2535" spans="1:4" x14ac:dyDescent="0.25">
      <c r="A2535" t="s">
        <v>2080</v>
      </c>
      <c r="B2535">
        <v>1.4999999999999999E-2</v>
      </c>
      <c r="C2535" t="str">
        <f t="shared" si="39"/>
        <v>AKRAM SOLHJOU</v>
      </c>
      <c r="D2535" t="b">
        <v>0</v>
      </c>
    </row>
    <row r="2536" spans="1:4" x14ac:dyDescent="0.25">
      <c r="A2536" t="s">
        <v>2911</v>
      </c>
      <c r="B2536">
        <v>1.4999999999999999E-2</v>
      </c>
      <c r="C2536" t="str">
        <f t="shared" si="39"/>
        <v>PARADISE ISD</v>
      </c>
      <c r="D2536" t="b">
        <v>0</v>
      </c>
    </row>
    <row r="2537" spans="1:4" x14ac:dyDescent="0.25">
      <c r="A2537" t="s">
        <v>2217</v>
      </c>
      <c r="B2537">
        <v>1.4999999999999999E-2</v>
      </c>
      <c r="C2537" t="str">
        <f t="shared" si="39"/>
        <v>CHANNEL SHIPYARD CO INC</v>
      </c>
      <c r="D2537" t="b">
        <v>0</v>
      </c>
    </row>
    <row r="2538" spans="1:4" x14ac:dyDescent="0.25">
      <c r="A2538" t="s">
        <v>485</v>
      </c>
      <c r="B2538">
        <v>1.4999999999999999E-2</v>
      </c>
      <c r="C2538" t="str">
        <f t="shared" si="39"/>
        <v>RICE CISD</v>
      </c>
      <c r="D2538" t="b">
        <v>0</v>
      </c>
    </row>
    <row r="2539" spans="1:4" x14ac:dyDescent="0.25">
      <c r="A2539" t="s">
        <v>2530</v>
      </c>
      <c r="B2539">
        <v>1.4999999999999999E-2</v>
      </c>
      <c r="C2539" t="str">
        <f t="shared" si="39"/>
        <v>DTT LLC</v>
      </c>
      <c r="D2539" t="b">
        <v>0</v>
      </c>
    </row>
    <row r="2540" spans="1:4" x14ac:dyDescent="0.25">
      <c r="A2540" t="s">
        <v>351</v>
      </c>
      <c r="B2540">
        <v>1.4999999999999999E-2</v>
      </c>
      <c r="C2540" t="str">
        <f t="shared" si="39"/>
        <v>SANDERSON FARMS INC PRODUCTION DIVISION</v>
      </c>
      <c r="D2540" t="b">
        <v>0</v>
      </c>
    </row>
    <row r="2541" spans="1:4" x14ac:dyDescent="0.25">
      <c r="A2541" t="s">
        <v>1112</v>
      </c>
      <c r="B2541">
        <v>1.4999999999999999E-2</v>
      </c>
      <c r="C2541" t="str">
        <f t="shared" si="39"/>
        <v>BENTON CITY WSC</v>
      </c>
      <c r="D2541" t="b">
        <v>0</v>
      </c>
    </row>
    <row r="2542" spans="1:4" x14ac:dyDescent="0.25">
      <c r="A2542" t="s">
        <v>1578</v>
      </c>
      <c r="B2542">
        <v>1.49E-2</v>
      </c>
      <c r="C2542" t="str">
        <f t="shared" si="39"/>
        <v>MEADOWLAND UTILITY CORP</v>
      </c>
      <c r="D2542" t="b">
        <v>0</v>
      </c>
    </row>
    <row r="2543" spans="1:4" x14ac:dyDescent="0.25">
      <c r="A2543" t="s">
        <v>2665</v>
      </c>
      <c r="B2543">
        <v>1.49E-2</v>
      </c>
      <c r="C2543" t="str">
        <f t="shared" si="39"/>
        <v>ERA ISD</v>
      </c>
      <c r="D2543" t="b">
        <v>0</v>
      </c>
    </row>
    <row r="2544" spans="1:4" x14ac:dyDescent="0.25">
      <c r="A2544" t="s">
        <v>825</v>
      </c>
      <c r="B2544">
        <v>1.4760000000000001E-2</v>
      </c>
      <c r="C2544" t="str">
        <f t="shared" si="39"/>
        <v>WILDWOOD PROPERTY OWNERS ASSN</v>
      </c>
      <c r="D2544" t="b">
        <v>0</v>
      </c>
    </row>
    <row r="2545" spans="1:4" x14ac:dyDescent="0.25">
      <c r="A2545" t="s">
        <v>2356</v>
      </c>
      <c r="B2545">
        <v>1.4500000000000001E-2</v>
      </c>
      <c r="C2545" t="str">
        <f t="shared" si="39"/>
        <v>TARGA DOWNSTREAM LLC</v>
      </c>
      <c r="D2545" t="b">
        <v>0</v>
      </c>
    </row>
    <row r="2546" spans="1:4" x14ac:dyDescent="0.25">
      <c r="A2546" t="s">
        <v>1182</v>
      </c>
      <c r="B2546">
        <v>1.44E-2</v>
      </c>
      <c r="C2546" t="str">
        <f t="shared" si="39"/>
        <v>TEXAS MILITARY FORCES</v>
      </c>
      <c r="D2546" t="b">
        <v>0</v>
      </c>
    </row>
    <row r="2547" spans="1:4" x14ac:dyDescent="0.25">
      <c r="A2547" t="s">
        <v>2857</v>
      </c>
      <c r="B2547">
        <v>1.43E-2</v>
      </c>
      <c r="C2547" t="str">
        <f t="shared" si="39"/>
        <v>AVNOOR MAHI LLC</v>
      </c>
      <c r="D2547" t="b">
        <v>0</v>
      </c>
    </row>
    <row r="2548" spans="1:4" x14ac:dyDescent="0.25">
      <c r="A2548" t="s">
        <v>2289</v>
      </c>
      <c r="B2548">
        <v>1.41E-2</v>
      </c>
      <c r="C2548" t="str">
        <f t="shared" si="39"/>
        <v>SULYUKMANOV, NADIJA BALABAN &amp; SULYUKMANOV, ALBERT FARHATOVICH</v>
      </c>
      <c r="D2548" t="b">
        <v>0</v>
      </c>
    </row>
    <row r="2549" spans="1:4" x14ac:dyDescent="0.25">
      <c r="A2549" t="s">
        <v>658</v>
      </c>
      <c r="B2549">
        <v>1.4E-2</v>
      </c>
      <c r="C2549" t="str">
        <f t="shared" si="39"/>
        <v>UNION CARBIDE CORP</v>
      </c>
      <c r="D2549" t="b">
        <v>0</v>
      </c>
    </row>
    <row r="2550" spans="1:4" x14ac:dyDescent="0.25">
      <c r="A2550" t="s">
        <v>2032</v>
      </c>
      <c r="B2550">
        <v>1.4E-2</v>
      </c>
      <c r="C2550" t="str">
        <f t="shared" si="39"/>
        <v>SEQUA CORP</v>
      </c>
      <c r="D2550" t="b">
        <v>0</v>
      </c>
    </row>
    <row r="2551" spans="1:4" x14ac:dyDescent="0.25">
      <c r="A2551" t="s">
        <v>2582</v>
      </c>
      <c r="B2551">
        <v>1.4E-2</v>
      </c>
      <c r="C2551" t="str">
        <f t="shared" si="39"/>
        <v>NERRO SUPPLY LLC</v>
      </c>
      <c r="D2551" t="b">
        <v>0</v>
      </c>
    </row>
    <row r="2552" spans="1:4" x14ac:dyDescent="0.25">
      <c r="A2552" t="s">
        <v>2468</v>
      </c>
      <c r="B2552">
        <v>1.4E-2</v>
      </c>
      <c r="C2552" t="str">
        <f t="shared" si="39"/>
        <v>KAMPGROUNDS OF AMERICA INC</v>
      </c>
      <c r="D2552" t="b">
        <v>0</v>
      </c>
    </row>
    <row r="2553" spans="1:4" x14ac:dyDescent="0.25">
      <c r="A2553" t="s">
        <v>69</v>
      </c>
      <c r="B2553">
        <v>1.4E-2</v>
      </c>
      <c r="C2553" t="str">
        <f t="shared" si="39"/>
        <v>VILLAGE OF SALADO</v>
      </c>
      <c r="D2553" t="b">
        <v>0</v>
      </c>
    </row>
    <row r="2554" spans="1:4" x14ac:dyDescent="0.25">
      <c r="A2554" t="s">
        <v>533</v>
      </c>
      <c r="B2554">
        <v>1.4E-2</v>
      </c>
      <c r="C2554" t="str">
        <f t="shared" si="39"/>
        <v>CITY OF GOLDTHWAITE</v>
      </c>
      <c r="D2554" t="b">
        <v>0</v>
      </c>
    </row>
    <row r="2555" spans="1:4" x14ac:dyDescent="0.25">
      <c r="A2555" t="s">
        <v>1244</v>
      </c>
      <c r="B2555">
        <v>1.4E-2</v>
      </c>
      <c r="C2555" t="str">
        <f t="shared" si="39"/>
        <v>MULTI CHEM GROUP LLC</v>
      </c>
      <c r="D2555" t="b">
        <v>0</v>
      </c>
    </row>
    <row r="2556" spans="1:4" x14ac:dyDescent="0.25">
      <c r="A2556" t="s">
        <v>1120</v>
      </c>
      <c r="B2556">
        <v>1.4E-2</v>
      </c>
      <c r="C2556" t="str">
        <f t="shared" si="39"/>
        <v>CiTY OF DILLEY</v>
      </c>
      <c r="D2556" t="b">
        <v>0</v>
      </c>
    </row>
    <row r="2557" spans="1:4" x14ac:dyDescent="0.25">
      <c r="A2557" t="s">
        <v>2834</v>
      </c>
      <c r="B2557">
        <v>1.38E-2</v>
      </c>
      <c r="C2557" t="str">
        <f t="shared" si="39"/>
        <v>BOSQUE UTILITIES CORP</v>
      </c>
      <c r="D2557" t="b">
        <v>0</v>
      </c>
    </row>
    <row r="2558" spans="1:4" x14ac:dyDescent="0.25">
      <c r="A2558" t="s">
        <v>842</v>
      </c>
      <c r="B2558">
        <v>1.37E-2</v>
      </c>
      <c r="C2558" t="str">
        <f t="shared" si="39"/>
        <v>MARTIN OPERATING PARTNERSHIP LP</v>
      </c>
      <c r="D2558" t="b">
        <v>0</v>
      </c>
    </row>
    <row r="2559" spans="1:4" x14ac:dyDescent="0.25">
      <c r="A2559" t="s">
        <v>748</v>
      </c>
      <c r="B2559">
        <v>1.37E-2</v>
      </c>
      <c r="C2559" t="str">
        <f t="shared" si="39"/>
        <v>BASF CORPORATION</v>
      </c>
      <c r="D2559" t="b">
        <v>0</v>
      </c>
    </row>
    <row r="2560" spans="1:4" x14ac:dyDescent="0.25">
      <c r="A2560" t="s">
        <v>606</v>
      </c>
      <c r="B2560">
        <v>1.37E-2</v>
      </c>
      <c r="C2560" t="str">
        <f t="shared" si="39"/>
        <v>CITY OF LULING</v>
      </c>
      <c r="D2560" t="b">
        <v>0</v>
      </c>
    </row>
    <row r="2561" spans="1:4" x14ac:dyDescent="0.25">
      <c r="A2561" t="s">
        <v>478</v>
      </c>
      <c r="B2561">
        <v>1.37E-2</v>
      </c>
      <c r="C2561" t="str">
        <f t="shared" si="39"/>
        <v>CITY OF LAWN</v>
      </c>
      <c r="D2561" t="b">
        <v>0</v>
      </c>
    </row>
    <row r="2562" spans="1:4" x14ac:dyDescent="0.25">
      <c r="A2562" t="s">
        <v>2219</v>
      </c>
      <c r="B2562">
        <v>1.35E-2</v>
      </c>
      <c r="C2562" t="str">
        <f t="shared" ref="C2562:C2625" si="40">VLOOKUP(A2562,PERMITTEES,2,FALSE)</f>
        <v>CHANNEL SHIPYARD CO INC</v>
      </c>
      <c r="D2562" t="b">
        <v>0</v>
      </c>
    </row>
    <row r="2563" spans="1:4" x14ac:dyDescent="0.25">
      <c r="A2563" t="s">
        <v>1092</v>
      </c>
      <c r="B2563">
        <v>1.341E-2</v>
      </c>
      <c r="C2563" t="str">
        <f t="shared" si="40"/>
        <v>INTERNATIONAL EDUCATIONAL SERVICES INC</v>
      </c>
      <c r="D2563" t="b">
        <v>0</v>
      </c>
    </row>
    <row r="2564" spans="1:4" x14ac:dyDescent="0.25">
      <c r="A2564" t="s">
        <v>923</v>
      </c>
      <c r="B2564">
        <v>1.3339999999999999E-2</v>
      </c>
      <c r="C2564" t="str">
        <f t="shared" si="40"/>
        <v>BOGGS SUGAR PINES LLC</v>
      </c>
      <c r="D2564" t="b">
        <v>0</v>
      </c>
    </row>
    <row r="2565" spans="1:4" x14ac:dyDescent="0.25">
      <c r="A2565" t="s">
        <v>2518</v>
      </c>
      <c r="B2565">
        <v>1.32E-2</v>
      </c>
      <c r="C2565" t="str">
        <f t="shared" si="40"/>
        <v>TERRA VERDE UTILITY CO LLC</v>
      </c>
      <c r="D2565" t="b">
        <v>0</v>
      </c>
    </row>
    <row r="2566" spans="1:4" x14ac:dyDescent="0.25">
      <c r="A2566" t="s">
        <v>50</v>
      </c>
      <c r="B2566">
        <v>1.3100000000000001E-2</v>
      </c>
      <c r="C2566" t="str">
        <f t="shared" si="40"/>
        <v>TEXAS PARKS &amp; WILDLIFE DEPT</v>
      </c>
      <c r="D2566" t="b">
        <v>0</v>
      </c>
    </row>
    <row r="2567" spans="1:4" x14ac:dyDescent="0.25">
      <c r="A2567" t="s">
        <v>1246</v>
      </c>
      <c r="B2567">
        <v>1.3091999999999999E-2</v>
      </c>
      <c r="C2567" t="str">
        <f t="shared" si="40"/>
        <v>US DEPT OF THE AIR FORCE</v>
      </c>
      <c r="D2567" t="b">
        <v>0</v>
      </c>
    </row>
    <row r="2568" spans="1:4" x14ac:dyDescent="0.25">
      <c r="A2568" t="s">
        <v>1824</v>
      </c>
      <c r="B2568">
        <v>1.2999999999999999E-2</v>
      </c>
      <c r="C2568" t="str">
        <f t="shared" si="40"/>
        <v>OHMSTEDE LTD</v>
      </c>
      <c r="D2568" t="b">
        <v>0</v>
      </c>
    </row>
    <row r="2569" spans="1:4" x14ac:dyDescent="0.25">
      <c r="A2569" t="s">
        <v>2068</v>
      </c>
      <c r="B2569">
        <v>1.2999999999999999E-2</v>
      </c>
      <c r="C2569" t="str">
        <f t="shared" si="40"/>
        <v>KLEIN ISD</v>
      </c>
      <c r="D2569" t="b">
        <v>0</v>
      </c>
    </row>
    <row r="2570" spans="1:4" x14ac:dyDescent="0.25">
      <c r="A2570" t="s">
        <v>2147</v>
      </c>
      <c r="B2570">
        <v>1.2999999999999999E-2</v>
      </c>
      <c r="C2570" t="str">
        <f t="shared" si="40"/>
        <v>TRINITY SO GP, LLC</v>
      </c>
      <c r="D2570" t="b">
        <v>0</v>
      </c>
    </row>
    <row r="2571" spans="1:4" x14ac:dyDescent="0.25">
      <c r="A2571" t="s">
        <v>442</v>
      </c>
      <c r="B2571">
        <v>1.2999999999999999E-2</v>
      </c>
      <c r="C2571" t="str">
        <f t="shared" si="40"/>
        <v>CITY OF LA WARD</v>
      </c>
      <c r="D2571" t="b">
        <v>0</v>
      </c>
    </row>
    <row r="2572" spans="1:4" x14ac:dyDescent="0.25">
      <c r="A2572" t="s">
        <v>497</v>
      </c>
      <c r="B2572">
        <v>1.2999999999999999E-2</v>
      </c>
      <c r="C2572" t="str">
        <f t="shared" si="40"/>
        <v>COOPER NATURAL RESOURCES INC</v>
      </c>
      <c r="D2572" t="b">
        <v>0</v>
      </c>
    </row>
    <row r="2573" spans="1:4" x14ac:dyDescent="0.25">
      <c r="A2573" t="s">
        <v>198</v>
      </c>
      <c r="B2573">
        <v>1.2999999999999999E-2</v>
      </c>
      <c r="C2573" t="str">
        <f t="shared" si="40"/>
        <v>PLANTATION CROSSING OWNERS ASSOCIATION INC</v>
      </c>
      <c r="D2573" t="b">
        <v>0</v>
      </c>
    </row>
    <row r="2574" spans="1:4" x14ac:dyDescent="0.25">
      <c r="A2574" t="s">
        <v>2396</v>
      </c>
      <c r="B2574">
        <v>1.2999999999999999E-2</v>
      </c>
      <c r="C2574" t="str">
        <f t="shared" si="40"/>
        <v>QUAIL RUN SERVICES LLC</v>
      </c>
      <c r="D2574" t="b">
        <v>0</v>
      </c>
    </row>
    <row r="2575" spans="1:4" x14ac:dyDescent="0.25">
      <c r="A2575" t="s">
        <v>690</v>
      </c>
      <c r="B2575">
        <v>1.2800000000000001E-2</v>
      </c>
      <c r="C2575" t="str">
        <f t="shared" si="40"/>
        <v>AQUA TEXAS INC</v>
      </c>
      <c r="D2575" t="b">
        <v>0</v>
      </c>
    </row>
    <row r="2576" spans="1:4" x14ac:dyDescent="0.25">
      <c r="A2576" t="s">
        <v>439</v>
      </c>
      <c r="B2576">
        <v>1.2800000000000001E-2</v>
      </c>
      <c r="C2576" t="str">
        <f t="shared" si="40"/>
        <v>PORT COMFORT POWER LLC</v>
      </c>
      <c r="D2576" t="b">
        <v>0</v>
      </c>
    </row>
    <row r="2577" spans="1:4" x14ac:dyDescent="0.25">
      <c r="A2577" t="s">
        <v>798</v>
      </c>
      <c r="B2577">
        <v>1.2619E-2</v>
      </c>
      <c r="C2577" t="str">
        <f t="shared" si="40"/>
        <v>ANGELINA COUNTY WCID NO 3</v>
      </c>
      <c r="D2577" t="b">
        <v>0</v>
      </c>
    </row>
    <row r="2578" spans="1:4" x14ac:dyDescent="0.25">
      <c r="A2578" t="s">
        <v>1447</v>
      </c>
      <c r="B2578">
        <v>1.2500000000000001E-2</v>
      </c>
      <c r="C2578" t="str">
        <f t="shared" si="40"/>
        <v>POPE AND COBB CORP</v>
      </c>
      <c r="D2578" t="b">
        <v>0</v>
      </c>
    </row>
    <row r="2579" spans="1:4" x14ac:dyDescent="0.25">
      <c r="A2579" t="s">
        <v>1396</v>
      </c>
      <c r="B2579">
        <v>1.24E-2</v>
      </c>
      <c r="C2579" t="str">
        <f t="shared" si="40"/>
        <v>SABINE RIVER AUTHORITY OF TEXAS</v>
      </c>
      <c r="D2579" t="b">
        <v>0</v>
      </c>
    </row>
    <row r="2580" spans="1:4" x14ac:dyDescent="0.25">
      <c r="A2580" t="s">
        <v>184</v>
      </c>
      <c r="B2580">
        <v>1.23E-2</v>
      </c>
      <c r="C2580" t="str">
        <f t="shared" si="40"/>
        <v>NALCO COMPANY</v>
      </c>
      <c r="D2580" t="b">
        <v>0</v>
      </c>
    </row>
    <row r="2581" spans="1:4" x14ac:dyDescent="0.25">
      <c r="A2581" t="s">
        <v>1449</v>
      </c>
      <c r="B2581">
        <v>1.23E-2</v>
      </c>
      <c r="C2581" t="str">
        <f t="shared" si="40"/>
        <v>LAKE FORK PARADISE RV RESORTS LLC</v>
      </c>
      <c r="D2581" t="b">
        <v>0</v>
      </c>
    </row>
    <row r="2582" spans="1:4" x14ac:dyDescent="0.25">
      <c r="A2582" t="s">
        <v>2654</v>
      </c>
      <c r="B2582">
        <v>1.2137E-2</v>
      </c>
      <c r="C2582" t="str">
        <f t="shared" si="40"/>
        <v>YOUNG MEN'S CHRISTIAN ASSOCIATON OF METROPOLITAN DALLAS</v>
      </c>
      <c r="D2582" t="b">
        <v>0</v>
      </c>
    </row>
    <row r="2583" spans="1:4" x14ac:dyDescent="0.25">
      <c r="A2583" t="s">
        <v>2616</v>
      </c>
      <c r="B2583">
        <v>1.2E-2</v>
      </c>
      <c r="C2583" t="str">
        <f t="shared" si="40"/>
        <v>HUFFMAN ISD</v>
      </c>
      <c r="D2583" t="b">
        <v>0</v>
      </c>
    </row>
    <row r="2584" spans="1:4" x14ac:dyDescent="0.25">
      <c r="A2584" t="s">
        <v>1203</v>
      </c>
      <c r="B2584">
        <v>1.2E-2</v>
      </c>
      <c r="C2584" t="str">
        <f t="shared" si="40"/>
        <v>US DEPT OF THE INTERIOR</v>
      </c>
      <c r="D2584" t="b">
        <v>0</v>
      </c>
    </row>
    <row r="2585" spans="1:4" x14ac:dyDescent="0.25">
      <c r="A2585" t="s">
        <v>1176</v>
      </c>
      <c r="B2585">
        <v>1.2E-2</v>
      </c>
      <c r="C2585" t="str">
        <f t="shared" si="40"/>
        <v>RED RIVER AUTHORITY OF TEXAS</v>
      </c>
      <c r="D2585" t="b">
        <v>0</v>
      </c>
    </row>
    <row r="2586" spans="1:4" x14ac:dyDescent="0.25">
      <c r="A2586" t="s">
        <v>632</v>
      </c>
      <c r="B2586">
        <v>1.2E-2</v>
      </c>
      <c r="C2586" t="str">
        <f t="shared" si="40"/>
        <v>GUADALUPE-BLANCO RIVER AUTHORITY</v>
      </c>
      <c r="D2586" t="b">
        <v>0</v>
      </c>
    </row>
    <row r="2587" spans="1:4" x14ac:dyDescent="0.25">
      <c r="A2587" t="s">
        <v>2916</v>
      </c>
      <c r="B2587">
        <v>1.2E-2</v>
      </c>
      <c r="C2587" t="str">
        <f t="shared" si="40"/>
        <v>WEST WISE SPECIAL UTILITY DISTRICT</v>
      </c>
      <c r="D2587" t="b">
        <v>0</v>
      </c>
    </row>
    <row r="2588" spans="1:4" x14ac:dyDescent="0.25">
      <c r="A2588" t="s">
        <v>2707</v>
      </c>
      <c r="B2588">
        <v>1.1900000000000001E-2</v>
      </c>
      <c r="C2588" t="str">
        <f t="shared" si="40"/>
        <v>AVALON WATER SUPPLY &amp; SEWER CORP</v>
      </c>
      <c r="D2588" t="b">
        <v>0</v>
      </c>
    </row>
    <row r="2589" spans="1:4" x14ac:dyDescent="0.25">
      <c r="A2589" t="s">
        <v>1880</v>
      </c>
      <c r="B2589">
        <v>1.1900000000000001E-2</v>
      </c>
      <c r="C2589" t="str">
        <f t="shared" si="40"/>
        <v>CHAMPS WATER CO</v>
      </c>
      <c r="D2589" t="b">
        <v>0</v>
      </c>
    </row>
    <row r="2590" spans="1:4" x14ac:dyDescent="0.25">
      <c r="A2590" t="s">
        <v>2832</v>
      </c>
      <c r="B2590">
        <v>1.18E-2</v>
      </c>
      <c r="C2590" t="str">
        <f t="shared" si="40"/>
        <v>CITY OF ANGUS</v>
      </c>
      <c r="D2590" t="b">
        <v>0</v>
      </c>
    </row>
    <row r="2591" spans="1:4" x14ac:dyDescent="0.25">
      <c r="A2591" t="s">
        <v>2534</v>
      </c>
      <c r="B2591">
        <v>1.17E-2</v>
      </c>
      <c r="C2591" t="str">
        <f t="shared" si="40"/>
        <v>CITY OF DOMINO</v>
      </c>
      <c r="D2591" t="b">
        <v>0</v>
      </c>
    </row>
    <row r="2592" spans="1:4" x14ac:dyDescent="0.25">
      <c r="A2592" t="s">
        <v>1446</v>
      </c>
      <c r="B2592">
        <v>1.1599999999999999E-2</v>
      </c>
      <c r="C2592" t="str">
        <f t="shared" si="40"/>
        <v>LAKE FORK MARINA INC</v>
      </c>
      <c r="D2592" t="b">
        <v>0</v>
      </c>
    </row>
    <row r="2593" spans="1:4" x14ac:dyDescent="0.25">
      <c r="A2593" t="s">
        <v>2881</v>
      </c>
      <c r="B2593">
        <v>1.1292E-2</v>
      </c>
      <c r="C2593" t="str">
        <f t="shared" si="40"/>
        <v>THE FORT WORTH BOAT CLUB</v>
      </c>
      <c r="D2593" t="b">
        <v>0</v>
      </c>
    </row>
    <row r="2594" spans="1:4" x14ac:dyDescent="0.25">
      <c r="A2594" t="s">
        <v>462</v>
      </c>
      <c r="B2594">
        <v>1.123E-2</v>
      </c>
      <c r="C2594" t="str">
        <f t="shared" si="40"/>
        <v>AQUA WSC</v>
      </c>
      <c r="D2594" t="b">
        <v>0</v>
      </c>
    </row>
    <row r="2595" spans="1:4" x14ac:dyDescent="0.25">
      <c r="A2595" t="s">
        <v>366</v>
      </c>
      <c r="B2595">
        <v>1.116E-2</v>
      </c>
      <c r="C2595" t="str">
        <f t="shared" si="40"/>
        <v>THE CENTER SERVING PERSONS W MENTAL RETARDATION</v>
      </c>
      <c r="D2595" t="b">
        <v>0</v>
      </c>
    </row>
    <row r="2596" spans="1:4" x14ac:dyDescent="0.25">
      <c r="A2596" t="s">
        <v>492</v>
      </c>
      <c r="B2596">
        <v>1.0999999999999999E-2</v>
      </c>
      <c r="C2596" t="str">
        <f t="shared" si="40"/>
        <v>LUTHERAN OUTDOORS MINISTRY OF TEXAS INC</v>
      </c>
      <c r="D2596" t="b">
        <v>0</v>
      </c>
    </row>
    <row r="2597" spans="1:4" x14ac:dyDescent="0.25">
      <c r="A2597" t="s">
        <v>2641</v>
      </c>
      <c r="B2597">
        <v>1.0999999999999999E-2</v>
      </c>
      <c r="C2597" t="str">
        <f t="shared" si="40"/>
        <v>TIKI LEASING COMPANY LTD</v>
      </c>
      <c r="D2597" t="b">
        <v>0</v>
      </c>
    </row>
    <row r="2598" spans="1:4" x14ac:dyDescent="0.25">
      <c r="A2598" t="s">
        <v>2201</v>
      </c>
      <c r="B2598">
        <v>1.0999999999999999E-2</v>
      </c>
      <c r="C2598" t="str">
        <f t="shared" si="40"/>
        <v>SANJUAN, ESMERALDA</v>
      </c>
      <c r="D2598" t="b">
        <v>0</v>
      </c>
    </row>
    <row r="2599" spans="1:4" x14ac:dyDescent="0.25">
      <c r="A2599" t="s">
        <v>2761</v>
      </c>
      <c r="B2599">
        <v>1.0999999999999999E-2</v>
      </c>
      <c r="C2599" t="str">
        <f t="shared" si="40"/>
        <v>CITY OF STAR HARBOR</v>
      </c>
      <c r="D2599" t="b">
        <v>0</v>
      </c>
    </row>
    <row r="2600" spans="1:4" x14ac:dyDescent="0.25">
      <c r="A2600" t="s">
        <v>306</v>
      </c>
      <c r="B2600">
        <v>1.0999999999999999E-2</v>
      </c>
      <c r="C2600" t="str">
        <f t="shared" si="40"/>
        <v>SOUTHWEST MILAM WATER SUPPLY CORP</v>
      </c>
      <c r="D2600" t="b">
        <v>0</v>
      </c>
    </row>
    <row r="2601" spans="1:4" x14ac:dyDescent="0.25">
      <c r="A2601" t="s">
        <v>1518</v>
      </c>
      <c r="B2601">
        <v>1.0999999999999999E-2</v>
      </c>
      <c r="C2601" t="str">
        <f t="shared" si="40"/>
        <v>SAN ANTONIO RIVER AUTHORITY</v>
      </c>
      <c r="D2601" t="b">
        <v>0</v>
      </c>
    </row>
    <row r="2602" spans="1:4" x14ac:dyDescent="0.25">
      <c r="A2602" t="s">
        <v>209</v>
      </c>
      <c r="B2602">
        <v>1.0999999999999999E-2</v>
      </c>
      <c r="C2602" t="str">
        <f t="shared" si="40"/>
        <v>GREATWOOD HOSPITALITY INC</v>
      </c>
      <c r="D2602" t="b">
        <v>0</v>
      </c>
    </row>
    <row r="2603" spans="1:4" x14ac:dyDescent="0.25">
      <c r="A2603" t="s">
        <v>2505</v>
      </c>
      <c r="B2603">
        <v>1.0999999999999999E-2</v>
      </c>
      <c r="C2603" t="str">
        <f t="shared" si="40"/>
        <v>7E PROPERTY HOLDINGS LP</v>
      </c>
      <c r="D2603" t="b">
        <v>0</v>
      </c>
    </row>
    <row r="2604" spans="1:4" x14ac:dyDescent="0.25">
      <c r="A2604" t="s">
        <v>2697</v>
      </c>
      <c r="B2604">
        <v>1.09E-2</v>
      </c>
      <c r="C2604" t="str">
        <f t="shared" si="40"/>
        <v>NORTHLAKE PARTNERS LTD</v>
      </c>
      <c r="D2604" t="b">
        <v>0</v>
      </c>
    </row>
    <row r="2605" spans="1:4" x14ac:dyDescent="0.25">
      <c r="A2605" t="s">
        <v>320</v>
      </c>
      <c r="B2605">
        <v>1.09E-2</v>
      </c>
      <c r="C2605" t="str">
        <f t="shared" si="40"/>
        <v>DOUBLE DIAMOND UTILITIES CO</v>
      </c>
      <c r="D2605" t="b">
        <v>0</v>
      </c>
    </row>
    <row r="2606" spans="1:4" x14ac:dyDescent="0.25">
      <c r="A2606" t="s">
        <v>2199</v>
      </c>
      <c r="B2606">
        <v>1.0851E-2</v>
      </c>
      <c r="C2606" t="str">
        <f t="shared" si="40"/>
        <v>KWIK-KOPY CORP</v>
      </c>
      <c r="D2606" t="b">
        <v>0</v>
      </c>
    </row>
    <row r="2607" spans="1:4" x14ac:dyDescent="0.25">
      <c r="A2607" t="s">
        <v>2295</v>
      </c>
      <c r="B2607">
        <v>1.0800000000000001E-2</v>
      </c>
      <c r="C2607" t="str">
        <f t="shared" si="40"/>
        <v>ALI MOHAMMAD SOLHJOU</v>
      </c>
      <c r="D2607" t="b">
        <v>0</v>
      </c>
    </row>
    <row r="2608" spans="1:4" x14ac:dyDescent="0.25">
      <c r="A2608" t="s">
        <v>319</v>
      </c>
      <c r="B2608">
        <v>1.0800000000000001E-2</v>
      </c>
      <c r="C2608" t="str">
        <f t="shared" si="40"/>
        <v>DOUBLE DIAMOND UTILITIES CO</v>
      </c>
      <c r="D2608" t="b">
        <v>0</v>
      </c>
    </row>
    <row r="2609" spans="1:4" x14ac:dyDescent="0.25">
      <c r="A2609" t="s">
        <v>369</v>
      </c>
      <c r="B2609">
        <v>1.0793000000000001E-2</v>
      </c>
      <c r="C2609" t="str">
        <f t="shared" si="40"/>
        <v>MAUDINE BRUBAKER</v>
      </c>
      <c r="D2609" t="b">
        <v>0</v>
      </c>
    </row>
    <row r="2610" spans="1:4" x14ac:dyDescent="0.25">
      <c r="A2610" t="s">
        <v>1720</v>
      </c>
      <c r="B2610">
        <v>1.06E-2</v>
      </c>
      <c r="C2610" t="str">
        <f t="shared" si="40"/>
        <v>NAVASOTA ISD</v>
      </c>
      <c r="D2610" t="b">
        <v>0</v>
      </c>
    </row>
    <row r="2611" spans="1:4" x14ac:dyDescent="0.25">
      <c r="A2611" t="s">
        <v>1719</v>
      </c>
      <c r="B2611">
        <v>1.0500000000000001E-2</v>
      </c>
      <c r="C2611" t="str">
        <f t="shared" si="40"/>
        <v>RICHARDS ISD</v>
      </c>
      <c r="D2611" t="b">
        <v>0</v>
      </c>
    </row>
    <row r="2612" spans="1:4" x14ac:dyDescent="0.25">
      <c r="A2612" t="s">
        <v>1438</v>
      </c>
      <c r="B2612">
        <v>1.0500000000000001E-2</v>
      </c>
      <c r="C2612" t="str">
        <f t="shared" si="40"/>
        <v>CITY OF EDGEWOOD</v>
      </c>
      <c r="D2612" t="b">
        <v>0</v>
      </c>
    </row>
    <row r="2613" spans="1:4" x14ac:dyDescent="0.25">
      <c r="A2613" t="s">
        <v>1395</v>
      </c>
      <c r="B2613">
        <v>1.04E-2</v>
      </c>
      <c r="C2613" t="str">
        <f t="shared" si="40"/>
        <v>STEAMBOAT SHORES OWNERS ASSN</v>
      </c>
      <c r="D2613" t="b">
        <v>0</v>
      </c>
    </row>
    <row r="2614" spans="1:4" x14ac:dyDescent="0.25">
      <c r="A2614" t="s">
        <v>128</v>
      </c>
      <c r="B2614">
        <v>1.0291E-2</v>
      </c>
      <c r="C2614" t="str">
        <f t="shared" si="40"/>
        <v>CITY OF COLLEGE STATION</v>
      </c>
      <c r="D2614" t="b">
        <v>0</v>
      </c>
    </row>
    <row r="2615" spans="1:4" x14ac:dyDescent="0.25">
      <c r="A2615" t="s">
        <v>2186</v>
      </c>
      <c r="B2615">
        <v>1.0137999999999999E-2</v>
      </c>
      <c r="C2615" t="str">
        <f t="shared" si="40"/>
        <v>HINOJOSA RENE</v>
      </c>
      <c r="D2615" t="b">
        <v>0</v>
      </c>
    </row>
    <row r="2616" spans="1:4" x14ac:dyDescent="0.25">
      <c r="A2616" t="s">
        <v>2783</v>
      </c>
      <c r="B2616">
        <v>1.01E-2</v>
      </c>
      <c r="C2616" t="str">
        <f t="shared" si="40"/>
        <v>SHALIMAR FORT WORTH LP</v>
      </c>
      <c r="D2616" t="b">
        <v>0</v>
      </c>
    </row>
    <row r="2617" spans="1:4" x14ac:dyDescent="0.25">
      <c r="A2617" t="s">
        <v>653</v>
      </c>
      <c r="B2617">
        <v>0.01</v>
      </c>
      <c r="C2617" t="str">
        <f t="shared" si="40"/>
        <v>UNION CARBIDE CORP</v>
      </c>
      <c r="D2617" t="b">
        <v>0</v>
      </c>
    </row>
    <row r="2618" spans="1:4" x14ac:dyDescent="0.25">
      <c r="A2618" t="s">
        <v>843</v>
      </c>
      <c r="B2618">
        <v>0.01</v>
      </c>
      <c r="C2618" t="str">
        <f t="shared" si="40"/>
        <v>MARTIN OPERATING PARTNERSHIP LP</v>
      </c>
      <c r="D2618" t="b">
        <v>0</v>
      </c>
    </row>
    <row r="2619" spans="1:4" x14ac:dyDescent="0.25">
      <c r="A2619" t="s">
        <v>1606</v>
      </c>
      <c r="B2619">
        <v>0.01</v>
      </c>
      <c r="C2619" t="str">
        <f t="shared" si="40"/>
        <v>MARATHON PETROLEUM CO LP</v>
      </c>
      <c r="D2619" t="b">
        <v>0</v>
      </c>
    </row>
    <row r="2620" spans="1:4" x14ac:dyDescent="0.25">
      <c r="A2620" t="s">
        <v>568</v>
      </c>
      <c r="B2620">
        <v>0.01</v>
      </c>
      <c r="C2620" t="str">
        <f t="shared" si="40"/>
        <v>SABINE VALLEY REGIONAL MENTAL HEALTH AND MENTAL RETARDATION CENTER</v>
      </c>
      <c r="D2620" t="b">
        <v>0</v>
      </c>
    </row>
    <row r="2621" spans="1:4" x14ac:dyDescent="0.25">
      <c r="A2621" t="s">
        <v>2123</v>
      </c>
      <c r="B2621">
        <v>0.01</v>
      </c>
      <c r="C2621" t="str">
        <f t="shared" si="40"/>
        <v>WEATHERFORD US LP</v>
      </c>
      <c r="D2621" t="b">
        <v>0</v>
      </c>
    </row>
    <row r="2622" spans="1:4" x14ac:dyDescent="0.25">
      <c r="A2622" t="s">
        <v>2130</v>
      </c>
      <c r="B2622">
        <v>0.01</v>
      </c>
      <c r="C2622" t="str">
        <f t="shared" si="40"/>
        <v>WILLIAM DONALD SMITH</v>
      </c>
      <c r="D2622" t="b">
        <v>0</v>
      </c>
    </row>
    <row r="2623" spans="1:4" x14ac:dyDescent="0.25">
      <c r="A2623" t="s">
        <v>2620</v>
      </c>
      <c r="B2623">
        <v>0.01</v>
      </c>
      <c r="C2623" t="str">
        <f t="shared" si="40"/>
        <v>BRYER ROBERT F</v>
      </c>
      <c r="D2623" t="b">
        <v>0</v>
      </c>
    </row>
    <row r="2624" spans="1:4" x14ac:dyDescent="0.25">
      <c r="A2624" t="s">
        <v>2209</v>
      </c>
      <c r="B2624">
        <v>0.01</v>
      </c>
      <c r="C2624" t="str">
        <f t="shared" si="40"/>
        <v>GE PACKAGED POWER INC</v>
      </c>
      <c r="D2624" t="b">
        <v>0</v>
      </c>
    </row>
    <row r="2625" spans="1:4" x14ac:dyDescent="0.25">
      <c r="A2625" t="s">
        <v>2639</v>
      </c>
      <c r="B2625">
        <v>0.01</v>
      </c>
      <c r="C2625" t="str">
        <f t="shared" si="40"/>
        <v>WAL-MART STORES EAST LP</v>
      </c>
      <c r="D2625" t="b">
        <v>0</v>
      </c>
    </row>
    <row r="2626" spans="1:4" x14ac:dyDescent="0.25">
      <c r="A2626" t="s">
        <v>193</v>
      </c>
      <c r="B2626">
        <v>0.01</v>
      </c>
      <c r="C2626" t="str">
        <f t="shared" ref="C2626:C2689" si="41">VLOOKUP(A2626,PERMITTEES,2,FALSE)</f>
        <v>ELENA SLEPTSOVA ODA</v>
      </c>
      <c r="D2626" t="b">
        <v>0</v>
      </c>
    </row>
    <row r="2627" spans="1:4" x14ac:dyDescent="0.25">
      <c r="A2627" t="s">
        <v>2856</v>
      </c>
      <c r="B2627">
        <v>0.01</v>
      </c>
      <c r="C2627" t="str">
        <f t="shared" si="41"/>
        <v>TXDOT</v>
      </c>
      <c r="D2627" t="b">
        <v>0</v>
      </c>
    </row>
    <row r="2628" spans="1:4" x14ac:dyDescent="0.25">
      <c r="A2628" t="s">
        <v>1128</v>
      </c>
      <c r="B2628">
        <v>0.01</v>
      </c>
      <c r="C2628" t="str">
        <f t="shared" si="41"/>
        <v>TEXAS DEPARTMENT OF TRANSPORTATION</v>
      </c>
      <c r="D2628" t="b">
        <v>0</v>
      </c>
    </row>
    <row r="2629" spans="1:4" x14ac:dyDescent="0.25">
      <c r="A2629" t="s">
        <v>648</v>
      </c>
      <c r="B2629">
        <v>0.01</v>
      </c>
      <c r="C2629" t="str">
        <f t="shared" si="41"/>
        <v>HALEPASKA PROPERTY MANAGEMENT LLC</v>
      </c>
      <c r="D2629" t="b">
        <v>0</v>
      </c>
    </row>
    <row r="2630" spans="1:4" x14ac:dyDescent="0.25">
      <c r="A2630" t="s">
        <v>2386</v>
      </c>
      <c r="B2630">
        <v>0.01</v>
      </c>
      <c r="C2630" t="str">
        <f t="shared" si="41"/>
        <v>AIRGAS USA LLC</v>
      </c>
      <c r="D2630" t="b">
        <v>0</v>
      </c>
    </row>
    <row r="2631" spans="1:4" x14ac:dyDescent="0.25">
      <c r="A2631" t="s">
        <v>1972</v>
      </c>
      <c r="B2631">
        <v>9.9170000000000005E-3</v>
      </c>
      <c r="C2631" t="str">
        <f t="shared" si="41"/>
        <v>CHAMPS WATER CO</v>
      </c>
      <c r="D2631" t="b">
        <v>0</v>
      </c>
    </row>
    <row r="2632" spans="1:4" x14ac:dyDescent="0.25">
      <c r="A2632" t="s">
        <v>797</v>
      </c>
      <c r="B2632">
        <v>9.8799999999999999E-3</v>
      </c>
      <c r="C2632" t="str">
        <f t="shared" si="41"/>
        <v>ANGELINA WSC</v>
      </c>
      <c r="D2632" t="b">
        <v>0</v>
      </c>
    </row>
    <row r="2633" spans="1:4" x14ac:dyDescent="0.25">
      <c r="A2633" t="s">
        <v>2256</v>
      </c>
      <c r="B2633">
        <v>9.7999999999999997E-3</v>
      </c>
      <c r="C2633" t="str">
        <f t="shared" si="41"/>
        <v>HARRIS COUNTY</v>
      </c>
      <c r="D2633" t="b">
        <v>0</v>
      </c>
    </row>
    <row r="2634" spans="1:4" x14ac:dyDescent="0.25">
      <c r="A2634" t="s">
        <v>737</v>
      </c>
      <c r="B2634">
        <v>9.7999999999999997E-3</v>
      </c>
      <c r="C2634" t="str">
        <f t="shared" si="41"/>
        <v>PRASEKS HILLJE SMOKEHOUSE INC</v>
      </c>
      <c r="D2634" t="b">
        <v>0</v>
      </c>
    </row>
    <row r="2635" spans="1:4" x14ac:dyDescent="0.25">
      <c r="A2635" t="s">
        <v>331</v>
      </c>
      <c r="B2635">
        <v>9.7000000000000003E-3</v>
      </c>
      <c r="C2635" t="str">
        <f t="shared" si="41"/>
        <v>PEASTER ISD PUBLIC FACILITY CORP</v>
      </c>
      <c r="D2635" t="b">
        <v>0</v>
      </c>
    </row>
    <row r="2636" spans="1:4" x14ac:dyDescent="0.25">
      <c r="A2636" t="s">
        <v>2051</v>
      </c>
      <c r="B2636">
        <v>9.5999999999999992E-3</v>
      </c>
      <c r="C2636" t="e">
        <f t="shared" si="41"/>
        <v>#N/A</v>
      </c>
      <c r="D2636" t="b">
        <v>0</v>
      </c>
    </row>
    <row r="2637" spans="1:4" x14ac:dyDescent="0.25">
      <c r="A2637" t="s">
        <v>729</v>
      </c>
      <c r="B2637">
        <v>9.5600000000000008E-3</v>
      </c>
      <c r="C2637" t="str">
        <f t="shared" si="41"/>
        <v>LAVACA-NAVIDAD RIVER AUTHORITY</v>
      </c>
      <c r="D2637" t="b">
        <v>0</v>
      </c>
    </row>
    <row r="2638" spans="1:4" x14ac:dyDescent="0.25">
      <c r="A2638" t="s">
        <v>1379</v>
      </c>
      <c r="B2638">
        <v>9.4999999999999998E-3</v>
      </c>
      <c r="C2638" t="str">
        <f t="shared" si="41"/>
        <v>PCS DEVELOPMENT CO</v>
      </c>
      <c r="D2638" t="b">
        <v>0</v>
      </c>
    </row>
    <row r="2639" spans="1:4" x14ac:dyDescent="0.25">
      <c r="A2639" t="s">
        <v>2009</v>
      </c>
      <c r="B2639">
        <v>9.4999999999999998E-3</v>
      </c>
      <c r="C2639" t="str">
        <f t="shared" si="41"/>
        <v>TOSHIBA INTERNATIONAL CORP</v>
      </c>
      <c r="D2639" t="b">
        <v>0</v>
      </c>
    </row>
    <row r="2640" spans="1:4" x14ac:dyDescent="0.25">
      <c r="A2640" t="s">
        <v>2380</v>
      </c>
      <c r="B2640">
        <v>9.4990000000000005E-3</v>
      </c>
      <c r="C2640" t="str">
        <f t="shared" si="41"/>
        <v>FMC TECHNOLOGIES INC</v>
      </c>
      <c r="D2640" t="b">
        <v>0</v>
      </c>
    </row>
    <row r="2641" spans="1:4" x14ac:dyDescent="0.25">
      <c r="A2641" t="s">
        <v>1575</v>
      </c>
      <c r="B2641">
        <v>9.4000000000000004E-3</v>
      </c>
      <c r="C2641" t="str">
        <f t="shared" si="41"/>
        <v>H &amp; R REALTY INVESTMENTS LLC</v>
      </c>
      <c r="D2641" t="b">
        <v>0</v>
      </c>
    </row>
    <row r="2642" spans="1:4" x14ac:dyDescent="0.25">
      <c r="A2642" t="s">
        <v>2889</v>
      </c>
      <c r="B2642">
        <v>9.4000000000000004E-3</v>
      </c>
      <c r="C2642" t="str">
        <f t="shared" si="41"/>
        <v>JOMOVSM LLC</v>
      </c>
      <c r="D2642" t="b">
        <v>0</v>
      </c>
    </row>
    <row r="2643" spans="1:4" x14ac:dyDescent="0.25">
      <c r="A2643" t="s">
        <v>2349</v>
      </c>
      <c r="B2643">
        <v>9.3620000000000005E-3</v>
      </c>
      <c r="C2643" t="str">
        <f t="shared" si="41"/>
        <v>SAN JACINTO BARGE REPAIR INC</v>
      </c>
      <c r="D2643" t="b">
        <v>0</v>
      </c>
    </row>
    <row r="2644" spans="1:4" x14ac:dyDescent="0.25">
      <c r="A2644" t="s">
        <v>2592</v>
      </c>
      <c r="B2644">
        <v>9.2999999999999992E-3</v>
      </c>
      <c r="C2644" t="str">
        <f t="shared" si="41"/>
        <v>JIVANJI NOMAN BURHANI</v>
      </c>
      <c r="D2644" t="b">
        <v>0</v>
      </c>
    </row>
    <row r="2645" spans="1:4" x14ac:dyDescent="0.25">
      <c r="A2645" t="s">
        <v>2446</v>
      </c>
      <c r="B2645">
        <v>9.1999999999999998E-3</v>
      </c>
      <c r="C2645" t="str">
        <f t="shared" si="41"/>
        <v>MHC TT INC</v>
      </c>
      <c r="D2645" t="b">
        <v>0</v>
      </c>
    </row>
    <row r="2646" spans="1:4" x14ac:dyDescent="0.25">
      <c r="A2646" t="s">
        <v>2624</v>
      </c>
      <c r="B2646">
        <v>9.1999999999999998E-3</v>
      </c>
      <c r="C2646" t="str">
        <f t="shared" si="41"/>
        <v>UTILITIES INVESTMENT CO INC</v>
      </c>
      <c r="D2646" t="b">
        <v>0</v>
      </c>
    </row>
    <row r="2647" spans="1:4" x14ac:dyDescent="0.25">
      <c r="A2647" t="s">
        <v>1990</v>
      </c>
      <c r="B2647">
        <v>9.1800000000000007E-3</v>
      </c>
      <c r="C2647" t="str">
        <f t="shared" si="41"/>
        <v>JOHNSON, ANA ARAUJO</v>
      </c>
      <c r="D2647" t="b">
        <v>0</v>
      </c>
    </row>
    <row r="2648" spans="1:4" x14ac:dyDescent="0.25">
      <c r="A2648" t="s">
        <v>660</v>
      </c>
      <c r="B2648">
        <v>8.9999999999999993E-3</v>
      </c>
      <c r="C2648" t="str">
        <f t="shared" si="41"/>
        <v>UNION CARBIDE CORP</v>
      </c>
      <c r="D2648" t="b">
        <v>0</v>
      </c>
    </row>
    <row r="2649" spans="1:4" x14ac:dyDescent="0.25">
      <c r="A2649" t="s">
        <v>42</v>
      </c>
      <c r="B2649">
        <v>8.9999999999999993E-3</v>
      </c>
      <c r="C2649" t="str">
        <f t="shared" si="41"/>
        <v>TEXAS PARKS &amp; WILDLIFE DEPT</v>
      </c>
      <c r="D2649" t="b">
        <v>0</v>
      </c>
    </row>
    <row r="2650" spans="1:4" x14ac:dyDescent="0.25">
      <c r="A2650" t="s">
        <v>2540</v>
      </c>
      <c r="B2650">
        <v>8.9999999999999993E-3</v>
      </c>
      <c r="C2650" t="str">
        <f t="shared" si="41"/>
        <v>CITY OF MOUNT VERNON</v>
      </c>
      <c r="D2650" t="b">
        <v>0</v>
      </c>
    </row>
    <row r="2651" spans="1:4" x14ac:dyDescent="0.25">
      <c r="A2651" t="s">
        <v>2455</v>
      </c>
      <c r="B2651">
        <v>8.9999999999999993E-3</v>
      </c>
      <c r="C2651" t="str">
        <f t="shared" si="41"/>
        <v>MAGNOLIA ISD</v>
      </c>
      <c r="D2651" t="b">
        <v>0</v>
      </c>
    </row>
    <row r="2652" spans="1:4" x14ac:dyDescent="0.25">
      <c r="A2652" t="s">
        <v>719</v>
      </c>
      <c r="B2652">
        <v>8.9999999999999993E-3</v>
      </c>
      <c r="C2652" t="str">
        <f t="shared" si="41"/>
        <v>TEXAS DEPT OF TRANSPORTATION</v>
      </c>
      <c r="D2652" t="b">
        <v>0</v>
      </c>
    </row>
    <row r="2653" spans="1:4" x14ac:dyDescent="0.25">
      <c r="A2653" t="s">
        <v>2342</v>
      </c>
      <c r="B2653">
        <v>8.9999999999999993E-3</v>
      </c>
      <c r="C2653" t="str">
        <f t="shared" si="41"/>
        <v>DXC TECHNOLOGY SERVICES LLC</v>
      </c>
      <c r="D2653" t="b">
        <v>0</v>
      </c>
    </row>
    <row r="2654" spans="1:4" x14ac:dyDescent="0.25">
      <c r="A2654" t="s">
        <v>2379</v>
      </c>
      <c r="B2654">
        <v>8.9926999999999993E-3</v>
      </c>
      <c r="C2654" t="str">
        <f t="shared" si="41"/>
        <v>FMC TECHNOLOGIES INC</v>
      </c>
      <c r="D2654" t="b">
        <v>0</v>
      </c>
    </row>
    <row r="2655" spans="1:4" x14ac:dyDescent="0.25">
      <c r="A2655" t="s">
        <v>1037</v>
      </c>
      <c r="B2655">
        <v>8.9619999999999995E-3</v>
      </c>
      <c r="C2655" t="str">
        <f t="shared" si="41"/>
        <v>KLEBERG COUNTY</v>
      </c>
      <c r="D2655" t="b">
        <v>0</v>
      </c>
    </row>
    <row r="2656" spans="1:4" x14ac:dyDescent="0.25">
      <c r="A2656" t="s">
        <v>2508</v>
      </c>
      <c r="B2656">
        <v>8.9379999999999998E-3</v>
      </c>
      <c r="C2656" t="str">
        <f t="shared" si="41"/>
        <v>UNIVERSAL FOREST PRODUCTS TEXAS LLC</v>
      </c>
      <c r="D2656" t="b">
        <v>0</v>
      </c>
    </row>
    <row r="2657" spans="1:4" x14ac:dyDescent="0.25">
      <c r="A2657" t="s">
        <v>2146</v>
      </c>
      <c r="B2657">
        <v>8.8999999999999999E-3</v>
      </c>
      <c r="C2657" t="str">
        <f t="shared" si="41"/>
        <v>WEST ROAD WSC &amp; MCDONALDS CORP</v>
      </c>
      <c r="D2657" t="b">
        <v>0</v>
      </c>
    </row>
    <row r="2658" spans="1:4" x14ac:dyDescent="0.25">
      <c r="A2658" t="s">
        <v>1433</v>
      </c>
      <c r="B2658">
        <v>8.8999999999999999E-3</v>
      </c>
      <c r="C2658" t="str">
        <f t="shared" si="41"/>
        <v>UNION GROVE ISD</v>
      </c>
      <c r="D2658" t="b">
        <v>0</v>
      </c>
    </row>
    <row r="2659" spans="1:4" x14ac:dyDescent="0.25">
      <c r="A2659" t="s">
        <v>2290</v>
      </c>
      <c r="B2659">
        <v>8.8999999999999999E-3</v>
      </c>
      <c r="C2659" t="str">
        <f t="shared" si="41"/>
        <v>FOLEY KENNARD TOM</v>
      </c>
      <c r="D2659" t="b">
        <v>0</v>
      </c>
    </row>
    <row r="2660" spans="1:4" x14ac:dyDescent="0.25">
      <c r="A2660" t="s">
        <v>2167</v>
      </c>
      <c r="B2660">
        <v>8.6999999999999994E-3</v>
      </c>
      <c r="C2660" t="str">
        <f t="shared" si="41"/>
        <v>LEASE BUILDERS LLC</v>
      </c>
      <c r="D2660" t="b">
        <v>0</v>
      </c>
    </row>
    <row r="2661" spans="1:4" x14ac:dyDescent="0.25">
      <c r="A2661" t="s">
        <v>2843</v>
      </c>
      <c r="B2661">
        <v>8.6999999999999994E-3</v>
      </c>
      <c r="C2661" t="str">
        <f t="shared" si="41"/>
        <v>COWTOWN RV PARK LTD</v>
      </c>
      <c r="D2661" t="b">
        <v>0</v>
      </c>
    </row>
    <row r="2662" spans="1:4" x14ac:dyDescent="0.25">
      <c r="A2662" t="s">
        <v>228</v>
      </c>
      <c r="B2662">
        <v>8.6999999999999994E-3</v>
      </c>
      <c r="C2662" t="str">
        <f t="shared" si="41"/>
        <v>CIRCLE T RESORT LLC</v>
      </c>
      <c r="D2662" t="b">
        <v>0</v>
      </c>
    </row>
    <row r="2663" spans="1:4" x14ac:dyDescent="0.25">
      <c r="A2663" t="s">
        <v>461</v>
      </c>
      <c r="B2663">
        <v>8.6599999999999993E-3</v>
      </c>
      <c r="C2663" t="str">
        <f t="shared" si="41"/>
        <v>AQUA WSC</v>
      </c>
      <c r="D2663" t="b">
        <v>0</v>
      </c>
    </row>
    <row r="2664" spans="1:4" x14ac:dyDescent="0.25">
      <c r="A2664" t="s">
        <v>2245</v>
      </c>
      <c r="B2664">
        <v>8.6E-3</v>
      </c>
      <c r="C2664" t="str">
        <f t="shared" si="41"/>
        <v>MEBB ENTERPRISES LLC</v>
      </c>
      <c r="D2664" t="b">
        <v>0</v>
      </c>
    </row>
    <row r="2665" spans="1:4" x14ac:dyDescent="0.25">
      <c r="A2665" t="s">
        <v>1448</v>
      </c>
      <c r="B2665">
        <v>8.5000000000000006E-3</v>
      </c>
      <c r="C2665" t="str">
        <f t="shared" si="41"/>
        <v>BOTTOM LINE HOLDING COMPANY</v>
      </c>
      <c r="D2665" t="b">
        <v>0</v>
      </c>
    </row>
    <row r="2666" spans="1:4" x14ac:dyDescent="0.25">
      <c r="A2666" t="s">
        <v>222</v>
      </c>
      <c r="B2666">
        <v>8.5000000000000006E-3</v>
      </c>
      <c r="C2666" t="str">
        <f t="shared" si="41"/>
        <v>SAM HOUSTON AREA COUNCIL BOYS SCOUTS OF AMERICA</v>
      </c>
      <c r="D2666" t="b">
        <v>0</v>
      </c>
    </row>
    <row r="2667" spans="1:4" x14ac:dyDescent="0.25">
      <c r="A2667" t="s">
        <v>2314</v>
      </c>
      <c r="B2667">
        <v>8.4700000000000001E-3</v>
      </c>
      <c r="C2667" t="str">
        <f t="shared" si="41"/>
        <v>UNIVAR USA INC</v>
      </c>
      <c r="D2667" t="b">
        <v>0</v>
      </c>
    </row>
    <row r="2668" spans="1:4" x14ac:dyDescent="0.25">
      <c r="A2668" t="s">
        <v>2212</v>
      </c>
      <c r="B2668">
        <v>8.3999999999999995E-3</v>
      </c>
      <c r="C2668" t="str">
        <f t="shared" si="41"/>
        <v>GSE ENVIRONMENTAL LLC</v>
      </c>
      <c r="D2668" t="b">
        <v>0</v>
      </c>
    </row>
    <row r="2669" spans="1:4" x14ac:dyDescent="0.25">
      <c r="A2669" t="s">
        <v>468</v>
      </c>
      <c r="B2669">
        <v>8.3499999999999998E-3</v>
      </c>
      <c r="C2669" t="str">
        <f t="shared" si="41"/>
        <v>AQUA WSC</v>
      </c>
      <c r="D2669" t="b">
        <v>0</v>
      </c>
    </row>
    <row r="2670" spans="1:4" x14ac:dyDescent="0.25">
      <c r="A2670" t="s">
        <v>2184</v>
      </c>
      <c r="B2670">
        <v>8.3000000000000001E-3</v>
      </c>
      <c r="C2670" t="str">
        <f t="shared" si="41"/>
        <v>FATIMA FAMILY VILLAGE INC</v>
      </c>
      <c r="D2670" t="b">
        <v>0</v>
      </c>
    </row>
    <row r="2671" spans="1:4" x14ac:dyDescent="0.25">
      <c r="A2671" t="s">
        <v>1398</v>
      </c>
      <c r="B2671">
        <v>8.3000000000000001E-3</v>
      </c>
      <c r="C2671" t="str">
        <f t="shared" si="41"/>
        <v>SABINE RIVER AUTHORITY OF TEXAS</v>
      </c>
      <c r="D2671" t="b">
        <v>0</v>
      </c>
    </row>
    <row r="2672" spans="1:4" x14ac:dyDescent="0.25">
      <c r="A2672" t="s">
        <v>616</v>
      </c>
      <c r="B2672">
        <v>8.3000000000000001E-3</v>
      </c>
      <c r="C2672" t="str">
        <f t="shared" si="41"/>
        <v>CRYSTAL CLEAR SUD</v>
      </c>
      <c r="D2672" t="b">
        <v>0</v>
      </c>
    </row>
    <row r="2673" spans="1:4" x14ac:dyDescent="0.25">
      <c r="A2673" t="s">
        <v>332</v>
      </c>
      <c r="B2673">
        <v>8.2939999999999993E-3</v>
      </c>
      <c r="C2673" t="str">
        <f t="shared" si="41"/>
        <v>PHILIPS ELECTRONICS NORTH AMERICA CORP</v>
      </c>
      <c r="D2673" t="b">
        <v>0</v>
      </c>
    </row>
    <row r="2674" spans="1:4" x14ac:dyDescent="0.25">
      <c r="A2674" t="s">
        <v>2428</v>
      </c>
      <c r="B2674">
        <v>8.2000000000000007E-3</v>
      </c>
      <c r="C2674" t="str">
        <f t="shared" si="41"/>
        <v>CONROE ISD</v>
      </c>
      <c r="D2674" t="b">
        <v>0</v>
      </c>
    </row>
    <row r="2675" spans="1:4" x14ac:dyDescent="0.25">
      <c r="A2675" t="s">
        <v>1004</v>
      </c>
      <c r="B2675">
        <v>8.1939999999999999E-3</v>
      </c>
      <c r="C2675" t="str">
        <f t="shared" si="41"/>
        <v>DUVAL CO CONSERVATION AND RECLAMATION DIST</v>
      </c>
      <c r="D2675" t="b">
        <v>0</v>
      </c>
    </row>
    <row r="2676" spans="1:4" x14ac:dyDescent="0.25">
      <c r="A2676" t="s">
        <v>247</v>
      </c>
      <c r="B2676">
        <v>8.0999999999999996E-3</v>
      </c>
      <c r="C2676" t="str">
        <f t="shared" si="41"/>
        <v>PERRIN-WHITT CISD</v>
      </c>
      <c r="D2676" t="b">
        <v>0</v>
      </c>
    </row>
    <row r="2677" spans="1:4" x14ac:dyDescent="0.25">
      <c r="A2677" t="s">
        <v>2670</v>
      </c>
      <c r="B2677">
        <v>8.0879999999999997E-3</v>
      </c>
      <c r="C2677" t="str">
        <f t="shared" si="41"/>
        <v>TRINITY RIVER AUTHORITY OF TEXAS</v>
      </c>
      <c r="D2677" t="b">
        <v>0</v>
      </c>
    </row>
    <row r="2678" spans="1:4" x14ac:dyDescent="0.25">
      <c r="A2678" t="s">
        <v>2867</v>
      </c>
      <c r="B2678">
        <v>8.064E-3</v>
      </c>
      <c r="C2678" t="str">
        <f t="shared" si="41"/>
        <v>LAKE OAKS LANDING INC</v>
      </c>
      <c r="D2678" t="b">
        <v>0</v>
      </c>
    </row>
    <row r="2679" spans="1:4" x14ac:dyDescent="0.25">
      <c r="A2679" t="s">
        <v>812</v>
      </c>
      <c r="B2679">
        <v>8.0190000000000001E-3</v>
      </c>
      <c r="C2679" t="str">
        <f t="shared" si="41"/>
        <v>CRAFT-TURNEY WSC</v>
      </c>
      <c r="D2679" t="b">
        <v>0</v>
      </c>
    </row>
    <row r="2680" spans="1:4" x14ac:dyDescent="0.25">
      <c r="A2680" t="s">
        <v>2509</v>
      </c>
      <c r="B2680">
        <v>8.0000000000000002E-3</v>
      </c>
      <c r="C2680" t="str">
        <f t="shared" si="41"/>
        <v>GULF COAST TRADES CENTER</v>
      </c>
      <c r="D2680" t="b">
        <v>0</v>
      </c>
    </row>
    <row r="2681" spans="1:4" x14ac:dyDescent="0.25">
      <c r="A2681" t="s">
        <v>681</v>
      </c>
      <c r="B2681">
        <v>8.0000000000000002E-3</v>
      </c>
      <c r="C2681" t="str">
        <f t="shared" si="41"/>
        <v>TEXAS DEPT OF TRANSPORTATION</v>
      </c>
      <c r="D2681" t="b">
        <v>0</v>
      </c>
    </row>
    <row r="2682" spans="1:4" x14ac:dyDescent="0.25">
      <c r="A2682" t="s">
        <v>2439</v>
      </c>
      <c r="B2682">
        <v>8.0000000000000002E-3</v>
      </c>
      <c r="C2682" t="str">
        <f t="shared" si="41"/>
        <v>MAGNOLIA ISD</v>
      </c>
      <c r="D2682" t="b">
        <v>0</v>
      </c>
    </row>
    <row r="2683" spans="1:4" x14ac:dyDescent="0.25">
      <c r="A2683" t="s">
        <v>2638</v>
      </c>
      <c r="B2683">
        <v>8.0000000000000002E-3</v>
      </c>
      <c r="C2683" t="str">
        <f t="shared" si="41"/>
        <v>CAYUGA ISD</v>
      </c>
      <c r="D2683" t="b">
        <v>0</v>
      </c>
    </row>
    <row r="2684" spans="1:4" x14ac:dyDescent="0.25">
      <c r="A2684" t="s">
        <v>2246</v>
      </c>
      <c r="B2684">
        <v>8.0000000000000002E-3</v>
      </c>
      <c r="C2684" t="str">
        <f t="shared" si="41"/>
        <v>MONUMENT INN INC</v>
      </c>
      <c r="D2684" t="b">
        <v>0</v>
      </c>
    </row>
    <row r="2685" spans="1:4" x14ac:dyDescent="0.25">
      <c r="A2685" t="s">
        <v>1274</v>
      </c>
      <c r="B2685">
        <v>8.0000000000000002E-3</v>
      </c>
      <c r="C2685" t="str">
        <f t="shared" si="41"/>
        <v>WALLACE ALLEN RAYNOR</v>
      </c>
      <c r="D2685" t="b">
        <v>0</v>
      </c>
    </row>
    <row r="2686" spans="1:4" x14ac:dyDescent="0.25">
      <c r="A2686" t="s">
        <v>2465</v>
      </c>
      <c r="B2686">
        <v>8.0000000000000002E-3</v>
      </c>
      <c r="C2686" t="str">
        <f t="shared" si="41"/>
        <v>MAGNOLIA ISD</v>
      </c>
      <c r="D2686" t="b">
        <v>0</v>
      </c>
    </row>
    <row r="2687" spans="1:4" x14ac:dyDescent="0.25">
      <c r="A2687" t="s">
        <v>158</v>
      </c>
      <c r="B2687">
        <v>8.0000000000000002E-3</v>
      </c>
      <c r="C2687" t="str">
        <f t="shared" si="41"/>
        <v>NORTHSIDE SUBDIVISION WATER PLANT AND DISTRIBUTION CORP</v>
      </c>
      <c r="D2687" t="b">
        <v>0</v>
      </c>
    </row>
    <row r="2688" spans="1:4" x14ac:dyDescent="0.25">
      <c r="A2688" t="s">
        <v>46</v>
      </c>
      <c r="B2688">
        <v>7.9000000000000008E-3</v>
      </c>
      <c r="C2688" t="str">
        <f t="shared" si="41"/>
        <v>TEXAS PARKS &amp; WILDLIFE DEPT</v>
      </c>
      <c r="D2688" t="b">
        <v>0</v>
      </c>
    </row>
    <row r="2689" spans="1:4" x14ac:dyDescent="0.25">
      <c r="A2689" t="s">
        <v>1481</v>
      </c>
      <c r="B2689">
        <v>7.9000000000000008E-3</v>
      </c>
      <c r="C2689" t="str">
        <f t="shared" si="41"/>
        <v>CITY OF SINTON</v>
      </c>
      <c r="D2689" t="b">
        <v>0</v>
      </c>
    </row>
    <row r="2690" spans="1:4" x14ac:dyDescent="0.25">
      <c r="A2690" t="s">
        <v>608</v>
      </c>
      <c r="B2690">
        <v>7.8600000000000007E-3</v>
      </c>
      <c r="C2690" t="str">
        <f t="shared" ref="C2690:C2753" si="42">VLOOKUP(A2690,PERMITTEES,2,FALSE)</f>
        <v>AQUA WATER SUPPLY CORP</v>
      </c>
      <c r="D2690" t="b">
        <v>0</v>
      </c>
    </row>
    <row r="2691" spans="1:4" x14ac:dyDescent="0.25">
      <c r="A2691" t="s">
        <v>601</v>
      </c>
      <c r="B2691">
        <v>7.8390000000000005E-3</v>
      </c>
      <c r="C2691" t="str">
        <f t="shared" si="42"/>
        <v>UNION HILL ISD</v>
      </c>
      <c r="D2691" t="b">
        <v>0</v>
      </c>
    </row>
    <row r="2692" spans="1:4" x14ac:dyDescent="0.25">
      <c r="A2692" t="s">
        <v>2913</v>
      </c>
      <c r="B2692">
        <v>7.7999999999999996E-3</v>
      </c>
      <c r="C2692" t="str">
        <f t="shared" si="42"/>
        <v>CAMP SUMMIT INC</v>
      </c>
      <c r="D2692" t="b">
        <v>0</v>
      </c>
    </row>
    <row r="2693" spans="1:4" x14ac:dyDescent="0.25">
      <c r="A2693" t="s">
        <v>2462</v>
      </c>
      <c r="B2693">
        <v>7.7000000000000002E-3</v>
      </c>
      <c r="C2693" t="str">
        <f t="shared" si="42"/>
        <v>MEEKER, MARC ROGER</v>
      </c>
      <c r="D2693" t="b">
        <v>0</v>
      </c>
    </row>
    <row r="2694" spans="1:4" x14ac:dyDescent="0.25">
      <c r="A2694" t="s">
        <v>416</v>
      </c>
      <c r="B2694">
        <v>7.4999999999999997E-3</v>
      </c>
      <c r="C2694" t="str">
        <f t="shared" si="42"/>
        <v>ALCOA WORLD ALUMINA LLC</v>
      </c>
      <c r="D2694" t="b">
        <v>0</v>
      </c>
    </row>
    <row r="2695" spans="1:4" x14ac:dyDescent="0.25">
      <c r="A2695" t="s">
        <v>2445</v>
      </c>
      <c r="B2695">
        <v>7.4999999999999997E-3</v>
      </c>
      <c r="C2695" t="str">
        <f t="shared" si="42"/>
        <v>MHC TT INC</v>
      </c>
      <c r="D2695" t="b">
        <v>0</v>
      </c>
    </row>
    <row r="2696" spans="1:4" x14ac:dyDescent="0.25">
      <c r="A2696" t="s">
        <v>49</v>
      </c>
      <c r="B2696">
        <v>7.476E-3</v>
      </c>
      <c r="C2696" t="str">
        <f t="shared" si="42"/>
        <v>TEXAS PARKS &amp; WILDLIFE DEPT</v>
      </c>
      <c r="D2696" t="b">
        <v>0</v>
      </c>
    </row>
    <row r="2697" spans="1:4" x14ac:dyDescent="0.25">
      <c r="A2697" t="s">
        <v>2902</v>
      </c>
      <c r="B2697">
        <v>7.3229999999999996E-3</v>
      </c>
      <c r="C2697" t="str">
        <f t="shared" si="42"/>
        <v>CAROLINA CREEK CHRISTIAN CAMP</v>
      </c>
      <c r="D2697" t="b">
        <v>0</v>
      </c>
    </row>
    <row r="2698" spans="1:4" x14ac:dyDescent="0.25">
      <c r="A2698" t="s">
        <v>2079</v>
      </c>
      <c r="B2698">
        <v>7.3000000000000001E-3</v>
      </c>
      <c r="C2698" t="str">
        <f t="shared" si="42"/>
        <v>BAYOU FOREST VILLAGE INC</v>
      </c>
      <c r="D2698" t="b">
        <v>0</v>
      </c>
    </row>
    <row r="2699" spans="1:4" x14ac:dyDescent="0.25">
      <c r="A2699" t="s">
        <v>2110</v>
      </c>
      <c r="B2699">
        <v>7.3000000000000001E-3</v>
      </c>
      <c r="C2699" t="str">
        <f t="shared" si="42"/>
        <v>OCEANEERING INTERNATIONAL INC</v>
      </c>
      <c r="D2699" t="b">
        <v>0</v>
      </c>
    </row>
    <row r="2700" spans="1:4" x14ac:dyDescent="0.25">
      <c r="A2700" t="s">
        <v>943</v>
      </c>
      <c r="B2700">
        <v>7.2830000000000004E-3</v>
      </c>
      <c r="C2700" t="str">
        <f t="shared" si="42"/>
        <v>BROOKELAND ISD</v>
      </c>
      <c r="D2700" t="b">
        <v>0</v>
      </c>
    </row>
    <row r="2701" spans="1:4" x14ac:dyDescent="0.25">
      <c r="A2701" t="s">
        <v>2429</v>
      </c>
      <c r="B2701">
        <v>7.1999999999999998E-3</v>
      </c>
      <c r="C2701" t="str">
        <f t="shared" si="42"/>
        <v>CONROE ISD</v>
      </c>
      <c r="D2701" t="b">
        <v>0</v>
      </c>
    </row>
    <row r="2702" spans="1:4" x14ac:dyDescent="0.25">
      <c r="A2702" t="s">
        <v>2157</v>
      </c>
      <c r="B2702">
        <v>7.1199999999999996E-3</v>
      </c>
      <c r="C2702" t="str">
        <f t="shared" si="42"/>
        <v>HUFFSMITH-KOHRVILLE INC</v>
      </c>
      <c r="D2702" t="b">
        <v>0</v>
      </c>
    </row>
    <row r="2703" spans="1:4" x14ac:dyDescent="0.25">
      <c r="A2703" t="s">
        <v>173</v>
      </c>
      <c r="B2703">
        <v>7.1000000000000004E-3</v>
      </c>
      <c r="C2703" t="str">
        <f t="shared" si="42"/>
        <v>FRITO-LAY INC</v>
      </c>
      <c r="D2703" t="b">
        <v>0</v>
      </c>
    </row>
    <row r="2704" spans="1:4" x14ac:dyDescent="0.25">
      <c r="A2704" t="s">
        <v>2855</v>
      </c>
      <c r="B2704">
        <v>7.0819999999999998E-3</v>
      </c>
      <c r="C2704" t="str">
        <f t="shared" si="42"/>
        <v>POLK HEALTH HOLDINGS LLC &amp; LIVINGSTON CARE ASSOCIATES INC</v>
      </c>
      <c r="D2704" t="b">
        <v>0</v>
      </c>
    </row>
    <row r="2705" spans="1:4" x14ac:dyDescent="0.25">
      <c r="A2705" t="s">
        <v>832</v>
      </c>
      <c r="B2705">
        <v>7.0000000000000001E-3</v>
      </c>
      <c r="C2705" t="str">
        <f t="shared" si="42"/>
        <v>TEXAS ELECTRIC COOPERATIVES INC</v>
      </c>
      <c r="D2705" t="b">
        <v>0</v>
      </c>
    </row>
    <row r="2706" spans="1:4" x14ac:dyDescent="0.25">
      <c r="A2706" t="s">
        <v>1797</v>
      </c>
      <c r="B2706">
        <v>7.0000000000000001E-3</v>
      </c>
      <c r="C2706" t="str">
        <f t="shared" si="42"/>
        <v>NRG TEXAS POWER LLC</v>
      </c>
      <c r="D2706" t="b">
        <v>0</v>
      </c>
    </row>
    <row r="2707" spans="1:4" x14ac:dyDescent="0.25">
      <c r="A2707" t="s">
        <v>822</v>
      </c>
      <c r="B2707">
        <v>7.0000000000000001E-3</v>
      </c>
      <c r="C2707" t="str">
        <f t="shared" si="42"/>
        <v>WEST HARDIN CISD</v>
      </c>
      <c r="D2707" t="b">
        <v>0</v>
      </c>
    </row>
    <row r="2708" spans="1:4" x14ac:dyDescent="0.25">
      <c r="A2708" t="s">
        <v>312</v>
      </c>
      <c r="B2708">
        <v>7.0000000000000001E-3</v>
      </c>
      <c r="C2708" t="str">
        <f t="shared" si="42"/>
        <v>BRAZOS ELECTRIC POWER COOPERATIVE INC</v>
      </c>
      <c r="D2708" t="b">
        <v>0</v>
      </c>
    </row>
    <row r="2709" spans="1:4" x14ac:dyDescent="0.25">
      <c r="A2709" t="s">
        <v>594</v>
      </c>
      <c r="B2709">
        <v>7.0000000000000001E-3</v>
      </c>
      <c r="C2709" t="str">
        <f t="shared" si="42"/>
        <v>TOWN OF MILLERS COVE</v>
      </c>
      <c r="D2709" t="b">
        <v>0</v>
      </c>
    </row>
    <row r="2710" spans="1:4" x14ac:dyDescent="0.25">
      <c r="A2710" t="s">
        <v>2618</v>
      </c>
      <c r="B2710">
        <v>7.0000000000000001E-3</v>
      </c>
      <c r="C2710" t="str">
        <f t="shared" si="42"/>
        <v>CHEVRON PHILLIPS CHEMICAL CO LP</v>
      </c>
      <c r="D2710" t="b">
        <v>0</v>
      </c>
    </row>
    <row r="2711" spans="1:4" x14ac:dyDescent="0.25">
      <c r="A2711" t="s">
        <v>2743</v>
      </c>
      <c r="B2711">
        <v>7.0000000000000001E-3</v>
      </c>
      <c r="C2711" t="str">
        <f t="shared" si="42"/>
        <v>IOLA ISD</v>
      </c>
      <c r="D2711" t="b">
        <v>0</v>
      </c>
    </row>
    <row r="2712" spans="1:4" x14ac:dyDescent="0.25">
      <c r="A2712" t="s">
        <v>2692</v>
      </c>
      <c r="B2712">
        <v>7.0000000000000001E-3</v>
      </c>
      <c r="C2712" t="str">
        <f t="shared" si="42"/>
        <v>MARINE QUEST-HIDDEN COVE LP</v>
      </c>
      <c r="D2712" t="b">
        <v>0</v>
      </c>
    </row>
    <row r="2713" spans="1:4" x14ac:dyDescent="0.25">
      <c r="A2713" t="s">
        <v>1333</v>
      </c>
      <c r="B2713">
        <v>7.0000000000000001E-3</v>
      </c>
      <c r="C2713" t="str">
        <f t="shared" si="42"/>
        <v>MAMIE DELL BAKER</v>
      </c>
      <c r="D2713" t="b">
        <v>0</v>
      </c>
    </row>
    <row r="2714" spans="1:4" x14ac:dyDescent="0.25">
      <c r="A2714" t="s">
        <v>2482</v>
      </c>
      <c r="B2714">
        <v>7.0000000000000001E-3</v>
      </c>
      <c r="C2714" t="str">
        <f t="shared" si="42"/>
        <v>MSEC ENTERPRISES INC</v>
      </c>
      <c r="D2714" t="b">
        <v>0</v>
      </c>
    </row>
    <row r="2715" spans="1:4" x14ac:dyDescent="0.25">
      <c r="A2715" t="s">
        <v>1337</v>
      </c>
      <c r="B2715">
        <v>7.0000000000000001E-3</v>
      </c>
      <c r="C2715" t="str">
        <f t="shared" si="42"/>
        <v>ALLEN JAMES LEWIS</v>
      </c>
      <c r="D2715" t="b">
        <v>0</v>
      </c>
    </row>
    <row r="2716" spans="1:4" x14ac:dyDescent="0.25">
      <c r="A2716" t="s">
        <v>1358</v>
      </c>
      <c r="B2716">
        <v>7.0000000000000001E-3</v>
      </c>
      <c r="C2716" t="str">
        <f t="shared" si="42"/>
        <v>PILOT TRAVEL CENTERS LLC</v>
      </c>
      <c r="D2716" t="b">
        <v>0</v>
      </c>
    </row>
    <row r="2717" spans="1:4" x14ac:dyDescent="0.25">
      <c r="A2717" t="s">
        <v>1000</v>
      </c>
      <c r="B2717">
        <v>7.0000000000000001E-3</v>
      </c>
      <c r="C2717" t="str">
        <f t="shared" si="42"/>
        <v>EAST RIO HONDO WATER SUPPLY CO</v>
      </c>
      <c r="D2717" t="b">
        <v>0</v>
      </c>
    </row>
    <row r="2718" spans="1:4" x14ac:dyDescent="0.25">
      <c r="A2718" t="s">
        <v>1235</v>
      </c>
      <c r="B2718">
        <v>6.9410000000000001E-3</v>
      </c>
      <c r="C2718" t="str">
        <f t="shared" si="42"/>
        <v>THE UNIVERSITY OF TEXAS AT AUSTIN</v>
      </c>
      <c r="D2718" t="b">
        <v>0</v>
      </c>
    </row>
    <row r="2719" spans="1:4" x14ac:dyDescent="0.25">
      <c r="A2719" t="s">
        <v>1198</v>
      </c>
      <c r="B2719">
        <v>6.8999999999999999E-3</v>
      </c>
      <c r="C2719" t="str">
        <f t="shared" si="42"/>
        <v>TEXAS HEALTH AND HUMAN SERVICES COMMISSION</v>
      </c>
      <c r="D2719" t="b">
        <v>0</v>
      </c>
    </row>
    <row r="2720" spans="1:4" x14ac:dyDescent="0.25">
      <c r="A2720" t="s">
        <v>2426</v>
      </c>
      <c r="B2720">
        <v>6.8999999999999999E-3</v>
      </c>
      <c r="C2720" t="str">
        <f t="shared" si="42"/>
        <v>CANEY CREEK UTILITIES INC</v>
      </c>
      <c r="D2720" t="b">
        <v>0</v>
      </c>
    </row>
    <row r="2721" spans="1:4" x14ac:dyDescent="0.25">
      <c r="A2721" t="s">
        <v>2223</v>
      </c>
      <c r="B2721">
        <v>6.7999999999999996E-3</v>
      </c>
      <c r="C2721" t="str">
        <f t="shared" si="42"/>
        <v>MAXEY ROAD WSC</v>
      </c>
      <c r="D2721" t="b">
        <v>0</v>
      </c>
    </row>
    <row r="2722" spans="1:4" x14ac:dyDescent="0.25">
      <c r="A2722" t="s">
        <v>116</v>
      </c>
      <c r="B2722">
        <v>6.6020000000000002E-3</v>
      </c>
      <c r="C2722" t="str">
        <f t="shared" si="42"/>
        <v>TEXAS A&amp;M UNIVERSITY</v>
      </c>
      <c r="D2722" t="b">
        <v>0</v>
      </c>
    </row>
    <row r="2723" spans="1:4" x14ac:dyDescent="0.25">
      <c r="A2723" t="s">
        <v>2118</v>
      </c>
      <c r="B2723">
        <v>6.4999999999999997E-3</v>
      </c>
      <c r="C2723" t="str">
        <f t="shared" si="42"/>
        <v>VALERO REFINING TEXAS LP</v>
      </c>
      <c r="D2723" t="b">
        <v>0</v>
      </c>
    </row>
    <row r="2724" spans="1:4" x14ac:dyDescent="0.25">
      <c r="A2724" t="s">
        <v>2262</v>
      </c>
      <c r="B2724">
        <v>6.4999999999999997E-3</v>
      </c>
      <c r="C2724" t="str">
        <f t="shared" si="42"/>
        <v>QUALITY PRODUCT FINISHING INC</v>
      </c>
      <c r="D2724" t="b">
        <v>0</v>
      </c>
    </row>
    <row r="2725" spans="1:4" x14ac:dyDescent="0.25">
      <c r="A2725" t="s">
        <v>1334</v>
      </c>
      <c r="B2725">
        <v>6.45E-3</v>
      </c>
      <c r="C2725" t="str">
        <f t="shared" si="42"/>
        <v>TRINITY INDUSTRIES INC</v>
      </c>
      <c r="D2725" t="b">
        <v>0</v>
      </c>
    </row>
    <row r="2726" spans="1:4" x14ac:dyDescent="0.25">
      <c r="A2726" t="s">
        <v>2382</v>
      </c>
      <c r="B2726">
        <v>6.4000000000000003E-3</v>
      </c>
      <c r="C2726" t="str">
        <f t="shared" si="42"/>
        <v>NANTUCKET HOUSING LLC</v>
      </c>
      <c r="D2726" t="b">
        <v>0</v>
      </c>
    </row>
    <row r="2727" spans="1:4" x14ac:dyDescent="0.25">
      <c r="A2727" t="s">
        <v>728</v>
      </c>
      <c r="B2727">
        <v>6.3829999999999998E-3</v>
      </c>
      <c r="C2727" t="str">
        <f t="shared" si="42"/>
        <v>JACKSON COUNTY WCID  NO 2</v>
      </c>
      <c r="D2727" t="b">
        <v>0</v>
      </c>
    </row>
    <row r="2728" spans="1:4" x14ac:dyDescent="0.25">
      <c r="A2728" t="s">
        <v>2193</v>
      </c>
      <c r="B2728">
        <v>6.3E-3</v>
      </c>
      <c r="C2728" t="str">
        <f t="shared" si="42"/>
        <v>CW-MHP LTD</v>
      </c>
      <c r="D2728" t="b">
        <v>0</v>
      </c>
    </row>
    <row r="2729" spans="1:4" x14ac:dyDescent="0.25">
      <c r="A2729" t="s">
        <v>2122</v>
      </c>
      <c r="B2729">
        <v>6.1999999999999998E-3</v>
      </c>
      <c r="C2729" t="str">
        <f t="shared" si="42"/>
        <v>WEATHERFORD US LP</v>
      </c>
      <c r="D2729" t="b">
        <v>0</v>
      </c>
    </row>
    <row r="2730" spans="1:4" x14ac:dyDescent="0.25">
      <c r="A2730" t="s">
        <v>2640</v>
      </c>
      <c r="B2730">
        <v>6.1999999999999998E-3</v>
      </c>
      <c r="C2730" t="str">
        <f t="shared" si="42"/>
        <v>LUND ROGER ALLEN</v>
      </c>
      <c r="D2730" t="b">
        <v>0</v>
      </c>
    </row>
    <row r="2731" spans="1:4" x14ac:dyDescent="0.25">
      <c r="A2731" t="s">
        <v>159</v>
      </c>
      <c r="B2731">
        <v>6.1999999999999998E-3</v>
      </c>
      <c r="C2731" t="str">
        <f t="shared" si="42"/>
        <v>STEPHENVILLE MOBILE HOME PARK LTD</v>
      </c>
      <c r="D2731" t="b">
        <v>0</v>
      </c>
    </row>
    <row r="2732" spans="1:4" x14ac:dyDescent="0.25">
      <c r="A2732" t="s">
        <v>2803</v>
      </c>
      <c r="B2732">
        <v>6.1999999999999998E-3</v>
      </c>
      <c r="C2732" t="str">
        <f t="shared" si="42"/>
        <v>GOSPEL FOR ASIA INC</v>
      </c>
      <c r="D2732" t="b">
        <v>0</v>
      </c>
    </row>
    <row r="2733" spans="1:4" x14ac:dyDescent="0.25">
      <c r="A2733" t="s">
        <v>1380</v>
      </c>
      <c r="B2733">
        <v>6.1289999999999999E-3</v>
      </c>
      <c r="C2733" t="str">
        <f t="shared" si="42"/>
        <v>GULFLANDER PARTNERS GROUP LP</v>
      </c>
      <c r="D2733" t="b">
        <v>0</v>
      </c>
    </row>
    <row r="2734" spans="1:4" x14ac:dyDescent="0.25">
      <c r="A2734" t="s">
        <v>1951</v>
      </c>
      <c r="B2734">
        <v>6.0000000000000001E-3</v>
      </c>
      <c r="C2734" t="str">
        <f t="shared" si="42"/>
        <v>VALERO REFINING TEXAS LP</v>
      </c>
      <c r="D2734" t="b">
        <v>0</v>
      </c>
    </row>
    <row r="2735" spans="1:4" x14ac:dyDescent="0.25">
      <c r="A2735" t="s">
        <v>2850</v>
      </c>
      <c r="B2735">
        <v>6.0000000000000001E-3</v>
      </c>
      <c r="C2735" t="str">
        <f t="shared" si="42"/>
        <v>SHANNON LYNN GOINS</v>
      </c>
      <c r="D2735" t="b">
        <v>0</v>
      </c>
    </row>
    <row r="2736" spans="1:4" x14ac:dyDescent="0.25">
      <c r="A2736" t="s">
        <v>2138</v>
      </c>
      <c r="B2736">
        <v>6.0000000000000001E-3</v>
      </c>
      <c r="C2736" t="str">
        <f t="shared" si="42"/>
        <v>SPRING CENTER INC</v>
      </c>
      <c r="D2736" t="b">
        <v>0</v>
      </c>
    </row>
    <row r="2737" spans="1:4" x14ac:dyDescent="0.25">
      <c r="A2737" t="s">
        <v>2210</v>
      </c>
      <c r="B2737">
        <v>6.0000000000000001E-3</v>
      </c>
      <c r="C2737" t="str">
        <f t="shared" si="42"/>
        <v>LA CASITA HOLDINGS INC</v>
      </c>
      <c r="D2737" t="b">
        <v>0</v>
      </c>
    </row>
    <row r="2738" spans="1:4" x14ac:dyDescent="0.25">
      <c r="A2738" t="s">
        <v>2218</v>
      </c>
      <c r="B2738">
        <v>6.0000000000000001E-3</v>
      </c>
      <c r="C2738" t="str">
        <f t="shared" si="42"/>
        <v>CHANNEL SHIPYARD CO INC</v>
      </c>
      <c r="D2738" t="b">
        <v>0</v>
      </c>
    </row>
    <row r="2739" spans="1:4" x14ac:dyDescent="0.25">
      <c r="A2739" t="s">
        <v>974</v>
      </c>
      <c r="B2739">
        <v>6.0000000000000001E-3</v>
      </c>
      <c r="C2739" t="str">
        <f t="shared" si="42"/>
        <v>BEN WHEELER WSC</v>
      </c>
      <c r="D2739" t="b">
        <v>0</v>
      </c>
    </row>
    <row r="2740" spans="1:4" x14ac:dyDescent="0.25">
      <c r="A2740" t="s">
        <v>2338</v>
      </c>
      <c r="B2740">
        <v>6.0000000000000001E-3</v>
      </c>
      <c r="C2740" t="str">
        <f t="shared" si="42"/>
        <v>NATIONAL OILWELL VARCO LP</v>
      </c>
      <c r="D2740" t="b">
        <v>0</v>
      </c>
    </row>
    <row r="2741" spans="1:4" x14ac:dyDescent="0.25">
      <c r="A2741" t="s">
        <v>443</v>
      </c>
      <c r="B2741">
        <v>6.0000000000000001E-3</v>
      </c>
      <c r="C2741" t="str">
        <f t="shared" si="42"/>
        <v>TRI-COUNTY POINT PROPERTY OWNERS ASSOCIATION</v>
      </c>
      <c r="D2741" t="b">
        <v>0</v>
      </c>
    </row>
    <row r="2742" spans="1:4" x14ac:dyDescent="0.25">
      <c r="A2742" t="s">
        <v>2387</v>
      </c>
      <c r="B2742">
        <v>6.0000000000000001E-3</v>
      </c>
      <c r="C2742" t="str">
        <f t="shared" si="42"/>
        <v>GOODMAN MANUFACTURING COMPANY LP</v>
      </c>
      <c r="D2742" t="b">
        <v>0</v>
      </c>
    </row>
    <row r="2743" spans="1:4" x14ac:dyDescent="0.25">
      <c r="A2743" t="s">
        <v>638</v>
      </c>
      <c r="B2743">
        <v>6.0000000000000001E-3</v>
      </c>
      <c r="C2743" t="str">
        <f t="shared" si="42"/>
        <v>PLUM CREEK UTILITY COMPANY LLC</v>
      </c>
      <c r="D2743" t="b">
        <v>0</v>
      </c>
    </row>
    <row r="2744" spans="1:4" x14ac:dyDescent="0.25">
      <c r="A2744" t="s">
        <v>829</v>
      </c>
      <c r="B2744">
        <v>6.0000000000000001E-3</v>
      </c>
      <c r="C2744" t="str">
        <f t="shared" si="42"/>
        <v>CORNELIUS ERIKS AND SUSAN CHARLOTTE ERIKS</v>
      </c>
      <c r="D2744" t="b">
        <v>0</v>
      </c>
    </row>
    <row r="2745" spans="1:4" x14ac:dyDescent="0.25">
      <c r="A2745" t="s">
        <v>2347</v>
      </c>
      <c r="B2745">
        <v>5.9280000000000001E-3</v>
      </c>
      <c r="C2745" t="str">
        <f t="shared" si="42"/>
        <v>WILLIAM EMMETT HARTZOG JR</v>
      </c>
      <c r="D2745" t="b">
        <v>0</v>
      </c>
    </row>
    <row r="2746" spans="1:4" x14ac:dyDescent="0.25">
      <c r="A2746" t="s">
        <v>1429</v>
      </c>
      <c r="B2746">
        <v>5.8999999999999999E-3</v>
      </c>
      <c r="C2746" t="str">
        <f t="shared" si="42"/>
        <v>EVANGELICAL CHRISTIAN CREDIT UNION</v>
      </c>
      <c r="D2746" t="b">
        <v>0</v>
      </c>
    </row>
    <row r="2747" spans="1:4" x14ac:dyDescent="0.25">
      <c r="A2747" t="s">
        <v>1031</v>
      </c>
      <c r="B2747">
        <v>5.8999999999999999E-3</v>
      </c>
      <c r="C2747" t="str">
        <f t="shared" si="42"/>
        <v>LA JOYA ISD</v>
      </c>
      <c r="D2747" t="b">
        <v>0</v>
      </c>
    </row>
    <row r="2748" spans="1:4" x14ac:dyDescent="0.25">
      <c r="A2748" t="s">
        <v>2071</v>
      </c>
      <c r="B2748">
        <v>5.7999999999999996E-3</v>
      </c>
      <c r="C2748" t="str">
        <f t="shared" si="42"/>
        <v>VAM USA LLC</v>
      </c>
      <c r="D2748" t="b">
        <v>0</v>
      </c>
    </row>
    <row r="2749" spans="1:4" x14ac:dyDescent="0.25">
      <c r="A2749" t="s">
        <v>966</v>
      </c>
      <c r="B2749">
        <v>5.7999999999999996E-3</v>
      </c>
      <c r="C2749" t="str">
        <f t="shared" si="42"/>
        <v>HELMS, TONDA JOLANE</v>
      </c>
      <c r="D2749" t="b">
        <v>0</v>
      </c>
    </row>
    <row r="2750" spans="1:4" x14ac:dyDescent="0.25">
      <c r="A2750" t="s">
        <v>1520</v>
      </c>
      <c r="B2750">
        <v>5.757E-3</v>
      </c>
      <c r="C2750" t="str">
        <f t="shared" si="42"/>
        <v>SAN ANTONIO RIVER AUTHORITY</v>
      </c>
      <c r="D2750" t="b">
        <v>0</v>
      </c>
    </row>
    <row r="2751" spans="1:4" x14ac:dyDescent="0.25">
      <c r="A2751" t="s">
        <v>2109</v>
      </c>
      <c r="B2751">
        <v>5.7000000000000002E-3</v>
      </c>
      <c r="C2751" t="str">
        <f t="shared" si="42"/>
        <v>TIFCO INDUSTRIES INC</v>
      </c>
      <c r="D2751" t="b">
        <v>0</v>
      </c>
    </row>
    <row r="2752" spans="1:4" x14ac:dyDescent="0.25">
      <c r="A2752" t="s">
        <v>70</v>
      </c>
      <c r="B2752">
        <v>5.7000000000000002E-3</v>
      </c>
      <c r="C2752" t="str">
        <f t="shared" si="42"/>
        <v>CITY OF MORGAN'S POINT RESORT</v>
      </c>
      <c r="D2752" t="b">
        <v>0</v>
      </c>
    </row>
    <row r="2753" spans="1:4" x14ac:dyDescent="0.25">
      <c r="A2753" t="s">
        <v>2126</v>
      </c>
      <c r="B2753">
        <v>5.5999999999999999E-3</v>
      </c>
      <c r="C2753" t="str">
        <f t="shared" si="42"/>
        <v>CHAMPS WATER CO</v>
      </c>
      <c r="D2753" t="b">
        <v>0</v>
      </c>
    </row>
    <row r="2754" spans="1:4" x14ac:dyDescent="0.25">
      <c r="A2754" t="s">
        <v>2261</v>
      </c>
      <c r="B2754">
        <v>5.5999999999999999E-3</v>
      </c>
      <c r="C2754" t="str">
        <f t="shared" ref="C2754:C2817" si="43">VLOOKUP(A2754,PERMITTEES,2,FALSE)</f>
        <v>QUARTERS LLC</v>
      </c>
      <c r="D2754" t="b">
        <v>0</v>
      </c>
    </row>
    <row r="2755" spans="1:4" x14ac:dyDescent="0.25">
      <c r="A2755" t="s">
        <v>80</v>
      </c>
      <c r="B2755">
        <v>5.5799999999999999E-3</v>
      </c>
      <c r="C2755" t="str">
        <f t="shared" si="43"/>
        <v>SPECIAL CAMPS FOR SPECIAL KIDS</v>
      </c>
      <c r="D2755" t="b">
        <v>0</v>
      </c>
    </row>
    <row r="2756" spans="1:4" x14ac:dyDescent="0.25">
      <c r="A2756" t="s">
        <v>2589</v>
      </c>
      <c r="B2756">
        <v>5.4520000000000002E-3</v>
      </c>
      <c r="C2756" t="str">
        <f t="shared" si="43"/>
        <v>ENTERPRISE PRODUCTS OPERATING LLC</v>
      </c>
      <c r="D2756" t="b">
        <v>0</v>
      </c>
    </row>
    <row r="2757" spans="1:4" x14ac:dyDescent="0.25">
      <c r="A2757" t="s">
        <v>967</v>
      </c>
      <c r="B2757">
        <v>5.4299999999999999E-3</v>
      </c>
      <c r="C2757" t="str">
        <f t="shared" si="43"/>
        <v>APPLE SPRINGS ISD</v>
      </c>
      <c r="D2757" t="b">
        <v>0</v>
      </c>
    </row>
    <row r="2758" spans="1:4" x14ac:dyDescent="0.25">
      <c r="A2758" t="s">
        <v>2464</v>
      </c>
      <c r="B2758">
        <v>5.4000000000000003E-3</v>
      </c>
      <c r="C2758" t="str">
        <f t="shared" si="43"/>
        <v>US LAND CORP</v>
      </c>
      <c r="D2758" t="b">
        <v>0</v>
      </c>
    </row>
    <row r="2759" spans="1:4" x14ac:dyDescent="0.25">
      <c r="A2759" t="s">
        <v>1089</v>
      </c>
      <c r="B2759">
        <v>5.3870000000000003E-3</v>
      </c>
      <c r="C2759" t="str">
        <f t="shared" si="43"/>
        <v>MPB PROPERTIES LLC AND CORPUS CHRISTI PEOPLES BAPTIST CHURCH</v>
      </c>
      <c r="D2759" t="b">
        <v>0</v>
      </c>
    </row>
    <row r="2760" spans="1:4" x14ac:dyDescent="0.25">
      <c r="A2760" t="s">
        <v>45</v>
      </c>
      <c r="B2760">
        <v>5.3299999999999997E-3</v>
      </c>
      <c r="C2760" t="str">
        <f t="shared" si="43"/>
        <v>BRAZOS ISD</v>
      </c>
      <c r="D2760" t="b">
        <v>0</v>
      </c>
    </row>
    <row r="2761" spans="1:4" x14ac:dyDescent="0.25">
      <c r="A2761" t="s">
        <v>1652</v>
      </c>
      <c r="B2761">
        <v>5.3299999999999997E-3</v>
      </c>
      <c r="C2761" t="str">
        <f t="shared" si="43"/>
        <v>BAYOU DEVELOPMENT LLC</v>
      </c>
      <c r="D2761" t="b">
        <v>0</v>
      </c>
    </row>
    <row r="2762" spans="1:4" x14ac:dyDescent="0.25">
      <c r="A2762" t="s">
        <v>983</v>
      </c>
      <c r="B2762">
        <v>5.2599999999999999E-3</v>
      </c>
      <c r="C2762" t="str">
        <f t="shared" si="43"/>
        <v>WINTER GARDEN PARK CORP</v>
      </c>
      <c r="D2762" t="b">
        <v>0</v>
      </c>
    </row>
    <row r="2763" spans="1:4" x14ac:dyDescent="0.25">
      <c r="A2763" t="s">
        <v>1417</v>
      </c>
      <c r="B2763">
        <v>5.1190000000000003E-3</v>
      </c>
      <c r="C2763" t="str">
        <f t="shared" si="43"/>
        <v>SHELBYVILLE ISD</v>
      </c>
      <c r="D2763" t="b">
        <v>0</v>
      </c>
    </row>
    <row r="2764" spans="1:4" x14ac:dyDescent="0.25">
      <c r="A2764" t="s">
        <v>1148</v>
      </c>
      <c r="B2764">
        <v>5.1000000000000004E-3</v>
      </c>
      <c r="C2764" t="str">
        <f t="shared" si="43"/>
        <v>HOOKS ISD</v>
      </c>
      <c r="D2764" t="b">
        <v>0</v>
      </c>
    </row>
    <row r="2765" spans="1:4" x14ac:dyDescent="0.25">
      <c r="A2765" t="s">
        <v>2556</v>
      </c>
      <c r="B2765">
        <v>5.0000000000000001E-3</v>
      </c>
      <c r="C2765" t="str">
        <f t="shared" si="43"/>
        <v>CITY OF ANNONA</v>
      </c>
      <c r="D2765" t="b">
        <v>0</v>
      </c>
    </row>
    <row r="2766" spans="1:4" x14ac:dyDescent="0.25">
      <c r="A2766" t="s">
        <v>1998</v>
      </c>
      <c r="B2766">
        <v>5.0000000000000001E-3</v>
      </c>
      <c r="C2766" t="str">
        <f t="shared" si="43"/>
        <v>DYNAMIC PRODUCTS INC</v>
      </c>
      <c r="D2766" t="b">
        <v>0</v>
      </c>
    </row>
    <row r="2767" spans="1:4" x14ac:dyDescent="0.25">
      <c r="A2767" t="s">
        <v>1286</v>
      </c>
      <c r="B2767">
        <v>5.0000000000000001E-3</v>
      </c>
      <c r="C2767" t="str">
        <f t="shared" si="43"/>
        <v>GBW RAILCAR SERVICES LLC</v>
      </c>
      <c r="D2767" t="b">
        <v>0</v>
      </c>
    </row>
    <row r="2768" spans="1:4" x14ac:dyDescent="0.25">
      <c r="A2768" t="s">
        <v>2133</v>
      </c>
      <c r="B2768">
        <v>5.0000000000000001E-3</v>
      </c>
      <c r="C2768" t="str">
        <f t="shared" si="43"/>
        <v>ELITE COMPUTER CONSULTANTS LP</v>
      </c>
      <c r="D2768" t="b">
        <v>0</v>
      </c>
    </row>
    <row r="2769" spans="1:4" x14ac:dyDescent="0.25">
      <c r="A2769" t="s">
        <v>18</v>
      </c>
      <c r="B2769">
        <v>5.0000000000000001E-3</v>
      </c>
      <c r="C2769" t="str">
        <f t="shared" si="43"/>
        <v>8 MILE PARK LP</v>
      </c>
      <c r="D2769" t="b">
        <v>0</v>
      </c>
    </row>
    <row r="2770" spans="1:4" x14ac:dyDescent="0.25">
      <c r="A2770" t="s">
        <v>2163</v>
      </c>
      <c r="B2770">
        <v>5.0000000000000001E-3</v>
      </c>
      <c r="C2770" t="str">
        <f t="shared" si="43"/>
        <v>UNITED STRUCTURES OF AMERICA INC</v>
      </c>
      <c r="D2770" t="b">
        <v>0</v>
      </c>
    </row>
    <row r="2771" spans="1:4" x14ac:dyDescent="0.25">
      <c r="A2771" t="s">
        <v>1468</v>
      </c>
      <c r="B2771">
        <v>5.0000000000000001E-3</v>
      </c>
      <c r="C2771" t="str">
        <f t="shared" si="43"/>
        <v>TOWN OF BAYSIDE</v>
      </c>
      <c r="D2771" t="b">
        <v>0</v>
      </c>
    </row>
    <row r="2772" spans="1:4" x14ac:dyDescent="0.25">
      <c r="A2772" t="s">
        <v>2303</v>
      </c>
      <c r="B2772">
        <v>5.0000000000000001E-3</v>
      </c>
      <c r="C2772" t="str">
        <f t="shared" si="43"/>
        <v>REGEANT CHEMICAL AND RESEARCH INC</v>
      </c>
      <c r="D2772" t="b">
        <v>0</v>
      </c>
    </row>
    <row r="2773" spans="1:4" x14ac:dyDescent="0.25">
      <c r="A2773" t="s">
        <v>493</v>
      </c>
      <c r="B2773">
        <v>5.0000000000000001E-3</v>
      </c>
      <c r="C2773" t="str">
        <f t="shared" si="43"/>
        <v>FAYETTE COUNTY</v>
      </c>
      <c r="D2773" t="b">
        <v>0</v>
      </c>
    </row>
    <row r="2774" spans="1:4" x14ac:dyDescent="0.25">
      <c r="A2774" t="s">
        <v>2340</v>
      </c>
      <c r="B2774">
        <v>5.0000000000000001E-3</v>
      </c>
      <c r="C2774" t="str">
        <f t="shared" si="43"/>
        <v>LOCHINVAR GOLF CLUB</v>
      </c>
      <c r="D2774" t="b">
        <v>0</v>
      </c>
    </row>
    <row r="2775" spans="1:4" x14ac:dyDescent="0.25">
      <c r="A2775" t="s">
        <v>2763</v>
      </c>
      <c r="B2775">
        <v>5.0000000000000001E-3</v>
      </c>
      <c r="C2775" t="str">
        <f t="shared" si="43"/>
        <v>WEST CEDAR CREEK MUD</v>
      </c>
      <c r="D2775" t="b">
        <v>0</v>
      </c>
    </row>
    <row r="2776" spans="1:4" x14ac:dyDescent="0.25">
      <c r="A2776" t="s">
        <v>216</v>
      </c>
      <c r="B2776">
        <v>5.0000000000000001E-3</v>
      </c>
      <c r="C2776" t="str">
        <f t="shared" si="43"/>
        <v>TWINWOOD (US) INC</v>
      </c>
      <c r="D2776" t="b">
        <v>0</v>
      </c>
    </row>
    <row r="2777" spans="1:4" x14ac:dyDescent="0.25">
      <c r="A2777" t="s">
        <v>2125</v>
      </c>
      <c r="B2777">
        <v>4.9030000000000002E-3</v>
      </c>
      <c r="C2777" t="str">
        <f t="shared" si="43"/>
        <v>NCI GROUP INC</v>
      </c>
      <c r="D2777" t="b">
        <v>0</v>
      </c>
    </row>
    <row r="2778" spans="1:4" x14ac:dyDescent="0.25">
      <c r="A2778" t="s">
        <v>436</v>
      </c>
      <c r="B2778">
        <v>4.8999999999999998E-3</v>
      </c>
      <c r="C2778" t="str">
        <f t="shared" si="43"/>
        <v>FARMERS TRANSPORT INC</v>
      </c>
      <c r="D2778" t="b">
        <v>0</v>
      </c>
    </row>
    <row r="2779" spans="1:4" x14ac:dyDescent="0.25">
      <c r="A2779" t="s">
        <v>2253</v>
      </c>
      <c r="B2779">
        <v>4.8069999999999996E-3</v>
      </c>
      <c r="C2779" t="str">
        <f t="shared" si="43"/>
        <v>NCI GROUP INC</v>
      </c>
      <c r="D2779" t="b">
        <v>0</v>
      </c>
    </row>
    <row r="2780" spans="1:4" x14ac:dyDescent="0.25">
      <c r="A2780" t="s">
        <v>2197</v>
      </c>
      <c r="B2780">
        <v>4.7999999999999996E-3</v>
      </c>
      <c r="C2780" t="str">
        <f t="shared" si="43"/>
        <v>FRIEDMAN STEPHEN</v>
      </c>
      <c r="D2780" t="b">
        <v>0</v>
      </c>
    </row>
    <row r="2781" spans="1:4" x14ac:dyDescent="0.25">
      <c r="A2781" t="s">
        <v>2760</v>
      </c>
      <c r="B2781">
        <v>4.7999999999999996E-3</v>
      </c>
      <c r="C2781" t="str">
        <f t="shared" si="43"/>
        <v>MONARCH UTILITIES I LP</v>
      </c>
      <c r="D2781" t="b">
        <v>0</v>
      </c>
    </row>
    <row r="2782" spans="1:4" x14ac:dyDescent="0.25">
      <c r="A2782" t="s">
        <v>1026</v>
      </c>
      <c r="B2782">
        <v>4.7800000000000004E-3</v>
      </c>
      <c r="C2782" t="str">
        <f t="shared" si="43"/>
        <v>LA JOYA ISD</v>
      </c>
      <c r="D2782" t="b">
        <v>0</v>
      </c>
    </row>
    <row r="2783" spans="1:4" x14ac:dyDescent="0.25">
      <c r="A2783" t="s">
        <v>1963</v>
      </c>
      <c r="B2783">
        <v>4.7000000000000002E-3</v>
      </c>
      <c r="C2783" t="str">
        <f t="shared" si="43"/>
        <v>HARRIS COUNTY</v>
      </c>
      <c r="D2783" t="b">
        <v>0</v>
      </c>
    </row>
    <row r="2784" spans="1:4" x14ac:dyDescent="0.25">
      <c r="A2784" t="s">
        <v>121</v>
      </c>
      <c r="B2784">
        <v>4.7000000000000002E-3</v>
      </c>
      <c r="C2784" t="str">
        <f t="shared" si="43"/>
        <v>CITY OF BRYAN</v>
      </c>
      <c r="D2784" t="b">
        <v>0</v>
      </c>
    </row>
    <row r="2785" spans="1:4" x14ac:dyDescent="0.25">
      <c r="A2785" t="s">
        <v>2584</v>
      </c>
      <c r="B2785">
        <v>4.7000000000000002E-3</v>
      </c>
      <c r="C2785" t="str">
        <f t="shared" si="43"/>
        <v>LOST RIVER RV LLC</v>
      </c>
      <c r="D2785" t="b">
        <v>0</v>
      </c>
    </row>
    <row r="2786" spans="1:4" x14ac:dyDescent="0.25">
      <c r="A2786" t="s">
        <v>1082</v>
      </c>
      <c r="B2786">
        <v>4.5999999999999999E-3</v>
      </c>
      <c r="C2786" t="str">
        <f t="shared" si="43"/>
        <v>CORPUS CHRISTI PEOPLES BAPTIST CHURCH</v>
      </c>
      <c r="D2786" t="b">
        <v>0</v>
      </c>
    </row>
    <row r="2787" spans="1:4" x14ac:dyDescent="0.25">
      <c r="A2787" t="s">
        <v>2548</v>
      </c>
      <c r="B2787">
        <v>4.5999999999999999E-3</v>
      </c>
      <c r="C2787" t="str">
        <f t="shared" si="43"/>
        <v>PETTY WATER SUPPLY &amp; SEWER SERVICE CORP</v>
      </c>
      <c r="D2787" t="b">
        <v>0</v>
      </c>
    </row>
    <row r="2788" spans="1:4" x14ac:dyDescent="0.25">
      <c r="A2788" t="s">
        <v>2270</v>
      </c>
      <c r="B2788">
        <v>4.5999999999999999E-3</v>
      </c>
      <c r="C2788" t="str">
        <f t="shared" si="43"/>
        <v>CHRISTIAN TABERNACLE OF HOUSTON INC</v>
      </c>
      <c r="D2788" t="b">
        <v>0</v>
      </c>
    </row>
    <row r="2789" spans="1:4" x14ac:dyDescent="0.25">
      <c r="A2789" t="s">
        <v>1409</v>
      </c>
      <c r="B2789">
        <v>4.5729999999999998E-3</v>
      </c>
      <c r="C2789" t="str">
        <f t="shared" si="43"/>
        <v>FIN &amp; FEATHER RESORT LLC</v>
      </c>
      <c r="D2789" t="b">
        <v>0</v>
      </c>
    </row>
    <row r="2790" spans="1:4" x14ac:dyDescent="0.25">
      <c r="A2790" t="s">
        <v>1384</v>
      </c>
      <c r="B2790">
        <v>4.4999999999999997E-3</v>
      </c>
      <c r="C2790" t="str">
        <f t="shared" si="43"/>
        <v>CONRAD ORABGE SHIPYARD INC</v>
      </c>
      <c r="D2790" t="b">
        <v>0</v>
      </c>
    </row>
    <row r="2791" spans="1:4" x14ac:dyDescent="0.25">
      <c r="A2791" t="s">
        <v>975</v>
      </c>
      <c r="B2791">
        <v>4.4939999999999997E-3</v>
      </c>
      <c r="C2791" t="str">
        <f t="shared" si="43"/>
        <v>SUNDOWN RANCH INC</v>
      </c>
      <c r="D2791" t="b">
        <v>0</v>
      </c>
    </row>
    <row r="2792" spans="1:4" x14ac:dyDescent="0.25">
      <c r="A2792" t="s">
        <v>2498</v>
      </c>
      <c r="B2792">
        <v>4.4000000000000003E-3</v>
      </c>
      <c r="C2792" t="str">
        <f t="shared" si="43"/>
        <v>NJM PROPERTY LTD</v>
      </c>
      <c r="D2792" t="b">
        <v>0</v>
      </c>
    </row>
    <row r="2793" spans="1:4" x14ac:dyDescent="0.25">
      <c r="A2793" t="s">
        <v>2849</v>
      </c>
      <c r="B2793">
        <v>4.3070000000000001E-3</v>
      </c>
      <c r="C2793" t="str">
        <f t="shared" si="43"/>
        <v>PURE UTILITIES LC</v>
      </c>
      <c r="D2793" t="b">
        <v>0</v>
      </c>
    </row>
    <row r="2794" spans="1:4" x14ac:dyDescent="0.25">
      <c r="A2794" t="s">
        <v>1168</v>
      </c>
      <c r="B2794">
        <v>4.3E-3</v>
      </c>
      <c r="C2794" t="str">
        <f t="shared" si="43"/>
        <v>US DEPARTMENT OF THE AIR FORCE</v>
      </c>
      <c r="D2794" t="b">
        <v>0</v>
      </c>
    </row>
    <row r="2795" spans="1:4" x14ac:dyDescent="0.25">
      <c r="A2795" t="s">
        <v>2854</v>
      </c>
      <c r="B2795">
        <v>4.2979999999999997E-3</v>
      </c>
      <c r="C2795" t="str">
        <f t="shared" si="43"/>
        <v>FOUNTAIN LAKE OWNERS WSC</v>
      </c>
      <c r="D2795" t="b">
        <v>0</v>
      </c>
    </row>
    <row r="2796" spans="1:4" x14ac:dyDescent="0.25">
      <c r="A2796" t="s">
        <v>1615</v>
      </c>
      <c r="B2796">
        <v>4.2430000000000002E-3</v>
      </c>
      <c r="C2796" t="str">
        <f t="shared" si="43"/>
        <v>GULF COPPER &amp; MANUFACTURING CORP</v>
      </c>
      <c r="D2796" t="b">
        <v>0</v>
      </c>
    </row>
    <row r="2797" spans="1:4" x14ac:dyDescent="0.25">
      <c r="A2797" t="s">
        <v>2069</v>
      </c>
      <c r="B2797">
        <v>4.1999999999999997E-3</v>
      </c>
      <c r="C2797" t="str">
        <f t="shared" si="43"/>
        <v>UA HOLDINGS 1994-5 LP</v>
      </c>
      <c r="D2797" t="b">
        <v>0</v>
      </c>
    </row>
    <row r="2798" spans="1:4" x14ac:dyDescent="0.25">
      <c r="A2798" t="s">
        <v>2175</v>
      </c>
      <c r="B2798">
        <v>4.1999999999999997E-3</v>
      </c>
      <c r="C2798" t="str">
        <f t="shared" si="43"/>
        <v>TECHNIP UMBILICALS INC</v>
      </c>
      <c r="D2798" t="b">
        <v>0</v>
      </c>
    </row>
    <row r="2799" spans="1:4" x14ac:dyDescent="0.25">
      <c r="A2799" t="s">
        <v>1332</v>
      </c>
      <c r="B2799">
        <v>4.1999999999999997E-3</v>
      </c>
      <c r="C2799" t="str">
        <f t="shared" si="43"/>
        <v>MCBRIDE, JOSEPH EDWARD</v>
      </c>
      <c r="D2799" t="b">
        <v>0</v>
      </c>
    </row>
    <row r="2800" spans="1:4" x14ac:dyDescent="0.25">
      <c r="A2800" t="s">
        <v>1418</v>
      </c>
      <c r="B2800">
        <v>4.0499999999999998E-3</v>
      </c>
      <c r="C2800" t="str">
        <f t="shared" si="43"/>
        <v>CITY OF HUXLEY</v>
      </c>
      <c r="D2800" t="b">
        <v>0</v>
      </c>
    </row>
    <row r="2801" spans="1:4" x14ac:dyDescent="0.25">
      <c r="A2801" t="s">
        <v>1769</v>
      </c>
      <c r="B2801">
        <v>4.0000000000000001E-3</v>
      </c>
      <c r="C2801" t="str">
        <f t="shared" si="43"/>
        <v>TEXMARK CHEMICALS INC</v>
      </c>
      <c r="D2801" t="b">
        <v>0</v>
      </c>
    </row>
    <row r="2802" spans="1:4" x14ac:dyDescent="0.25">
      <c r="A2802" t="s">
        <v>1477</v>
      </c>
      <c r="B2802">
        <v>4.0000000000000001E-3</v>
      </c>
      <c r="C2802" t="str">
        <f t="shared" si="43"/>
        <v>GULF MARINE FABRICATORS LP</v>
      </c>
      <c r="D2802" t="b">
        <v>0</v>
      </c>
    </row>
    <row r="2803" spans="1:4" x14ac:dyDescent="0.25">
      <c r="A2803" t="s">
        <v>2105</v>
      </c>
      <c r="B2803">
        <v>4.0000000000000001E-3</v>
      </c>
      <c r="C2803" t="str">
        <f t="shared" si="43"/>
        <v>VALLOUREC STAR LP</v>
      </c>
      <c r="D2803" t="b">
        <v>0</v>
      </c>
    </row>
    <row r="2804" spans="1:4" x14ac:dyDescent="0.25">
      <c r="A2804" t="s">
        <v>939</v>
      </c>
      <c r="B2804">
        <v>4.0000000000000001E-3</v>
      </c>
      <c r="C2804" t="str">
        <f t="shared" si="43"/>
        <v>CITY OF NEW LONDON</v>
      </c>
      <c r="D2804" t="b">
        <v>0</v>
      </c>
    </row>
    <row r="2805" spans="1:4" x14ac:dyDescent="0.25">
      <c r="A2805" t="s">
        <v>244</v>
      </c>
      <c r="B2805">
        <v>4.0000000000000001E-3</v>
      </c>
      <c r="C2805" t="str">
        <f t="shared" si="43"/>
        <v>FALL CREEK UTILITY CO INC</v>
      </c>
      <c r="D2805" t="b">
        <v>0</v>
      </c>
    </row>
    <row r="2806" spans="1:4" x14ac:dyDescent="0.25">
      <c r="A2806" t="s">
        <v>452</v>
      </c>
      <c r="B2806">
        <v>4.0000000000000001E-3</v>
      </c>
      <c r="C2806" t="str">
        <f t="shared" si="43"/>
        <v>TIDEHAVEN INDEPENDENT SCHOOL DISTRICT</v>
      </c>
      <c r="D2806" t="b">
        <v>0</v>
      </c>
    </row>
    <row r="2807" spans="1:4" x14ac:dyDescent="0.25">
      <c r="A2807" t="s">
        <v>2651</v>
      </c>
      <c r="B2807">
        <v>3.9950000000000003E-3</v>
      </c>
      <c r="C2807" t="str">
        <f t="shared" si="43"/>
        <v>COLLIN PARK MARINA INC</v>
      </c>
      <c r="D2807" t="b">
        <v>0</v>
      </c>
    </row>
    <row r="2808" spans="1:4" x14ac:dyDescent="0.25">
      <c r="A2808" t="s">
        <v>1581</v>
      </c>
      <c r="B2808">
        <v>3.9699999999999996E-3</v>
      </c>
      <c r="C2808" t="str">
        <f t="shared" si="43"/>
        <v>RICETEC INC</v>
      </c>
      <c r="D2808" t="b">
        <v>0</v>
      </c>
    </row>
    <row r="2809" spans="1:4" x14ac:dyDescent="0.25">
      <c r="A2809" t="s">
        <v>2883</v>
      </c>
      <c r="B2809">
        <v>3.9280000000000001E-3</v>
      </c>
      <c r="C2809" t="str">
        <f t="shared" si="43"/>
        <v>EAGLE MOUNTAIN RV PARK LLC</v>
      </c>
      <c r="D2809" t="b">
        <v>0</v>
      </c>
    </row>
    <row r="2810" spans="1:4" x14ac:dyDescent="0.25">
      <c r="A2810" t="s">
        <v>1452</v>
      </c>
      <c r="B2810">
        <v>3.9119999999999997E-3</v>
      </c>
      <c r="C2810" t="str">
        <f t="shared" si="43"/>
        <v>WHITEOAK SHORES SEWER SERVICE CORP</v>
      </c>
      <c r="D2810" t="b">
        <v>0</v>
      </c>
    </row>
    <row r="2811" spans="1:4" x14ac:dyDescent="0.25">
      <c r="A2811" t="s">
        <v>2378</v>
      </c>
      <c r="B2811">
        <v>3.8999999999999998E-3</v>
      </c>
      <c r="C2811" t="str">
        <f t="shared" si="43"/>
        <v>GRAND PARKWAY INDUSTRIAL LP</v>
      </c>
      <c r="D2811" t="b">
        <v>0</v>
      </c>
    </row>
    <row r="2812" spans="1:4" x14ac:dyDescent="0.25">
      <c r="A2812" t="s">
        <v>2895</v>
      </c>
      <c r="B2812">
        <v>3.872E-3</v>
      </c>
      <c r="C2812" t="str">
        <f t="shared" si="43"/>
        <v>TRINITY PINES CONFERENCE CENTER INC</v>
      </c>
      <c r="D2812" t="b">
        <v>0</v>
      </c>
    </row>
    <row r="2813" spans="1:4" x14ac:dyDescent="0.25">
      <c r="A2813" t="s">
        <v>2799</v>
      </c>
      <c r="B2813">
        <v>3.8700000000000002E-3</v>
      </c>
      <c r="C2813" t="str">
        <f t="shared" si="43"/>
        <v>HELMS TRAIL PROPERTIES INC</v>
      </c>
      <c r="D2813" t="b">
        <v>0</v>
      </c>
    </row>
    <row r="2814" spans="1:4" x14ac:dyDescent="0.25">
      <c r="A2814" t="s">
        <v>1401</v>
      </c>
      <c r="B2814">
        <v>3.8E-3</v>
      </c>
      <c r="C2814" t="str">
        <f t="shared" si="43"/>
        <v>LEVERETTS CHAPEL ISD</v>
      </c>
      <c r="D2814" t="b">
        <v>0</v>
      </c>
    </row>
    <row r="2815" spans="1:4" x14ac:dyDescent="0.25">
      <c r="A2815" t="s">
        <v>2082</v>
      </c>
      <c r="B2815">
        <v>3.7959999999999999E-3</v>
      </c>
      <c r="C2815" t="str">
        <f t="shared" si="43"/>
        <v>METTON AMERICA INC</v>
      </c>
      <c r="D2815" t="b">
        <v>0</v>
      </c>
    </row>
    <row r="2816" spans="1:4" x14ac:dyDescent="0.25">
      <c r="A2816" t="s">
        <v>2847</v>
      </c>
      <c r="B2816">
        <v>3.7669999999999999E-3</v>
      </c>
      <c r="C2816" t="str">
        <f t="shared" si="43"/>
        <v>PURE UTILITIES LC</v>
      </c>
      <c r="D2816" t="b">
        <v>0</v>
      </c>
    </row>
    <row r="2817" spans="1:4" x14ac:dyDescent="0.25">
      <c r="A2817" t="s">
        <v>1078</v>
      </c>
      <c r="B2817">
        <v>3.7160000000000001E-3</v>
      </c>
      <c r="C2817" t="str">
        <f t="shared" si="43"/>
        <v>BISHOP CONSOLIDATED ISD</v>
      </c>
      <c r="D2817" t="b">
        <v>0</v>
      </c>
    </row>
    <row r="2818" spans="1:4" x14ac:dyDescent="0.25">
      <c r="A2818" t="s">
        <v>910</v>
      </c>
      <c r="B2818">
        <v>3.6470999999999999E-3</v>
      </c>
      <c r="C2818" t="str">
        <f t="shared" ref="C2818:C2881" si="44">VLOOKUP(A2818,PERMITTEES,2,FALSE)</f>
        <v>WODEN ISD</v>
      </c>
      <c r="D2818" t="b">
        <v>0</v>
      </c>
    </row>
    <row r="2819" spans="1:4" x14ac:dyDescent="0.25">
      <c r="A2819" t="s">
        <v>2115</v>
      </c>
      <c r="B2819">
        <v>3.5999999999999999E-3</v>
      </c>
      <c r="C2819" t="str">
        <f t="shared" si="44"/>
        <v>TIMKENSTEEL MATERIAL SERVICES LLC</v>
      </c>
      <c r="D2819" t="b">
        <v>0</v>
      </c>
    </row>
    <row r="2820" spans="1:4" x14ac:dyDescent="0.25">
      <c r="A2820" t="s">
        <v>811</v>
      </c>
      <c r="B2820">
        <v>3.5999999999999999E-3</v>
      </c>
      <c r="C2820" t="str">
        <f t="shared" si="44"/>
        <v>CITY OF CUNEY</v>
      </c>
      <c r="D2820" t="b">
        <v>0</v>
      </c>
    </row>
    <row r="2821" spans="1:4" x14ac:dyDescent="0.25">
      <c r="A2821" t="s">
        <v>41</v>
      </c>
      <c r="B2821">
        <v>3.5100000000000001E-3</v>
      </c>
      <c r="C2821" t="str">
        <f t="shared" si="44"/>
        <v>TEXAS PARKS &amp; WILDLIFE DEPT</v>
      </c>
      <c r="D2821" t="b">
        <v>0</v>
      </c>
    </row>
    <row r="2822" spans="1:4" x14ac:dyDescent="0.25">
      <c r="A2822" t="s">
        <v>84</v>
      </c>
      <c r="B2822">
        <v>3.5000000000000001E-3</v>
      </c>
      <c r="C2822" t="str">
        <f t="shared" si="44"/>
        <v>CITY OF WALNUT SPRINGS</v>
      </c>
      <c r="D2822" t="b">
        <v>0</v>
      </c>
    </row>
    <row r="2823" spans="1:4" x14ac:dyDescent="0.25">
      <c r="A2823" t="s">
        <v>235</v>
      </c>
      <c r="B2823">
        <v>3.5000000000000001E-3</v>
      </c>
      <c r="C2823" t="str">
        <f t="shared" si="44"/>
        <v>COUNTRY CLUB RETIREMENT COMMUNITY LP</v>
      </c>
      <c r="D2823" t="b">
        <v>0</v>
      </c>
    </row>
    <row r="2824" spans="1:4" x14ac:dyDescent="0.25">
      <c r="A2824" t="s">
        <v>2287</v>
      </c>
      <c r="B2824">
        <v>3.3999999999999998E-3</v>
      </c>
      <c r="C2824" t="str">
        <f t="shared" si="44"/>
        <v>DIA-DEN LTD</v>
      </c>
      <c r="D2824" t="b">
        <v>0</v>
      </c>
    </row>
    <row r="2825" spans="1:4" x14ac:dyDescent="0.25">
      <c r="A2825" t="s">
        <v>308</v>
      </c>
      <c r="B2825">
        <v>3.3419999999999999E-3</v>
      </c>
      <c r="C2825" t="str">
        <f t="shared" si="44"/>
        <v>TEXAS NEW COMMUNITY ALLIANCE</v>
      </c>
      <c r="D2825" t="b">
        <v>0</v>
      </c>
    </row>
    <row r="2826" spans="1:4" x14ac:dyDescent="0.25">
      <c r="A2826" t="s">
        <v>973</v>
      </c>
      <c r="B2826">
        <v>3.2000000000000002E-3</v>
      </c>
      <c r="C2826" t="str">
        <f t="shared" si="44"/>
        <v>BEN WHEELER WSC</v>
      </c>
      <c r="D2826" t="b">
        <v>0</v>
      </c>
    </row>
    <row r="2827" spans="1:4" x14ac:dyDescent="0.25">
      <c r="A2827" t="s">
        <v>293</v>
      </c>
      <c r="B2827">
        <v>3.2000000000000002E-3</v>
      </c>
      <c r="C2827" t="str">
        <f t="shared" si="44"/>
        <v>METHODIST CHILDREN'S HOME</v>
      </c>
      <c r="D2827" t="b">
        <v>0</v>
      </c>
    </row>
    <row r="2828" spans="1:4" x14ac:dyDescent="0.25">
      <c r="A2828" t="s">
        <v>2354</v>
      </c>
      <c r="B2828">
        <v>3.2000000000000002E-3</v>
      </c>
      <c r="C2828" t="str">
        <f t="shared" si="44"/>
        <v>TARGA DOWNSTREAM LLC</v>
      </c>
      <c r="D2828" t="b">
        <v>0</v>
      </c>
    </row>
    <row r="2829" spans="1:4" x14ac:dyDescent="0.25">
      <c r="A2829" t="s">
        <v>2796</v>
      </c>
      <c r="B2829">
        <v>3.0999999999999999E-3</v>
      </c>
      <c r="C2829" t="str">
        <f t="shared" si="44"/>
        <v>PATEL, CHHOTUBHAI THAKORBHAI</v>
      </c>
      <c r="D2829" t="b">
        <v>0</v>
      </c>
    </row>
    <row r="2830" spans="1:4" x14ac:dyDescent="0.25">
      <c r="A2830" t="s">
        <v>2836</v>
      </c>
      <c r="B2830">
        <v>3.0999999999999999E-3</v>
      </c>
      <c r="C2830" t="str">
        <f t="shared" si="44"/>
        <v>TOWN OF MUSTANG</v>
      </c>
      <c r="D2830" t="b">
        <v>0</v>
      </c>
    </row>
    <row r="2831" spans="1:4" x14ac:dyDescent="0.25">
      <c r="A2831" t="s">
        <v>194</v>
      </c>
      <c r="B2831">
        <v>3.0999999999999999E-3</v>
      </c>
      <c r="C2831" t="str">
        <f t="shared" si="44"/>
        <v>CITY OF ROSENBERG</v>
      </c>
      <c r="D2831" t="b">
        <v>0</v>
      </c>
    </row>
    <row r="2832" spans="1:4" x14ac:dyDescent="0.25">
      <c r="A2832" t="s">
        <v>1231</v>
      </c>
      <c r="B2832">
        <v>3.0100000000000001E-3</v>
      </c>
      <c r="C2832" t="str">
        <f t="shared" si="44"/>
        <v>CANUTILLO ISD</v>
      </c>
      <c r="D2832" t="b">
        <v>0</v>
      </c>
    </row>
    <row r="2833" spans="1:4" x14ac:dyDescent="0.25">
      <c r="A2833" t="s">
        <v>47</v>
      </c>
      <c r="B2833">
        <v>3.0000000000000001E-3</v>
      </c>
      <c r="C2833" t="str">
        <f t="shared" si="44"/>
        <v>TEXAS PARKS &amp; WILDLIFE DEPT</v>
      </c>
      <c r="D2833" t="b">
        <v>0</v>
      </c>
    </row>
    <row r="2834" spans="1:4" x14ac:dyDescent="0.25">
      <c r="A2834" t="s">
        <v>125</v>
      </c>
      <c r="B2834">
        <v>3.0000000000000001E-3</v>
      </c>
      <c r="C2834" t="str">
        <f t="shared" si="44"/>
        <v>ILP COLLEGE STATION LLC</v>
      </c>
      <c r="D2834" t="b">
        <v>0</v>
      </c>
    </row>
    <row r="2835" spans="1:4" x14ac:dyDescent="0.25">
      <c r="A2835" t="s">
        <v>2784</v>
      </c>
      <c r="B2835">
        <v>3.0000000000000001E-3</v>
      </c>
      <c r="C2835" t="str">
        <f t="shared" si="44"/>
        <v>ALVARADO ISD</v>
      </c>
      <c r="D2835" t="b">
        <v>0</v>
      </c>
    </row>
    <row r="2836" spans="1:4" x14ac:dyDescent="0.25">
      <c r="A2836" t="s">
        <v>717</v>
      </c>
      <c r="B2836">
        <v>3.0000000000000001E-3</v>
      </c>
      <c r="C2836" t="str">
        <f t="shared" si="44"/>
        <v>BLOOMINGTON ISD</v>
      </c>
      <c r="D2836" t="b">
        <v>0</v>
      </c>
    </row>
    <row r="2837" spans="1:4" x14ac:dyDescent="0.25">
      <c r="A2837" t="s">
        <v>1389</v>
      </c>
      <c r="B2837">
        <v>3.0000000000000001E-3</v>
      </c>
      <c r="C2837" t="str">
        <f t="shared" si="44"/>
        <v>PANOLA-BETHANY WSC</v>
      </c>
      <c r="D2837" t="b">
        <v>0</v>
      </c>
    </row>
    <row r="2838" spans="1:4" x14ac:dyDescent="0.25">
      <c r="A2838" t="s">
        <v>2364</v>
      </c>
      <c r="B2838">
        <v>3.0000000000000001E-3</v>
      </c>
      <c r="C2838" t="str">
        <f t="shared" si="44"/>
        <v>S I ENTERPRISES LLC</v>
      </c>
      <c r="D2838" t="b">
        <v>0</v>
      </c>
    </row>
    <row r="2839" spans="1:4" x14ac:dyDescent="0.25">
      <c r="A2839" t="s">
        <v>2809</v>
      </c>
      <c r="B2839">
        <v>3.0000000000000001E-3</v>
      </c>
      <c r="C2839" t="str">
        <f t="shared" si="44"/>
        <v>CENTERVILLE PETROLEUM LLC</v>
      </c>
      <c r="D2839" t="b">
        <v>0</v>
      </c>
    </row>
    <row r="2840" spans="1:4" x14ac:dyDescent="0.25">
      <c r="A2840" t="s">
        <v>2598</v>
      </c>
      <c r="B2840">
        <v>3.0000000000000001E-3</v>
      </c>
      <c r="C2840" t="str">
        <f t="shared" si="44"/>
        <v>VIA BAYOU INC</v>
      </c>
      <c r="D2840" t="b">
        <v>0</v>
      </c>
    </row>
    <row r="2841" spans="1:4" x14ac:dyDescent="0.25">
      <c r="A2841" t="s">
        <v>1399</v>
      </c>
      <c r="B2841">
        <v>2.9810000000000001E-3</v>
      </c>
      <c r="C2841" t="str">
        <f t="shared" si="44"/>
        <v>SABINE RIVER AUTHORITY OF TEXAS</v>
      </c>
      <c r="D2841" t="b">
        <v>0</v>
      </c>
    </row>
    <row r="2842" spans="1:4" x14ac:dyDescent="0.25">
      <c r="A2842" t="s">
        <v>1450</v>
      </c>
      <c r="B2842">
        <v>2.9529999999999999E-3</v>
      </c>
      <c r="C2842" t="str">
        <f t="shared" si="44"/>
        <v>HEMANI, FRANK</v>
      </c>
      <c r="D2842" t="b">
        <v>0</v>
      </c>
    </row>
    <row r="2843" spans="1:4" x14ac:dyDescent="0.25">
      <c r="A2843" t="s">
        <v>2132</v>
      </c>
      <c r="B2843">
        <v>2.8999999999999998E-3</v>
      </c>
      <c r="C2843" t="str">
        <f t="shared" si="44"/>
        <v>MILLENIUM RAIL INC</v>
      </c>
      <c r="D2843" t="b">
        <v>0</v>
      </c>
    </row>
    <row r="2844" spans="1:4" x14ac:dyDescent="0.25">
      <c r="A2844" t="s">
        <v>569</v>
      </c>
      <c r="B2844">
        <v>2.8540000000000002E-3</v>
      </c>
      <c r="C2844" t="str">
        <f t="shared" si="44"/>
        <v>SNIDER INDUSTRIES LLP</v>
      </c>
      <c r="D2844" t="b">
        <v>0</v>
      </c>
    </row>
    <row r="2845" spans="1:4" x14ac:dyDescent="0.25">
      <c r="A2845" t="s">
        <v>1479</v>
      </c>
      <c r="B2845">
        <v>2.8189999999999999E-3</v>
      </c>
      <c r="C2845" t="str">
        <f t="shared" si="44"/>
        <v>GULF MARINE FABRICATORS LP</v>
      </c>
      <c r="D2845" t="b">
        <v>0</v>
      </c>
    </row>
    <row r="2846" spans="1:4" x14ac:dyDescent="0.25">
      <c r="A2846" t="s">
        <v>2691</v>
      </c>
      <c r="B2846">
        <v>2.8E-3</v>
      </c>
      <c r="C2846" t="str">
        <f t="shared" si="44"/>
        <v>BRIARWOOD LUTHERAN MINISTRIES</v>
      </c>
      <c r="D2846" t="b">
        <v>0</v>
      </c>
    </row>
    <row r="2847" spans="1:4" x14ac:dyDescent="0.25">
      <c r="A2847" t="s">
        <v>941</v>
      </c>
      <c r="B2847">
        <v>2.7360000000000002E-3</v>
      </c>
      <c r="C2847" t="str">
        <f t="shared" si="44"/>
        <v>CARLISLE ISD</v>
      </c>
      <c r="D2847" t="b">
        <v>0</v>
      </c>
    </row>
    <row r="2848" spans="1:4" x14ac:dyDescent="0.25">
      <c r="A2848" t="s">
        <v>2868</v>
      </c>
      <c r="B2848">
        <v>2.7299999999999998E-3</v>
      </c>
      <c r="C2848" t="str">
        <f t="shared" si="44"/>
        <v>HOLIDAY HARBOR WATER/WASTE WATER SUPPLY CORP</v>
      </c>
      <c r="D2848" t="b">
        <v>0</v>
      </c>
    </row>
    <row r="2849" spans="1:4" x14ac:dyDescent="0.25">
      <c r="A2849" t="s">
        <v>883</v>
      </c>
      <c r="B2849">
        <v>2.7000000000000001E-3</v>
      </c>
      <c r="C2849" t="str">
        <f t="shared" si="44"/>
        <v>MARTIN OPERATING PARTNERSHIP LP</v>
      </c>
      <c r="D2849" t="b">
        <v>0</v>
      </c>
    </row>
    <row r="2850" spans="1:4" x14ac:dyDescent="0.25">
      <c r="A2850" t="s">
        <v>2036</v>
      </c>
      <c r="B2850">
        <v>2.7000000000000001E-3</v>
      </c>
      <c r="C2850" t="str">
        <f t="shared" si="44"/>
        <v>UA HOLDINGS 1994-5 LP</v>
      </c>
      <c r="D2850" t="b">
        <v>0</v>
      </c>
    </row>
    <row r="2851" spans="1:4" x14ac:dyDescent="0.25">
      <c r="A2851" t="s">
        <v>1385</v>
      </c>
      <c r="B2851">
        <v>2.7000000000000001E-3</v>
      </c>
      <c r="C2851" t="str">
        <f t="shared" si="44"/>
        <v>CONRAD ORANGE SHIPYARD INC</v>
      </c>
      <c r="D2851" t="b">
        <v>0</v>
      </c>
    </row>
    <row r="2852" spans="1:4" x14ac:dyDescent="0.25">
      <c r="A2852" t="s">
        <v>483</v>
      </c>
      <c r="B2852">
        <v>2.5999999999999999E-3</v>
      </c>
      <c r="C2852" t="str">
        <f t="shared" si="44"/>
        <v>THE FALLS MUD</v>
      </c>
      <c r="D2852" t="b">
        <v>0</v>
      </c>
    </row>
    <row r="2853" spans="1:4" x14ac:dyDescent="0.25">
      <c r="A2853" t="s">
        <v>1354</v>
      </c>
      <c r="B2853">
        <v>2.5999999999999999E-3</v>
      </c>
      <c r="C2853" t="str">
        <f t="shared" si="44"/>
        <v>MALLARD POINT WWTP LLC</v>
      </c>
      <c r="D2853" t="b">
        <v>0</v>
      </c>
    </row>
    <row r="2854" spans="1:4" x14ac:dyDescent="0.25">
      <c r="A2854" t="s">
        <v>2098</v>
      </c>
      <c r="B2854">
        <v>2.5000000000000001E-3</v>
      </c>
      <c r="C2854" t="str">
        <f t="shared" si="44"/>
        <v>NATIONAL OILWELL VARCO LP</v>
      </c>
      <c r="D2854" t="b">
        <v>0</v>
      </c>
    </row>
    <row r="2855" spans="1:4" x14ac:dyDescent="0.25">
      <c r="A2855" t="s">
        <v>2637</v>
      </c>
      <c r="B2855">
        <v>2.3999999999999998E-3</v>
      </c>
      <c r="C2855" t="str">
        <f t="shared" si="44"/>
        <v>LAKEVIEW METHODIST ASSEMBLY</v>
      </c>
      <c r="D2855" t="b">
        <v>0</v>
      </c>
    </row>
    <row r="2856" spans="1:4" x14ac:dyDescent="0.25">
      <c r="A2856" t="s">
        <v>2800</v>
      </c>
      <c r="B2856">
        <v>2.3999999999999998E-3</v>
      </c>
      <c r="C2856" t="str">
        <f t="shared" si="44"/>
        <v>CITY OF DALLAS</v>
      </c>
      <c r="D2856" t="b">
        <v>0</v>
      </c>
    </row>
    <row r="2857" spans="1:4" x14ac:dyDescent="0.25">
      <c r="A2857" t="s">
        <v>1259</v>
      </c>
      <c r="B2857">
        <v>2.3E-3</v>
      </c>
      <c r="C2857" t="str">
        <f t="shared" si="44"/>
        <v>ZAPATA COUNTY</v>
      </c>
      <c r="D2857" t="b">
        <v>0</v>
      </c>
    </row>
    <row r="2858" spans="1:4" x14ac:dyDescent="0.25">
      <c r="A2858" t="s">
        <v>2313</v>
      </c>
      <c r="B2858">
        <v>2.2300000000000002E-3</v>
      </c>
      <c r="C2858" t="str">
        <f t="shared" si="44"/>
        <v>UNIVAR USA INC</v>
      </c>
      <c r="D2858" t="b">
        <v>0</v>
      </c>
    </row>
    <row r="2859" spans="1:4" x14ac:dyDescent="0.25">
      <c r="A2859" t="s">
        <v>2450</v>
      </c>
      <c r="B2859">
        <v>2.2000000000000001E-3</v>
      </c>
      <c r="C2859" t="str">
        <f t="shared" si="44"/>
        <v>THIRTY-TWO REAL ESTATE INVESTMENT LTD</v>
      </c>
      <c r="D2859" t="b">
        <v>0</v>
      </c>
    </row>
    <row r="2860" spans="1:4" x14ac:dyDescent="0.25">
      <c r="A2860" t="s">
        <v>83</v>
      </c>
      <c r="B2860">
        <v>2.2000000000000001E-3</v>
      </c>
      <c r="C2860" t="str">
        <f t="shared" si="44"/>
        <v>CITY OF CRANFILLS GAP</v>
      </c>
      <c r="D2860" t="b">
        <v>0</v>
      </c>
    </row>
    <row r="2861" spans="1:4" x14ac:dyDescent="0.25">
      <c r="A2861" t="s">
        <v>652</v>
      </c>
      <c r="B2861">
        <v>2.0999999999999999E-3</v>
      </c>
      <c r="C2861" t="str">
        <f t="shared" si="44"/>
        <v>UNION CARBIDE CORP</v>
      </c>
      <c r="D2861" t="b">
        <v>0</v>
      </c>
    </row>
    <row r="2862" spans="1:4" x14ac:dyDescent="0.25">
      <c r="A2862" t="s">
        <v>1664</v>
      </c>
      <c r="B2862">
        <v>2.0999999999999999E-3</v>
      </c>
      <c r="C2862" t="str">
        <f t="shared" si="44"/>
        <v>GREIF PACKAGING LLC</v>
      </c>
      <c r="D2862" t="b">
        <v>0</v>
      </c>
    </row>
    <row r="2863" spans="1:4" x14ac:dyDescent="0.25">
      <c r="A2863" t="s">
        <v>360</v>
      </c>
      <c r="B2863">
        <v>2.0999999999999999E-3</v>
      </c>
      <c r="C2863" t="str">
        <f t="shared" si="44"/>
        <v>FOSSIL RIM WILDLIFE CENTER INC</v>
      </c>
      <c r="D2863" t="b">
        <v>0</v>
      </c>
    </row>
    <row r="2864" spans="1:4" x14ac:dyDescent="0.25">
      <c r="A2864" t="s">
        <v>2914</v>
      </c>
      <c r="B2864">
        <v>2E-3</v>
      </c>
      <c r="C2864" t="str">
        <f t="shared" si="44"/>
        <v>SLIDELL ISD</v>
      </c>
      <c r="D2864" t="b">
        <v>0</v>
      </c>
    </row>
    <row r="2865" spans="1:4" x14ac:dyDescent="0.25">
      <c r="A2865" t="s">
        <v>1460</v>
      </c>
      <c r="B2865">
        <v>1.9870000000000001E-3</v>
      </c>
      <c r="C2865" t="str">
        <f t="shared" si="44"/>
        <v>PETTUS MUD</v>
      </c>
      <c r="D2865" t="b">
        <v>0</v>
      </c>
    </row>
    <row r="2866" spans="1:4" x14ac:dyDescent="0.25">
      <c r="A2866" t="s">
        <v>1476</v>
      </c>
      <c r="B2866">
        <v>1.9147000000000001E-3</v>
      </c>
      <c r="C2866" t="str">
        <f t="shared" si="44"/>
        <v>SUBLIGHT ENTERPRISES INC</v>
      </c>
      <c r="D2866" t="b">
        <v>0</v>
      </c>
    </row>
    <row r="2867" spans="1:4" x14ac:dyDescent="0.25">
      <c r="A2867" t="s">
        <v>2672</v>
      </c>
      <c r="B2867">
        <v>1.8E-3</v>
      </c>
      <c r="C2867" t="str">
        <f t="shared" si="44"/>
        <v>D BAR B WATER WASTEWATER SUPPLY CORP</v>
      </c>
      <c r="D2867" t="b">
        <v>0</v>
      </c>
    </row>
    <row r="2868" spans="1:4" x14ac:dyDescent="0.25">
      <c r="A2868" t="s">
        <v>1275</v>
      </c>
      <c r="B2868">
        <v>1.8E-3</v>
      </c>
      <c r="C2868" t="str">
        <f t="shared" si="44"/>
        <v>NATIONAL OIL COMPANY AND TERSCO PROPERTY MANAGEMENT LIMITED</v>
      </c>
      <c r="D2868" t="b">
        <v>0</v>
      </c>
    </row>
    <row r="2869" spans="1:4" x14ac:dyDescent="0.25">
      <c r="A2869" t="s">
        <v>2091</v>
      </c>
      <c r="B2869">
        <v>1.7600000000000001E-3</v>
      </c>
      <c r="C2869" t="str">
        <f t="shared" si="44"/>
        <v>UNIVAR USA INC</v>
      </c>
      <c r="D2869" t="b">
        <v>0</v>
      </c>
    </row>
    <row r="2870" spans="1:4" x14ac:dyDescent="0.25">
      <c r="A2870" t="s">
        <v>1410</v>
      </c>
      <c r="B2870">
        <v>1.75E-3</v>
      </c>
      <c r="C2870" t="str">
        <f t="shared" si="44"/>
        <v>HARBORLIGHT MARINA AND RESORT LLC</v>
      </c>
      <c r="D2870" t="b">
        <v>0</v>
      </c>
    </row>
    <row r="2871" spans="1:4" x14ac:dyDescent="0.25">
      <c r="A2871" t="s">
        <v>2662</v>
      </c>
      <c r="B2871">
        <v>1.6999999999999999E-3</v>
      </c>
      <c r="C2871" t="str">
        <f t="shared" si="44"/>
        <v>CALLISBURG ISD</v>
      </c>
      <c r="D2871" t="b">
        <v>0</v>
      </c>
    </row>
    <row r="2872" spans="1:4" x14ac:dyDescent="0.25">
      <c r="A2872" t="s">
        <v>1957</v>
      </c>
      <c r="B2872">
        <v>1.665E-3</v>
      </c>
      <c r="C2872" t="str">
        <f t="shared" si="44"/>
        <v>CSA LIMITED INC</v>
      </c>
      <c r="D2872" t="b">
        <v>0</v>
      </c>
    </row>
    <row r="2873" spans="1:4" x14ac:dyDescent="0.25">
      <c r="A2873" t="s">
        <v>1</v>
      </c>
      <c r="B2873">
        <v>1.6000000000000001E-3</v>
      </c>
      <c r="C2873" t="str">
        <f t="shared" si="44"/>
        <v>NEW ULM WSC</v>
      </c>
      <c r="D2873" t="b">
        <v>0</v>
      </c>
    </row>
    <row r="2874" spans="1:4" x14ac:dyDescent="0.25">
      <c r="A2874" t="s">
        <v>1692</v>
      </c>
      <c r="B2874">
        <v>1.5330000000000001E-3</v>
      </c>
      <c r="C2874" t="str">
        <f t="shared" si="44"/>
        <v>GREIF PACKAGING LLC</v>
      </c>
      <c r="D2874" t="b">
        <v>0</v>
      </c>
    </row>
    <row r="2875" spans="1:4" x14ac:dyDescent="0.25">
      <c r="A2875" t="s">
        <v>2179</v>
      </c>
      <c r="B2875">
        <v>1.5299999999999999E-3</v>
      </c>
      <c r="C2875" t="str">
        <f t="shared" si="44"/>
        <v>HARTZOG LINDA DIANNE</v>
      </c>
      <c r="D2875" t="b">
        <v>0</v>
      </c>
    </row>
    <row r="2876" spans="1:4" x14ac:dyDescent="0.25">
      <c r="A2876" t="s">
        <v>2474</v>
      </c>
      <c r="B2876">
        <v>1.5E-3</v>
      </c>
      <c r="C2876" t="str">
        <f t="shared" si="44"/>
        <v>IS ZEN CENTER</v>
      </c>
      <c r="D2876" t="b">
        <v>0</v>
      </c>
    </row>
    <row r="2877" spans="1:4" x14ac:dyDescent="0.25">
      <c r="A2877" t="s">
        <v>1085</v>
      </c>
      <c r="B2877">
        <v>1.482E-3</v>
      </c>
      <c r="C2877" t="str">
        <f t="shared" si="44"/>
        <v>US ECOLOGY TEXAS INC</v>
      </c>
      <c r="D2877" t="b">
        <v>0</v>
      </c>
    </row>
    <row r="2878" spans="1:4" x14ac:dyDescent="0.25">
      <c r="A2878" t="s">
        <v>13</v>
      </c>
      <c r="B2878">
        <v>1.408E-3</v>
      </c>
      <c r="C2878" t="str">
        <f t="shared" si="44"/>
        <v>COLUMBIA BRAZORIA ISD</v>
      </c>
      <c r="D2878" t="b">
        <v>0</v>
      </c>
    </row>
    <row r="2879" spans="1:4" x14ac:dyDescent="0.25">
      <c r="A2879" t="s">
        <v>1390</v>
      </c>
      <c r="B2879">
        <v>1.4E-3</v>
      </c>
      <c r="C2879" t="str">
        <f t="shared" si="44"/>
        <v>CITY OF EMORY</v>
      </c>
      <c r="D2879" t="b">
        <v>0</v>
      </c>
    </row>
    <row r="2880" spans="1:4" x14ac:dyDescent="0.25">
      <c r="A2880" t="s">
        <v>2269</v>
      </c>
      <c r="B2880">
        <v>1.4E-3</v>
      </c>
      <c r="C2880" t="str">
        <f t="shared" si="44"/>
        <v>FAIRVIEW GARDENS DEVELOPMENTS LLC</v>
      </c>
      <c r="D2880" t="b">
        <v>0</v>
      </c>
    </row>
    <row r="2881" spans="1:4" x14ac:dyDescent="0.25">
      <c r="A2881" t="s">
        <v>2893</v>
      </c>
      <c r="B2881">
        <v>1.3290000000000001E-3</v>
      </c>
      <c r="C2881" t="str">
        <f t="shared" si="44"/>
        <v>AZTEC COVE PROPERTY OWNERS ASSN INC</v>
      </c>
      <c r="D2881" t="b">
        <v>0</v>
      </c>
    </row>
    <row r="2882" spans="1:4" x14ac:dyDescent="0.25">
      <c r="A2882" t="s">
        <v>907</v>
      </c>
      <c r="B2882">
        <v>1.3029999999999999E-3</v>
      </c>
      <c r="C2882" t="str">
        <f t="shared" ref="C2882:C2919" si="45">VLOOKUP(A2882,PERMITTEES,2,FALSE)</f>
        <v>MARTINSVILLE ISD</v>
      </c>
      <c r="D2882" t="b">
        <v>0</v>
      </c>
    </row>
    <row r="2883" spans="1:4" x14ac:dyDescent="0.25">
      <c r="A2883" t="s">
        <v>1980</v>
      </c>
      <c r="B2883">
        <v>1.2999999999999999E-3</v>
      </c>
      <c r="C2883" t="str">
        <f t="shared" si="45"/>
        <v>PORT TERMINAL RAILROAD ASSN</v>
      </c>
      <c r="D2883" t="b">
        <v>0</v>
      </c>
    </row>
    <row r="2884" spans="1:4" x14ac:dyDescent="0.25">
      <c r="A2884" t="s">
        <v>1651</v>
      </c>
      <c r="B2884">
        <v>1.2999999999999999E-3</v>
      </c>
      <c r="C2884" t="str">
        <f t="shared" si="45"/>
        <v>HALLIBURTON ENERGY SERVICES INC</v>
      </c>
      <c r="D2884" t="b">
        <v>0</v>
      </c>
    </row>
    <row r="2885" spans="1:4" x14ac:dyDescent="0.25">
      <c r="A2885" t="s">
        <v>784</v>
      </c>
      <c r="B2885">
        <v>1.2999999999999999E-3</v>
      </c>
      <c r="C2885" t="str">
        <f t="shared" si="45"/>
        <v>KMTEX LLC</v>
      </c>
      <c r="D2885" t="b">
        <v>0</v>
      </c>
    </row>
    <row r="2886" spans="1:4" x14ac:dyDescent="0.25">
      <c r="A2886" t="s">
        <v>2352</v>
      </c>
      <c r="B2886">
        <v>1.1999999999999999E-3</v>
      </c>
      <c r="C2886" t="e">
        <f t="shared" si="45"/>
        <v>#N/A</v>
      </c>
      <c r="D2886" t="b">
        <v>0</v>
      </c>
    </row>
    <row r="2887" spans="1:4" x14ac:dyDescent="0.25">
      <c r="A2887" t="s">
        <v>572</v>
      </c>
      <c r="B2887">
        <v>1.15E-3</v>
      </c>
      <c r="C2887" t="str">
        <f t="shared" si="45"/>
        <v>WOODRIDGE LIMITED PARTNERSHIP</v>
      </c>
      <c r="D2887" t="b">
        <v>0</v>
      </c>
    </row>
    <row r="2888" spans="1:4" x14ac:dyDescent="0.25">
      <c r="A2888" t="s">
        <v>1607</v>
      </c>
      <c r="B2888">
        <v>1.1000000000000001E-3</v>
      </c>
      <c r="C2888" t="str">
        <f t="shared" si="45"/>
        <v>MARATHON PETROLEUM CO LP</v>
      </c>
      <c r="D2888" t="b">
        <v>0</v>
      </c>
    </row>
    <row r="2889" spans="1:4" x14ac:dyDescent="0.25">
      <c r="A2889" t="s">
        <v>2137</v>
      </c>
      <c r="B2889">
        <v>1.1000000000000001E-3</v>
      </c>
      <c r="C2889" t="str">
        <f t="shared" si="45"/>
        <v>HOUSTON METRO RV PARK INC</v>
      </c>
      <c r="D2889" t="b">
        <v>0</v>
      </c>
    </row>
    <row r="2890" spans="1:4" x14ac:dyDescent="0.25">
      <c r="A2890" t="s">
        <v>2897</v>
      </c>
      <c r="B2890">
        <v>1.096E-3</v>
      </c>
      <c r="C2890" t="str">
        <f t="shared" si="45"/>
        <v>WHITE ROCK ESTATES PROPERTY OWNERS CIVIC ASSN</v>
      </c>
      <c r="D2890" t="b">
        <v>0</v>
      </c>
    </row>
    <row r="2891" spans="1:4" x14ac:dyDescent="0.25">
      <c r="A2891" t="s">
        <v>2416</v>
      </c>
      <c r="B2891">
        <v>1E-3</v>
      </c>
      <c r="C2891" t="str">
        <f t="shared" si="45"/>
        <v>SPORT HARBOUR LLC</v>
      </c>
      <c r="D2891" t="b">
        <v>0</v>
      </c>
    </row>
    <row r="2892" spans="1:4" x14ac:dyDescent="0.25">
      <c r="A2892" t="s">
        <v>1346</v>
      </c>
      <c r="B2892">
        <v>1E-3</v>
      </c>
      <c r="C2892" t="str">
        <f t="shared" si="45"/>
        <v>THE ADELPHI ORGANIZATION AND ADELPHI COMMUNITY COOP</v>
      </c>
      <c r="D2892" t="b">
        <v>0</v>
      </c>
    </row>
    <row r="2893" spans="1:4" x14ac:dyDescent="0.25">
      <c r="A2893" t="s">
        <v>81</v>
      </c>
      <c r="B2893">
        <v>1E-3</v>
      </c>
      <c r="C2893" t="str">
        <f t="shared" si="45"/>
        <v>KOPPERL ISD</v>
      </c>
      <c r="D2893" t="b">
        <v>0</v>
      </c>
    </row>
    <row r="2894" spans="1:4" x14ac:dyDescent="0.25">
      <c r="A2894" t="s">
        <v>2553</v>
      </c>
      <c r="B2894">
        <v>1E-3</v>
      </c>
      <c r="C2894" t="str">
        <f t="shared" si="45"/>
        <v>LA FRONTERA HOLDINGS LLC</v>
      </c>
      <c r="D2894" t="b">
        <v>0</v>
      </c>
    </row>
    <row r="2895" spans="1:4" x14ac:dyDescent="0.25">
      <c r="A2895" t="s">
        <v>718</v>
      </c>
      <c r="B2895">
        <v>1E-3</v>
      </c>
      <c r="C2895" t="str">
        <f t="shared" si="45"/>
        <v>TEXAS DEPT OF TRANSPORTATION</v>
      </c>
      <c r="D2895" t="b">
        <v>0</v>
      </c>
    </row>
    <row r="2896" spans="1:4" x14ac:dyDescent="0.25">
      <c r="A2896" t="s">
        <v>2050</v>
      </c>
      <c r="B2896">
        <v>9.3000000000000005E-4</v>
      </c>
      <c r="C2896" t="str">
        <f t="shared" si="45"/>
        <v>TEXAS DISTRIBUTION SERVICES INC</v>
      </c>
      <c r="D2896" t="b">
        <v>0</v>
      </c>
    </row>
    <row r="2897" spans="1:4" x14ac:dyDescent="0.25">
      <c r="A2897" t="s">
        <v>2337</v>
      </c>
      <c r="B2897">
        <v>8.9999999999999998E-4</v>
      </c>
      <c r="C2897" t="str">
        <f t="shared" si="45"/>
        <v>VAM USA LLC</v>
      </c>
      <c r="D2897" t="b">
        <v>0</v>
      </c>
    </row>
    <row r="2898" spans="1:4" x14ac:dyDescent="0.25">
      <c r="A2898" t="s">
        <v>78</v>
      </c>
      <c r="B2898">
        <v>8.61E-4</v>
      </c>
      <c r="C2898" t="str">
        <f t="shared" si="45"/>
        <v>US ARMY CORPS OF ENGINEERS</v>
      </c>
      <c r="D2898" t="b">
        <v>0</v>
      </c>
    </row>
    <row r="2899" spans="1:4" x14ac:dyDescent="0.25">
      <c r="A2899" t="s">
        <v>2441</v>
      </c>
      <c r="B2899">
        <v>8.3299999999999997E-4</v>
      </c>
      <c r="C2899" t="str">
        <f t="shared" si="45"/>
        <v>PWT ENTERPRISES INC</v>
      </c>
      <c r="D2899" t="b">
        <v>0</v>
      </c>
    </row>
    <row r="2900" spans="1:4" x14ac:dyDescent="0.25">
      <c r="A2900" t="s">
        <v>1436</v>
      </c>
      <c r="B2900">
        <v>8.0000000000000004E-4</v>
      </c>
      <c r="C2900" t="str">
        <f t="shared" si="45"/>
        <v>FRUITVALE HOUSING AUTHORITY</v>
      </c>
      <c r="D2900" t="b">
        <v>0</v>
      </c>
    </row>
    <row r="2901" spans="1:4" x14ac:dyDescent="0.25">
      <c r="A2901" t="s">
        <v>609</v>
      </c>
      <c r="B2901">
        <v>8.0000000000000004E-4</v>
      </c>
      <c r="C2901" t="str">
        <f t="shared" si="45"/>
        <v>POLONIA WSC</v>
      </c>
      <c r="D2901" t="b">
        <v>0</v>
      </c>
    </row>
    <row r="2902" spans="1:4" x14ac:dyDescent="0.25">
      <c r="A2902" t="s">
        <v>2062</v>
      </c>
      <c r="B2902">
        <v>5.9999999999999995E-4</v>
      </c>
      <c r="C2902" t="str">
        <f t="shared" si="45"/>
        <v>RIEDEL, ANTHONY JOHN</v>
      </c>
      <c r="D2902" t="b">
        <v>0</v>
      </c>
    </row>
    <row r="2903" spans="1:4" x14ac:dyDescent="0.25">
      <c r="A2903" t="s">
        <v>946</v>
      </c>
      <c r="B2903">
        <v>5.5199999999999997E-4</v>
      </c>
      <c r="C2903" t="str">
        <f t="shared" si="45"/>
        <v>STEPHEN F AUSTIN STATE UNIVERSITY</v>
      </c>
      <c r="D2903" t="b">
        <v>0</v>
      </c>
    </row>
    <row r="2904" spans="1:4" x14ac:dyDescent="0.25">
      <c r="A2904" t="s">
        <v>437</v>
      </c>
      <c r="B2904">
        <v>5.4000000000000001E-4</v>
      </c>
      <c r="C2904" t="str">
        <f t="shared" si="45"/>
        <v>CALHOUN PORT AUTHORITY</v>
      </c>
      <c r="D2904" t="b">
        <v>0</v>
      </c>
    </row>
    <row r="2905" spans="1:4" x14ac:dyDescent="0.25">
      <c r="A2905" t="s">
        <v>2093</v>
      </c>
      <c r="B2905">
        <v>4.0000000000000002E-4</v>
      </c>
      <c r="C2905" t="str">
        <f t="shared" si="45"/>
        <v>LABARGE COATING LLC</v>
      </c>
      <c r="D2905" t="b">
        <v>0</v>
      </c>
    </row>
    <row r="2906" spans="1:4" x14ac:dyDescent="0.25">
      <c r="A2906" t="s">
        <v>892</v>
      </c>
      <c r="B2906">
        <v>3.3E-4</v>
      </c>
      <c r="C2906" t="str">
        <f t="shared" si="45"/>
        <v>MARTIN OPERATING PARTNERSHIP LP</v>
      </c>
      <c r="D2906" t="b">
        <v>0</v>
      </c>
    </row>
    <row r="2907" spans="1:4" x14ac:dyDescent="0.25">
      <c r="A2907" t="s">
        <v>2559</v>
      </c>
      <c r="B2907">
        <v>2.8499999999999999E-4</v>
      </c>
      <c r="C2907" t="str">
        <f t="shared" si="45"/>
        <v>RIVERCREST ISD</v>
      </c>
      <c r="D2907" t="b">
        <v>0</v>
      </c>
    </row>
    <row r="2908" spans="1:4" x14ac:dyDescent="0.25">
      <c r="A2908" t="s">
        <v>682</v>
      </c>
      <c r="B2908">
        <v>2.0000000000000001E-4</v>
      </c>
      <c r="C2908" t="str">
        <f t="shared" si="45"/>
        <v>TEXAS DEPT OF TRANSPORTATION</v>
      </c>
      <c r="D2908" t="b">
        <v>0</v>
      </c>
    </row>
    <row r="2909" spans="1:4" x14ac:dyDescent="0.25">
      <c r="A2909" t="s">
        <v>2206</v>
      </c>
      <c r="B2909">
        <v>2.0000000000000001E-4</v>
      </c>
      <c r="C2909" t="str">
        <f t="shared" si="45"/>
        <v>OIL STATES INDUSTRIES INC</v>
      </c>
      <c r="D2909" t="b">
        <v>0</v>
      </c>
    </row>
    <row r="2910" spans="1:4" x14ac:dyDescent="0.25">
      <c r="A2910" t="s">
        <v>696</v>
      </c>
      <c r="B2910">
        <v>2.0000000000000001E-4</v>
      </c>
      <c r="C2910" t="str">
        <f t="shared" si="45"/>
        <v>TEXAS DEPT OF TRANSPORTATION</v>
      </c>
      <c r="D2910" t="b">
        <v>0</v>
      </c>
    </row>
    <row r="2911" spans="1:4" x14ac:dyDescent="0.25">
      <c r="A2911" t="s">
        <v>793</v>
      </c>
      <c r="B2911">
        <v>1.9100000000000001E-4</v>
      </c>
      <c r="C2911" t="str">
        <f t="shared" si="45"/>
        <v>TEXAS AIRSTREAM HARBOR INC</v>
      </c>
      <c r="D2911" t="b">
        <v>0</v>
      </c>
    </row>
    <row r="2912" spans="1:4" x14ac:dyDescent="0.25">
      <c r="A2912" t="s">
        <v>1062</v>
      </c>
      <c r="B2912">
        <v>1E-4</v>
      </c>
      <c r="C2912" t="str">
        <f t="shared" si="45"/>
        <v>FLINT HILLS RESOURCES CORPUS CHRISTI LLC</v>
      </c>
      <c r="D2912" t="b">
        <v>0</v>
      </c>
    </row>
    <row r="2913" spans="1:4" x14ac:dyDescent="0.25">
      <c r="A2913" t="s">
        <v>30</v>
      </c>
      <c r="B2913">
        <v>1E-4</v>
      </c>
      <c r="C2913" t="str">
        <f t="shared" si="45"/>
        <v>MASSEY JIMMIE WAYNE</v>
      </c>
      <c r="D2913" t="b">
        <v>0</v>
      </c>
    </row>
    <row r="2914" spans="1:4" x14ac:dyDescent="0.25">
      <c r="A2914" t="s">
        <v>2005</v>
      </c>
      <c r="B2914">
        <v>1E-4</v>
      </c>
      <c r="C2914" t="str">
        <f t="shared" si="45"/>
        <v>TILLES TINA LEE</v>
      </c>
      <c r="D2914" t="b">
        <v>0</v>
      </c>
    </row>
    <row r="2915" spans="1:4" x14ac:dyDescent="0.25">
      <c r="A2915" t="s">
        <v>2044</v>
      </c>
      <c r="B2915">
        <v>1E-4</v>
      </c>
      <c r="C2915" t="str">
        <f t="shared" si="45"/>
        <v>GOLDEN STATE HOLDINGS INC</v>
      </c>
      <c r="D2915" t="b">
        <v>0</v>
      </c>
    </row>
    <row r="2916" spans="1:4" x14ac:dyDescent="0.25">
      <c r="A2916" t="s">
        <v>799</v>
      </c>
      <c r="B2916">
        <v>1E-4</v>
      </c>
      <c r="C2916" t="str">
        <f t="shared" si="45"/>
        <v>SHERRY SMITH MILNER</v>
      </c>
      <c r="D2916" t="b">
        <v>0</v>
      </c>
    </row>
    <row r="2917" spans="1:4" x14ac:dyDescent="0.25">
      <c r="A2917" t="s">
        <v>1662</v>
      </c>
      <c r="B2917">
        <v>0</v>
      </c>
      <c r="C2917" t="str">
        <f t="shared" si="45"/>
        <v>THE DOW CHEMICAL CO</v>
      </c>
      <c r="D2917" t="b">
        <v>0</v>
      </c>
    </row>
    <row r="2918" spans="1:4" x14ac:dyDescent="0.25">
      <c r="A2918" t="s">
        <v>2622</v>
      </c>
      <c r="B2918">
        <v>0</v>
      </c>
      <c r="C2918" t="str">
        <f t="shared" si="45"/>
        <v>CHEVRON PHILLIPS CHEMICAL CO LP</v>
      </c>
      <c r="D2918" t="b">
        <v>0</v>
      </c>
    </row>
    <row r="2919" spans="1:4" x14ac:dyDescent="0.25">
      <c r="A2919" t="s">
        <v>2506</v>
      </c>
      <c r="C2919" t="str">
        <f t="shared" si="45"/>
        <v>CONROE ISD</v>
      </c>
      <c r="D2919" t="b">
        <v>0</v>
      </c>
    </row>
  </sheetData>
  <autoFilter ref="A1:D2919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3812"/>
  <sheetViews>
    <sheetView workbookViewId="0">
      <pane ySplit="1" topLeftCell="A3361" activePane="bottomLeft" state="frozen"/>
      <selection activeCell="C1" sqref="C1"/>
      <selection pane="bottomLeft" activeCell="A3379" sqref="A3379"/>
    </sheetView>
  </sheetViews>
  <sheetFormatPr defaultRowHeight="15" x14ac:dyDescent="0.25"/>
  <cols>
    <col min="1" max="1" width="13.5703125" style="2" bestFit="1" customWidth="1"/>
    <col min="2" max="3" width="16.7109375" style="2" customWidth="1"/>
    <col min="4" max="4" width="76.7109375" style="2" bestFit="1" customWidth="1"/>
  </cols>
  <sheetData>
    <row r="1" spans="1:4" x14ac:dyDescent="0.25">
      <c r="A1" s="2" t="s">
        <v>2918</v>
      </c>
      <c r="B1" s="2" t="s">
        <v>2919</v>
      </c>
      <c r="C1" s="2" t="s">
        <v>8134</v>
      </c>
      <c r="D1" s="2" t="s">
        <v>2920</v>
      </c>
    </row>
    <row r="2" spans="1:4" x14ac:dyDescent="0.25">
      <c r="A2" s="2" t="s">
        <v>5216</v>
      </c>
      <c r="B2" s="2" t="s">
        <v>2921</v>
      </c>
      <c r="C2" s="2" t="str">
        <f>A2 &amp; "_" &amp; B2</f>
        <v>TX0000027_001</v>
      </c>
      <c r="D2" s="2" t="s">
        <v>2922</v>
      </c>
    </row>
    <row r="3" spans="1:4" x14ac:dyDescent="0.25">
      <c r="A3" s="2" t="s">
        <v>5216</v>
      </c>
      <c r="B3" s="2" t="s">
        <v>2923</v>
      </c>
      <c r="C3" s="2" t="str">
        <f t="shared" ref="C3:C66" si="0">A3 &amp; "_" &amp; B3</f>
        <v>TX0000027_002</v>
      </c>
      <c r="D3" s="2" t="s">
        <v>2922</v>
      </c>
    </row>
    <row r="4" spans="1:4" x14ac:dyDescent="0.25">
      <c r="A4" s="2" t="s">
        <v>5216</v>
      </c>
      <c r="B4" s="2" t="s">
        <v>2924</v>
      </c>
      <c r="C4" s="2" t="str">
        <f t="shared" si="0"/>
        <v>TX0000027_003</v>
      </c>
      <c r="D4" s="2" t="s">
        <v>2922</v>
      </c>
    </row>
    <row r="5" spans="1:4" x14ac:dyDescent="0.25">
      <c r="A5" s="2" t="s">
        <v>5217</v>
      </c>
      <c r="B5" s="2" t="s">
        <v>2921</v>
      </c>
      <c r="C5" s="2" t="str">
        <f t="shared" si="0"/>
        <v>TX0000086_001</v>
      </c>
      <c r="D5" s="2" t="s">
        <v>2925</v>
      </c>
    </row>
    <row r="6" spans="1:4" x14ac:dyDescent="0.25">
      <c r="A6" s="2" t="s">
        <v>5218</v>
      </c>
      <c r="B6" s="2" t="s">
        <v>2921</v>
      </c>
      <c r="C6" s="2" t="str">
        <f t="shared" si="0"/>
        <v>TX0000108_001</v>
      </c>
      <c r="D6" s="2" t="s">
        <v>2926</v>
      </c>
    </row>
    <row r="7" spans="1:4" x14ac:dyDescent="0.25">
      <c r="A7" s="2" t="s">
        <v>5219</v>
      </c>
      <c r="B7" s="2" t="s">
        <v>2921</v>
      </c>
      <c r="C7" s="2" t="str">
        <f t="shared" si="0"/>
        <v>TX0000167_001</v>
      </c>
      <c r="D7" s="2" t="s">
        <v>2927</v>
      </c>
    </row>
    <row r="8" spans="1:4" x14ac:dyDescent="0.25">
      <c r="A8" s="2" t="s">
        <v>5220</v>
      </c>
      <c r="B8" s="2" t="s">
        <v>2921</v>
      </c>
      <c r="C8" s="2" t="str">
        <f t="shared" si="0"/>
        <v>TX0000540_001</v>
      </c>
      <c r="D8" s="2" t="s">
        <v>2928</v>
      </c>
    </row>
    <row r="9" spans="1:4" x14ac:dyDescent="0.25">
      <c r="A9" s="2" t="s">
        <v>5221</v>
      </c>
      <c r="B9" s="2" t="s">
        <v>2923</v>
      </c>
      <c r="C9" s="2" t="str">
        <f t="shared" si="0"/>
        <v>TX0000710_002</v>
      </c>
      <c r="D9" s="2" t="s">
        <v>2929</v>
      </c>
    </row>
    <row r="10" spans="1:4" x14ac:dyDescent="0.25">
      <c r="A10" s="2" t="s">
        <v>5222</v>
      </c>
      <c r="B10" s="2" t="s">
        <v>2921</v>
      </c>
      <c r="C10" s="2" t="str">
        <f t="shared" si="0"/>
        <v>TX0000752_001</v>
      </c>
      <c r="D10" s="2" t="s">
        <v>2930</v>
      </c>
    </row>
    <row r="11" spans="1:4" x14ac:dyDescent="0.25">
      <c r="A11" s="2" t="s">
        <v>5223</v>
      </c>
      <c r="B11" s="2" t="s">
        <v>2921</v>
      </c>
      <c r="C11" s="2" t="str">
        <f t="shared" si="0"/>
        <v>TX0000825_001</v>
      </c>
      <c r="D11" s="2" t="s">
        <v>2931</v>
      </c>
    </row>
    <row r="12" spans="1:4" x14ac:dyDescent="0.25">
      <c r="A12" s="2" t="s">
        <v>5223</v>
      </c>
      <c r="B12" s="2" t="s">
        <v>2923</v>
      </c>
      <c r="C12" s="2" t="str">
        <f t="shared" si="0"/>
        <v>TX0000825_002</v>
      </c>
      <c r="D12" s="2" t="s">
        <v>2931</v>
      </c>
    </row>
    <row r="13" spans="1:4" x14ac:dyDescent="0.25">
      <c r="A13" s="2" t="s">
        <v>5224</v>
      </c>
      <c r="B13" s="2" t="s">
        <v>2921</v>
      </c>
      <c r="C13" s="2" t="str">
        <f t="shared" si="0"/>
        <v>TX0000876_001</v>
      </c>
      <c r="D13" s="2" t="s">
        <v>2932</v>
      </c>
    </row>
    <row r="14" spans="1:4" x14ac:dyDescent="0.25">
      <c r="A14" s="2" t="s">
        <v>5224</v>
      </c>
      <c r="B14" s="2" t="s">
        <v>2933</v>
      </c>
      <c r="C14" s="2" t="str">
        <f t="shared" si="0"/>
        <v>TX0000876_001A</v>
      </c>
      <c r="D14" s="2" t="s">
        <v>2932</v>
      </c>
    </row>
    <row r="15" spans="1:4" x14ac:dyDescent="0.25">
      <c r="A15" s="2" t="s">
        <v>5225</v>
      </c>
      <c r="B15" s="2" t="s">
        <v>2934</v>
      </c>
      <c r="C15" s="2" t="str">
        <f t="shared" si="0"/>
        <v>TX0000949_005</v>
      </c>
      <c r="D15" s="2" t="s">
        <v>2935</v>
      </c>
    </row>
    <row r="16" spans="1:4" x14ac:dyDescent="0.25">
      <c r="A16" s="2" t="s">
        <v>5225</v>
      </c>
      <c r="B16" s="2" t="s">
        <v>2921</v>
      </c>
      <c r="C16" s="2" t="str">
        <f t="shared" si="0"/>
        <v>TX0000949_001</v>
      </c>
      <c r="D16" s="2" t="s">
        <v>2935</v>
      </c>
    </row>
    <row r="17" spans="1:4" x14ac:dyDescent="0.25">
      <c r="A17" s="2" t="s">
        <v>5225</v>
      </c>
      <c r="B17" s="2" t="s">
        <v>2923</v>
      </c>
      <c r="C17" s="2" t="str">
        <f t="shared" si="0"/>
        <v>TX0000949_002</v>
      </c>
      <c r="D17" s="2" t="s">
        <v>2935</v>
      </c>
    </row>
    <row r="18" spans="1:4" x14ac:dyDescent="0.25">
      <c r="A18" s="2" t="s">
        <v>5225</v>
      </c>
      <c r="B18" s="2" t="s">
        <v>2936</v>
      </c>
      <c r="C18" s="2" t="str">
        <f t="shared" si="0"/>
        <v>TX0000949_004</v>
      </c>
      <c r="D18" s="2" t="s">
        <v>2935</v>
      </c>
    </row>
    <row r="19" spans="1:4" x14ac:dyDescent="0.25">
      <c r="A19" s="2" t="s">
        <v>5226</v>
      </c>
      <c r="B19" s="2" t="s">
        <v>2921</v>
      </c>
      <c r="C19" s="2" t="str">
        <f t="shared" si="0"/>
        <v>TX0001007_001</v>
      </c>
      <c r="D19" s="2" t="s">
        <v>2937</v>
      </c>
    </row>
    <row r="20" spans="1:4" x14ac:dyDescent="0.25">
      <c r="A20" s="2" t="s">
        <v>5226</v>
      </c>
      <c r="B20" s="2" t="s">
        <v>2923</v>
      </c>
      <c r="C20" s="2" t="str">
        <f t="shared" si="0"/>
        <v>TX0001007_002</v>
      </c>
      <c r="D20" s="2" t="s">
        <v>2937</v>
      </c>
    </row>
    <row r="21" spans="1:4" x14ac:dyDescent="0.25">
      <c r="A21" s="2" t="s">
        <v>5227</v>
      </c>
      <c r="B21" s="2" t="s">
        <v>2921</v>
      </c>
      <c r="C21" s="2" t="str">
        <f t="shared" si="0"/>
        <v>TX0001023_001</v>
      </c>
      <c r="D21" s="2" t="s">
        <v>2925</v>
      </c>
    </row>
    <row r="22" spans="1:4" x14ac:dyDescent="0.25">
      <c r="A22" s="2" t="s">
        <v>5228</v>
      </c>
      <c r="B22" s="2" t="s">
        <v>2921</v>
      </c>
      <c r="C22" s="2" t="str">
        <f t="shared" si="0"/>
        <v>TX0001031_001</v>
      </c>
      <c r="D22" s="2" t="s">
        <v>2925</v>
      </c>
    </row>
    <row r="23" spans="1:4" x14ac:dyDescent="0.25">
      <c r="A23" s="2" t="s">
        <v>5229</v>
      </c>
      <c r="B23" s="2" t="s">
        <v>2921</v>
      </c>
      <c r="C23" s="2" t="str">
        <f t="shared" si="0"/>
        <v>TX0001040_001</v>
      </c>
      <c r="D23" s="2" t="s">
        <v>2925</v>
      </c>
    </row>
    <row r="24" spans="1:4" x14ac:dyDescent="0.25">
      <c r="A24" s="2" t="s">
        <v>5230</v>
      </c>
      <c r="B24" s="2" t="s">
        <v>2921</v>
      </c>
      <c r="C24" s="2" t="str">
        <f t="shared" si="0"/>
        <v>TX0001058_001</v>
      </c>
      <c r="D24" s="2" t="s">
        <v>2925</v>
      </c>
    </row>
    <row r="25" spans="1:4" x14ac:dyDescent="0.25">
      <c r="A25" s="2" t="s">
        <v>5230</v>
      </c>
      <c r="B25" s="2" t="s">
        <v>2923</v>
      </c>
      <c r="C25" s="2" t="str">
        <f t="shared" si="0"/>
        <v>TX0001058_002</v>
      </c>
      <c r="D25" s="2" t="s">
        <v>2925</v>
      </c>
    </row>
    <row r="26" spans="1:4" x14ac:dyDescent="0.25">
      <c r="A26" s="2" t="s">
        <v>5230</v>
      </c>
      <c r="B26" s="2" t="s">
        <v>2924</v>
      </c>
      <c r="C26" s="2" t="str">
        <f t="shared" si="0"/>
        <v>TX0001058_003</v>
      </c>
      <c r="D26" s="2" t="s">
        <v>2925</v>
      </c>
    </row>
    <row r="27" spans="1:4" x14ac:dyDescent="0.25">
      <c r="A27" s="2" t="s">
        <v>5231</v>
      </c>
      <c r="B27" s="2" t="s">
        <v>2921</v>
      </c>
      <c r="C27" s="2" t="str">
        <f t="shared" si="0"/>
        <v>TX0001066_001</v>
      </c>
      <c r="D27" s="2" t="s">
        <v>2925</v>
      </c>
    </row>
    <row r="28" spans="1:4" x14ac:dyDescent="0.25">
      <c r="A28" s="2" t="s">
        <v>5232</v>
      </c>
      <c r="B28" s="2" t="s">
        <v>2921</v>
      </c>
      <c r="C28" s="2" t="str">
        <f t="shared" si="0"/>
        <v>TX0001163_001</v>
      </c>
      <c r="D28" s="2" t="s">
        <v>2925</v>
      </c>
    </row>
    <row r="29" spans="1:4" x14ac:dyDescent="0.25">
      <c r="A29" s="2" t="s">
        <v>5232</v>
      </c>
      <c r="B29" s="2" t="s">
        <v>2923</v>
      </c>
      <c r="C29" s="2" t="str">
        <f t="shared" si="0"/>
        <v>TX0001163_002</v>
      </c>
      <c r="D29" s="2" t="s">
        <v>2925</v>
      </c>
    </row>
    <row r="30" spans="1:4" x14ac:dyDescent="0.25">
      <c r="A30" s="2" t="s">
        <v>5233</v>
      </c>
      <c r="B30" s="2" t="s">
        <v>2923</v>
      </c>
      <c r="C30" s="2" t="str">
        <f t="shared" si="0"/>
        <v>TX0001171_002</v>
      </c>
      <c r="D30" s="2" t="s">
        <v>2925</v>
      </c>
    </row>
    <row r="31" spans="1:4" x14ac:dyDescent="0.25">
      <c r="A31" s="2" t="s">
        <v>5234</v>
      </c>
      <c r="B31" s="2" t="s">
        <v>2921</v>
      </c>
      <c r="C31" s="2" t="str">
        <f t="shared" si="0"/>
        <v>TX0001198_001</v>
      </c>
      <c r="D31" s="2" t="s">
        <v>2938</v>
      </c>
    </row>
    <row r="32" spans="1:4" x14ac:dyDescent="0.25">
      <c r="A32" s="2" t="s">
        <v>5235</v>
      </c>
      <c r="B32" s="2" t="s">
        <v>2921</v>
      </c>
      <c r="C32" s="2" t="str">
        <f t="shared" si="0"/>
        <v>TX0001201_001</v>
      </c>
      <c r="D32" s="2" t="s">
        <v>2939</v>
      </c>
    </row>
    <row r="33" spans="1:4" x14ac:dyDescent="0.25">
      <c r="A33" s="2" t="s">
        <v>5235</v>
      </c>
      <c r="B33" s="2" t="s">
        <v>2924</v>
      </c>
      <c r="C33" s="2" t="str">
        <f t="shared" si="0"/>
        <v>TX0001201_003</v>
      </c>
      <c r="D33" s="2" t="s">
        <v>2939</v>
      </c>
    </row>
    <row r="34" spans="1:4" x14ac:dyDescent="0.25">
      <c r="A34" s="2" t="s">
        <v>5235</v>
      </c>
      <c r="B34" s="2" t="s">
        <v>2936</v>
      </c>
      <c r="C34" s="2" t="str">
        <f t="shared" si="0"/>
        <v>TX0001201_004</v>
      </c>
      <c r="D34" s="2" t="s">
        <v>2939</v>
      </c>
    </row>
    <row r="35" spans="1:4" x14ac:dyDescent="0.25">
      <c r="A35" s="2" t="s">
        <v>5235</v>
      </c>
      <c r="B35" s="2" t="s">
        <v>2940</v>
      </c>
      <c r="C35" s="2" t="str">
        <f t="shared" si="0"/>
        <v>TX0001201_006</v>
      </c>
      <c r="D35" s="2" t="s">
        <v>2939</v>
      </c>
    </row>
    <row r="36" spans="1:4" x14ac:dyDescent="0.25">
      <c r="A36" s="2" t="s">
        <v>5235</v>
      </c>
      <c r="B36" s="2" t="s">
        <v>2921</v>
      </c>
      <c r="C36" s="2" t="str">
        <f t="shared" si="0"/>
        <v>TX0001201_001</v>
      </c>
      <c r="D36" s="2" t="s">
        <v>2939</v>
      </c>
    </row>
    <row r="37" spans="1:4" x14ac:dyDescent="0.25">
      <c r="A37" s="2" t="s">
        <v>5236</v>
      </c>
      <c r="B37" s="2" t="s">
        <v>2921</v>
      </c>
      <c r="C37" s="2" t="str">
        <f t="shared" si="0"/>
        <v>TX0001368_001</v>
      </c>
      <c r="D37" s="2" t="s">
        <v>2941</v>
      </c>
    </row>
    <row r="38" spans="1:4" x14ac:dyDescent="0.25">
      <c r="A38" s="2" t="s">
        <v>5236</v>
      </c>
      <c r="B38" s="2" t="s">
        <v>2923</v>
      </c>
      <c r="C38" s="2" t="str">
        <f t="shared" si="0"/>
        <v>TX0001368_002</v>
      </c>
      <c r="D38" s="2" t="s">
        <v>2941</v>
      </c>
    </row>
    <row r="39" spans="1:4" x14ac:dyDescent="0.25">
      <c r="A39" s="2" t="s">
        <v>5236</v>
      </c>
      <c r="B39" s="2" t="s">
        <v>2936</v>
      </c>
      <c r="C39" s="2" t="str">
        <f t="shared" si="0"/>
        <v>TX0001368_004</v>
      </c>
      <c r="D39" s="2" t="s">
        <v>2941</v>
      </c>
    </row>
    <row r="40" spans="1:4" x14ac:dyDescent="0.25">
      <c r="A40" s="2" t="s">
        <v>5237</v>
      </c>
      <c r="B40" s="2" t="s">
        <v>2942</v>
      </c>
      <c r="C40" s="2" t="str">
        <f t="shared" si="0"/>
        <v>TX0001449_013</v>
      </c>
      <c r="D40" s="2" t="s">
        <v>2943</v>
      </c>
    </row>
    <row r="41" spans="1:4" x14ac:dyDescent="0.25">
      <c r="A41" s="2" t="s">
        <v>5237</v>
      </c>
      <c r="B41" s="2" t="s">
        <v>2944</v>
      </c>
      <c r="C41" s="2" t="str">
        <f t="shared" si="0"/>
        <v>TX0001449_014</v>
      </c>
      <c r="D41" s="2" t="s">
        <v>2943</v>
      </c>
    </row>
    <row r="42" spans="1:4" x14ac:dyDescent="0.25">
      <c r="A42" s="2" t="s">
        <v>5237</v>
      </c>
      <c r="B42" s="2" t="s">
        <v>2945</v>
      </c>
      <c r="C42" s="2" t="str">
        <f t="shared" si="0"/>
        <v>TX0001449_015</v>
      </c>
      <c r="D42" s="2" t="s">
        <v>2943</v>
      </c>
    </row>
    <row r="43" spans="1:4" x14ac:dyDescent="0.25">
      <c r="A43" s="2" t="s">
        <v>5237</v>
      </c>
      <c r="B43" s="2" t="s">
        <v>2936</v>
      </c>
      <c r="C43" s="2" t="str">
        <f t="shared" si="0"/>
        <v>TX0001449_004</v>
      </c>
      <c r="D43" s="2" t="s">
        <v>2943</v>
      </c>
    </row>
    <row r="44" spans="1:4" x14ac:dyDescent="0.25">
      <c r="A44" s="2" t="s">
        <v>5237</v>
      </c>
      <c r="B44" s="2" t="s">
        <v>2934</v>
      </c>
      <c r="C44" s="2" t="str">
        <f t="shared" si="0"/>
        <v>TX0001449_005</v>
      </c>
      <c r="D44" s="2" t="s">
        <v>2943</v>
      </c>
    </row>
    <row r="45" spans="1:4" x14ac:dyDescent="0.25">
      <c r="A45" s="2" t="s">
        <v>5237</v>
      </c>
      <c r="B45" s="2" t="s">
        <v>2940</v>
      </c>
      <c r="C45" s="2" t="str">
        <f t="shared" si="0"/>
        <v>TX0001449_006</v>
      </c>
      <c r="D45" s="2" t="s">
        <v>2943</v>
      </c>
    </row>
    <row r="46" spans="1:4" x14ac:dyDescent="0.25">
      <c r="A46" s="2" t="s">
        <v>5237</v>
      </c>
      <c r="B46" s="2" t="s">
        <v>2946</v>
      </c>
      <c r="C46" s="2" t="str">
        <f t="shared" si="0"/>
        <v>TX0001449_008</v>
      </c>
      <c r="D46" s="2" t="s">
        <v>2943</v>
      </c>
    </row>
    <row r="47" spans="1:4" x14ac:dyDescent="0.25">
      <c r="A47" s="2" t="s">
        <v>5237</v>
      </c>
      <c r="B47" s="2" t="s">
        <v>2947</v>
      </c>
      <c r="C47" s="2" t="str">
        <f t="shared" si="0"/>
        <v>TX0001449_010</v>
      </c>
      <c r="D47" s="2" t="s">
        <v>2943</v>
      </c>
    </row>
    <row r="48" spans="1:4" x14ac:dyDescent="0.25">
      <c r="A48" s="2" t="s">
        <v>5237</v>
      </c>
      <c r="B48" s="2" t="s">
        <v>2948</v>
      </c>
      <c r="C48" s="2" t="str">
        <f t="shared" si="0"/>
        <v>TX0001449_011</v>
      </c>
      <c r="D48" s="2" t="s">
        <v>2943</v>
      </c>
    </row>
    <row r="49" spans="1:4" x14ac:dyDescent="0.25">
      <c r="A49" s="2" t="s">
        <v>5237</v>
      </c>
      <c r="B49" s="2" t="s">
        <v>2949</v>
      </c>
      <c r="C49" s="2" t="str">
        <f t="shared" si="0"/>
        <v>TX0001449_012</v>
      </c>
      <c r="D49" s="2" t="s">
        <v>2943</v>
      </c>
    </row>
    <row r="50" spans="1:4" x14ac:dyDescent="0.25">
      <c r="A50" s="2" t="s">
        <v>5237</v>
      </c>
      <c r="B50" s="2" t="s">
        <v>2921</v>
      </c>
      <c r="C50" s="2" t="str">
        <f t="shared" si="0"/>
        <v>TX0001449_001</v>
      </c>
      <c r="D50" s="2" t="s">
        <v>2943</v>
      </c>
    </row>
    <row r="51" spans="1:4" x14ac:dyDescent="0.25">
      <c r="A51" s="2" t="s">
        <v>5237</v>
      </c>
      <c r="B51" s="2" t="s">
        <v>2923</v>
      </c>
      <c r="C51" s="2" t="str">
        <f t="shared" si="0"/>
        <v>TX0001449_002</v>
      </c>
      <c r="D51" s="2" t="s">
        <v>2943</v>
      </c>
    </row>
    <row r="52" spans="1:4" x14ac:dyDescent="0.25">
      <c r="A52" s="2" t="s">
        <v>5237</v>
      </c>
      <c r="B52" s="2" t="s">
        <v>2924</v>
      </c>
      <c r="C52" s="2" t="str">
        <f t="shared" si="0"/>
        <v>TX0001449_003</v>
      </c>
      <c r="D52" s="2" t="s">
        <v>2943</v>
      </c>
    </row>
    <row r="53" spans="1:4" x14ac:dyDescent="0.25">
      <c r="A53" s="2" t="s">
        <v>5238</v>
      </c>
      <c r="B53" s="2" t="s">
        <v>2921</v>
      </c>
      <c r="C53" s="2" t="str">
        <f t="shared" si="0"/>
        <v>TX0001465_001</v>
      </c>
      <c r="D53" s="2" t="s">
        <v>2950</v>
      </c>
    </row>
    <row r="54" spans="1:4" x14ac:dyDescent="0.25">
      <c r="A54" s="2" t="s">
        <v>5238</v>
      </c>
      <c r="B54" s="2" t="s">
        <v>2923</v>
      </c>
      <c r="C54" s="2" t="str">
        <f t="shared" si="0"/>
        <v>TX0001465_002</v>
      </c>
      <c r="D54" s="2" t="s">
        <v>2950</v>
      </c>
    </row>
    <row r="55" spans="1:4" x14ac:dyDescent="0.25">
      <c r="A55" s="2" t="s">
        <v>5238</v>
      </c>
      <c r="B55" s="2" t="s">
        <v>2924</v>
      </c>
      <c r="C55" s="2" t="str">
        <f t="shared" si="0"/>
        <v>TX0001465_003</v>
      </c>
      <c r="D55" s="2" t="s">
        <v>2950</v>
      </c>
    </row>
    <row r="56" spans="1:4" x14ac:dyDescent="0.25">
      <c r="A56" s="2" t="s">
        <v>5238</v>
      </c>
      <c r="B56" s="2" t="s">
        <v>2936</v>
      </c>
      <c r="C56" s="2" t="str">
        <f t="shared" si="0"/>
        <v>TX0001465_004</v>
      </c>
      <c r="D56" s="2" t="s">
        <v>2950</v>
      </c>
    </row>
    <row r="57" spans="1:4" x14ac:dyDescent="0.25">
      <c r="A57" s="2" t="s">
        <v>5239</v>
      </c>
      <c r="B57" s="2" t="s">
        <v>2921</v>
      </c>
      <c r="C57" s="2" t="str">
        <f t="shared" si="0"/>
        <v>TX0001627_001</v>
      </c>
      <c r="D57" s="2" t="s">
        <v>2951</v>
      </c>
    </row>
    <row r="58" spans="1:4" x14ac:dyDescent="0.25">
      <c r="A58" s="2" t="s">
        <v>5240</v>
      </c>
      <c r="B58" s="2" t="s">
        <v>2921</v>
      </c>
      <c r="C58" s="2" t="str">
        <f t="shared" si="0"/>
        <v>TX0001643_001</v>
      </c>
      <c r="D58" s="2" t="s">
        <v>2952</v>
      </c>
    </row>
    <row r="59" spans="1:4" x14ac:dyDescent="0.25">
      <c r="A59" s="2" t="s">
        <v>5240</v>
      </c>
      <c r="B59" s="2" t="s">
        <v>2923</v>
      </c>
      <c r="C59" s="2" t="str">
        <f t="shared" si="0"/>
        <v>TX0001643_002</v>
      </c>
      <c r="D59" s="2" t="s">
        <v>2952</v>
      </c>
    </row>
    <row r="60" spans="1:4" x14ac:dyDescent="0.25">
      <c r="A60" s="2" t="s">
        <v>5240</v>
      </c>
      <c r="B60" s="2" t="s">
        <v>2936</v>
      </c>
      <c r="C60" s="2" t="str">
        <f t="shared" si="0"/>
        <v>TX0001643_004</v>
      </c>
      <c r="D60" s="2" t="s">
        <v>2952</v>
      </c>
    </row>
    <row r="61" spans="1:4" x14ac:dyDescent="0.25">
      <c r="A61" s="2" t="s">
        <v>5240</v>
      </c>
      <c r="B61" s="2" t="s">
        <v>2934</v>
      </c>
      <c r="C61" s="2" t="str">
        <f t="shared" si="0"/>
        <v>TX0001643_005</v>
      </c>
      <c r="D61" s="2" t="s">
        <v>2952</v>
      </c>
    </row>
    <row r="62" spans="1:4" x14ac:dyDescent="0.25">
      <c r="A62" s="2" t="s">
        <v>5241</v>
      </c>
      <c r="B62" s="2" t="s">
        <v>2921</v>
      </c>
      <c r="C62" s="2" t="str">
        <f t="shared" si="0"/>
        <v>TX0001830_001</v>
      </c>
      <c r="D62" s="2" t="s">
        <v>2953</v>
      </c>
    </row>
    <row r="63" spans="1:4" x14ac:dyDescent="0.25">
      <c r="A63" s="2" t="s">
        <v>5241</v>
      </c>
      <c r="B63" s="2" t="s">
        <v>2923</v>
      </c>
      <c r="C63" s="2" t="str">
        <f t="shared" si="0"/>
        <v>TX0001830_002</v>
      </c>
      <c r="D63" s="2" t="s">
        <v>2953</v>
      </c>
    </row>
    <row r="64" spans="1:4" x14ac:dyDescent="0.25">
      <c r="A64" s="2" t="s">
        <v>5241</v>
      </c>
      <c r="B64" s="2" t="s">
        <v>2924</v>
      </c>
      <c r="C64" s="2" t="str">
        <f t="shared" si="0"/>
        <v>TX0001830_003</v>
      </c>
      <c r="D64" s="2" t="s">
        <v>2953</v>
      </c>
    </row>
    <row r="65" spans="1:4" x14ac:dyDescent="0.25">
      <c r="A65" s="2" t="s">
        <v>5241</v>
      </c>
      <c r="B65" s="2" t="s">
        <v>2936</v>
      </c>
      <c r="C65" s="2" t="str">
        <f t="shared" si="0"/>
        <v>TX0001830_004</v>
      </c>
      <c r="D65" s="2" t="s">
        <v>2953</v>
      </c>
    </row>
    <row r="66" spans="1:4" x14ac:dyDescent="0.25">
      <c r="A66" s="2" t="s">
        <v>5241</v>
      </c>
      <c r="B66" s="2" t="s">
        <v>2934</v>
      </c>
      <c r="C66" s="2" t="str">
        <f t="shared" si="0"/>
        <v>TX0001830_005</v>
      </c>
      <c r="D66" s="2" t="s">
        <v>2953</v>
      </c>
    </row>
    <row r="67" spans="1:4" x14ac:dyDescent="0.25">
      <c r="A67" s="2" t="s">
        <v>5242</v>
      </c>
      <c r="B67" s="2" t="s">
        <v>2921</v>
      </c>
      <c r="C67" s="2" t="str">
        <f t="shared" ref="C67:C130" si="1">A67 &amp; "_" &amp; B67</f>
        <v>TX0001848_001</v>
      </c>
      <c r="D67" s="2" t="s">
        <v>2954</v>
      </c>
    </row>
    <row r="68" spans="1:4" x14ac:dyDescent="0.25">
      <c r="A68" s="2" t="s">
        <v>5243</v>
      </c>
      <c r="B68" s="2" t="s">
        <v>2921</v>
      </c>
      <c r="C68" s="2" t="str">
        <f t="shared" si="1"/>
        <v>TX0001856_001</v>
      </c>
      <c r="D68" s="2" t="s">
        <v>2955</v>
      </c>
    </row>
    <row r="69" spans="1:4" x14ac:dyDescent="0.25">
      <c r="A69" s="2" t="s">
        <v>5244</v>
      </c>
      <c r="B69" s="2" t="s">
        <v>2921</v>
      </c>
      <c r="C69" s="2" t="str">
        <f t="shared" si="1"/>
        <v>TX0002011_001</v>
      </c>
      <c r="D69" s="2" t="s">
        <v>2956</v>
      </c>
    </row>
    <row r="70" spans="1:4" x14ac:dyDescent="0.25">
      <c r="A70" s="2" t="s">
        <v>5245</v>
      </c>
      <c r="B70" s="2" t="s">
        <v>2921</v>
      </c>
      <c r="C70" s="2" t="str">
        <f t="shared" si="1"/>
        <v>TX0002089_001</v>
      </c>
      <c r="D70" s="2" t="s">
        <v>2957</v>
      </c>
    </row>
    <row r="71" spans="1:4" x14ac:dyDescent="0.25">
      <c r="A71" s="2" t="s">
        <v>5246</v>
      </c>
      <c r="B71" s="2" t="s">
        <v>2923</v>
      </c>
      <c r="C71" s="2" t="str">
        <f t="shared" si="1"/>
        <v>TX0002143_002</v>
      </c>
      <c r="D71" s="2" t="s">
        <v>2958</v>
      </c>
    </row>
    <row r="72" spans="1:4" x14ac:dyDescent="0.25">
      <c r="A72" s="2" t="s">
        <v>5246</v>
      </c>
      <c r="B72" s="2" t="s">
        <v>2924</v>
      </c>
      <c r="C72" s="2" t="str">
        <f t="shared" si="1"/>
        <v>TX0002143_003</v>
      </c>
      <c r="D72" s="2" t="s">
        <v>2958</v>
      </c>
    </row>
    <row r="73" spans="1:4" x14ac:dyDescent="0.25">
      <c r="A73" s="2" t="s">
        <v>5246</v>
      </c>
      <c r="B73" s="2" t="s">
        <v>2959</v>
      </c>
      <c r="C73" s="2" t="str">
        <f t="shared" si="1"/>
        <v>TX0002143_007</v>
      </c>
      <c r="D73" s="2" t="s">
        <v>2958</v>
      </c>
    </row>
    <row r="74" spans="1:4" x14ac:dyDescent="0.25">
      <c r="A74" s="2" t="s">
        <v>5246</v>
      </c>
      <c r="B74" s="2" t="s">
        <v>2936</v>
      </c>
      <c r="C74" s="2" t="str">
        <f t="shared" si="1"/>
        <v>TX0002143_004</v>
      </c>
      <c r="D74" s="2" t="s">
        <v>2958</v>
      </c>
    </row>
    <row r="75" spans="1:4" x14ac:dyDescent="0.25">
      <c r="A75" s="2" t="s">
        <v>5246</v>
      </c>
      <c r="B75" s="2" t="s">
        <v>2934</v>
      </c>
      <c r="C75" s="2" t="str">
        <f t="shared" si="1"/>
        <v>TX0002143_005</v>
      </c>
      <c r="D75" s="2" t="s">
        <v>2958</v>
      </c>
    </row>
    <row r="76" spans="1:4" x14ac:dyDescent="0.25">
      <c r="A76" s="2" t="s">
        <v>5246</v>
      </c>
      <c r="B76" s="2" t="s">
        <v>2940</v>
      </c>
      <c r="C76" s="2" t="str">
        <f t="shared" si="1"/>
        <v>TX0002143_006</v>
      </c>
      <c r="D76" s="2" t="s">
        <v>2958</v>
      </c>
    </row>
    <row r="77" spans="1:4" x14ac:dyDescent="0.25">
      <c r="A77" s="2" t="s">
        <v>5246</v>
      </c>
      <c r="B77" s="2" t="s">
        <v>2921</v>
      </c>
      <c r="C77" s="2" t="str">
        <f t="shared" si="1"/>
        <v>TX0002143_001</v>
      </c>
      <c r="D77" s="2" t="s">
        <v>2958</v>
      </c>
    </row>
    <row r="78" spans="1:4" x14ac:dyDescent="0.25">
      <c r="A78" s="2" t="s">
        <v>5247</v>
      </c>
      <c r="B78" s="2" t="s">
        <v>2936</v>
      </c>
      <c r="C78" s="2" t="str">
        <f t="shared" si="1"/>
        <v>TX0002313_004</v>
      </c>
      <c r="D78" s="2" t="s">
        <v>2960</v>
      </c>
    </row>
    <row r="79" spans="1:4" x14ac:dyDescent="0.25">
      <c r="A79" s="2" t="s">
        <v>5247</v>
      </c>
      <c r="B79" s="2" t="s">
        <v>2934</v>
      </c>
      <c r="C79" s="2" t="str">
        <f t="shared" si="1"/>
        <v>TX0002313_005</v>
      </c>
      <c r="D79" s="2" t="s">
        <v>2960</v>
      </c>
    </row>
    <row r="80" spans="1:4" x14ac:dyDescent="0.25">
      <c r="A80" s="2" t="s">
        <v>5247</v>
      </c>
      <c r="B80" s="2" t="s">
        <v>2940</v>
      </c>
      <c r="C80" s="2" t="str">
        <f t="shared" si="1"/>
        <v>TX0002313_006</v>
      </c>
      <c r="D80" s="2" t="s">
        <v>2960</v>
      </c>
    </row>
    <row r="81" spans="1:4" x14ac:dyDescent="0.25">
      <c r="A81" s="2" t="s">
        <v>5248</v>
      </c>
      <c r="B81" s="2" t="s">
        <v>2921</v>
      </c>
      <c r="C81" s="2" t="str">
        <f t="shared" si="1"/>
        <v>TX0002364_001</v>
      </c>
      <c r="D81" s="2" t="s">
        <v>2961</v>
      </c>
    </row>
    <row r="82" spans="1:4" x14ac:dyDescent="0.25">
      <c r="A82" s="2" t="s">
        <v>5249</v>
      </c>
      <c r="B82" s="2" t="s">
        <v>2921</v>
      </c>
      <c r="C82" s="2" t="str">
        <f t="shared" si="1"/>
        <v>TX0002372_001</v>
      </c>
      <c r="D82" s="2" t="s">
        <v>2961</v>
      </c>
    </row>
    <row r="83" spans="1:4" x14ac:dyDescent="0.25">
      <c r="A83" s="2" t="s">
        <v>5250</v>
      </c>
      <c r="B83" s="2" t="s">
        <v>2921</v>
      </c>
      <c r="C83" s="2" t="str">
        <f t="shared" si="1"/>
        <v>TX0002381_001</v>
      </c>
      <c r="D83" s="2" t="s">
        <v>2961</v>
      </c>
    </row>
    <row r="84" spans="1:4" x14ac:dyDescent="0.25">
      <c r="A84" s="2" t="s">
        <v>5251</v>
      </c>
      <c r="B84" s="2" t="s">
        <v>2921</v>
      </c>
      <c r="C84" s="2" t="str">
        <f t="shared" si="1"/>
        <v>TX0002470_001</v>
      </c>
      <c r="D84" s="2" t="s">
        <v>2962</v>
      </c>
    </row>
    <row r="85" spans="1:4" x14ac:dyDescent="0.25">
      <c r="A85" s="2" t="s">
        <v>5252</v>
      </c>
      <c r="B85" s="2" t="s">
        <v>2921</v>
      </c>
      <c r="C85" s="2" t="str">
        <f t="shared" si="1"/>
        <v>TX0002542_001</v>
      </c>
      <c r="D85" s="2" t="s">
        <v>2963</v>
      </c>
    </row>
    <row r="86" spans="1:4" x14ac:dyDescent="0.25">
      <c r="A86" s="2" t="s">
        <v>5253</v>
      </c>
      <c r="B86" s="2" t="s">
        <v>2921</v>
      </c>
      <c r="C86" s="2" t="str">
        <f t="shared" si="1"/>
        <v>TX0002631_001</v>
      </c>
      <c r="D86" s="2" t="s">
        <v>2964</v>
      </c>
    </row>
    <row r="87" spans="1:4" x14ac:dyDescent="0.25">
      <c r="A87" s="2" t="s">
        <v>5254</v>
      </c>
      <c r="B87" s="2" t="s">
        <v>2921</v>
      </c>
      <c r="C87" s="2" t="str">
        <f t="shared" si="1"/>
        <v>TX0002658_001</v>
      </c>
      <c r="D87" s="2" t="s">
        <v>2965</v>
      </c>
    </row>
    <row r="88" spans="1:4" x14ac:dyDescent="0.25">
      <c r="A88" s="2" t="s">
        <v>5255</v>
      </c>
      <c r="B88" s="2" t="s">
        <v>2921</v>
      </c>
      <c r="C88" s="2" t="str">
        <f t="shared" si="1"/>
        <v>TX0002747_001</v>
      </c>
      <c r="D88" s="2" t="s">
        <v>2966</v>
      </c>
    </row>
    <row r="89" spans="1:4" x14ac:dyDescent="0.25">
      <c r="A89" s="2" t="s">
        <v>5256</v>
      </c>
      <c r="B89" s="2" t="s">
        <v>2940</v>
      </c>
      <c r="C89" s="2" t="str">
        <f t="shared" si="1"/>
        <v>TX0002798_006</v>
      </c>
      <c r="D89" s="2" t="s">
        <v>2967</v>
      </c>
    </row>
    <row r="90" spans="1:4" x14ac:dyDescent="0.25">
      <c r="A90" s="2" t="s">
        <v>5256</v>
      </c>
      <c r="B90" s="2" t="s">
        <v>2959</v>
      </c>
      <c r="C90" s="2" t="str">
        <f t="shared" si="1"/>
        <v>TX0002798_007</v>
      </c>
      <c r="D90" s="2" t="s">
        <v>2967</v>
      </c>
    </row>
    <row r="91" spans="1:4" x14ac:dyDescent="0.25">
      <c r="A91" s="2" t="s">
        <v>5256</v>
      </c>
      <c r="B91" s="2" t="s">
        <v>2923</v>
      </c>
      <c r="C91" s="2" t="str">
        <f t="shared" si="1"/>
        <v>TX0002798_002</v>
      </c>
      <c r="D91" s="2" t="s">
        <v>2967</v>
      </c>
    </row>
    <row r="92" spans="1:4" x14ac:dyDescent="0.25">
      <c r="A92" s="2" t="s">
        <v>5256</v>
      </c>
      <c r="B92" s="2" t="s">
        <v>2924</v>
      </c>
      <c r="C92" s="2" t="str">
        <f t="shared" si="1"/>
        <v>TX0002798_003</v>
      </c>
      <c r="D92" s="2" t="s">
        <v>2967</v>
      </c>
    </row>
    <row r="93" spans="1:4" x14ac:dyDescent="0.25">
      <c r="A93" s="2" t="s">
        <v>5256</v>
      </c>
      <c r="B93" s="2" t="s">
        <v>2936</v>
      </c>
      <c r="C93" s="2" t="str">
        <f t="shared" si="1"/>
        <v>TX0002798_004</v>
      </c>
      <c r="D93" s="2" t="s">
        <v>2967</v>
      </c>
    </row>
    <row r="94" spans="1:4" x14ac:dyDescent="0.25">
      <c r="A94" s="2" t="s">
        <v>5256</v>
      </c>
      <c r="B94" s="2" t="s">
        <v>2946</v>
      </c>
      <c r="C94" s="2" t="str">
        <f t="shared" si="1"/>
        <v>TX0002798_008</v>
      </c>
      <c r="D94" s="2" t="s">
        <v>2967</v>
      </c>
    </row>
    <row r="95" spans="1:4" x14ac:dyDescent="0.25">
      <c r="A95" s="2" t="s">
        <v>5257</v>
      </c>
      <c r="B95" s="2" t="s">
        <v>2921</v>
      </c>
      <c r="C95" s="2" t="str">
        <f t="shared" si="1"/>
        <v>TX0002844_001</v>
      </c>
      <c r="D95" s="2" t="s">
        <v>2968</v>
      </c>
    </row>
    <row r="96" spans="1:4" x14ac:dyDescent="0.25">
      <c r="A96" s="2" t="s">
        <v>5257</v>
      </c>
      <c r="B96" s="2" t="s">
        <v>2923</v>
      </c>
      <c r="C96" s="2" t="str">
        <f t="shared" si="1"/>
        <v>TX0002844_002</v>
      </c>
      <c r="D96" s="2" t="s">
        <v>2968</v>
      </c>
    </row>
    <row r="97" spans="1:4" x14ac:dyDescent="0.25">
      <c r="A97" s="2" t="s">
        <v>5257</v>
      </c>
      <c r="B97" s="2" t="s">
        <v>2924</v>
      </c>
      <c r="C97" s="2" t="str">
        <f t="shared" si="1"/>
        <v>TX0002844_003</v>
      </c>
      <c r="D97" s="2" t="s">
        <v>2968</v>
      </c>
    </row>
    <row r="98" spans="1:4" x14ac:dyDescent="0.25">
      <c r="A98" s="2" t="s">
        <v>5257</v>
      </c>
      <c r="B98" s="2" t="s">
        <v>2936</v>
      </c>
      <c r="C98" s="2" t="str">
        <f t="shared" si="1"/>
        <v>TX0002844_004</v>
      </c>
      <c r="D98" s="2" t="s">
        <v>2968</v>
      </c>
    </row>
    <row r="99" spans="1:4" x14ac:dyDescent="0.25">
      <c r="A99" s="2" t="s">
        <v>5257</v>
      </c>
      <c r="B99" s="2" t="s">
        <v>2934</v>
      </c>
      <c r="C99" s="2" t="str">
        <f t="shared" si="1"/>
        <v>TX0002844_005</v>
      </c>
      <c r="D99" s="2" t="s">
        <v>2968</v>
      </c>
    </row>
    <row r="100" spans="1:4" x14ac:dyDescent="0.25">
      <c r="A100" s="2" t="s">
        <v>5257</v>
      </c>
      <c r="B100" s="2" t="s">
        <v>2940</v>
      </c>
      <c r="C100" s="2" t="str">
        <f t="shared" si="1"/>
        <v>TX0002844_006</v>
      </c>
      <c r="D100" s="2" t="s">
        <v>2968</v>
      </c>
    </row>
    <row r="101" spans="1:4" x14ac:dyDescent="0.25">
      <c r="A101" s="2" t="s">
        <v>5257</v>
      </c>
      <c r="B101" s="2" t="s">
        <v>2959</v>
      </c>
      <c r="C101" s="2" t="str">
        <f t="shared" si="1"/>
        <v>TX0002844_007</v>
      </c>
      <c r="D101" s="2" t="s">
        <v>2968</v>
      </c>
    </row>
    <row r="102" spans="1:4" x14ac:dyDescent="0.25">
      <c r="A102" s="2" t="s">
        <v>5257</v>
      </c>
      <c r="B102" s="2" t="s">
        <v>2946</v>
      </c>
      <c r="C102" s="2" t="str">
        <f t="shared" si="1"/>
        <v>TX0002844_008</v>
      </c>
      <c r="D102" s="2" t="s">
        <v>2968</v>
      </c>
    </row>
    <row r="103" spans="1:4" x14ac:dyDescent="0.25">
      <c r="A103" s="2" t="s">
        <v>5257</v>
      </c>
      <c r="B103" s="2" t="s">
        <v>2969</v>
      </c>
      <c r="C103" s="2" t="str">
        <f t="shared" si="1"/>
        <v>TX0002844_009</v>
      </c>
      <c r="D103" s="2" t="s">
        <v>2968</v>
      </c>
    </row>
    <row r="104" spans="1:4" x14ac:dyDescent="0.25">
      <c r="A104" s="2" t="s">
        <v>5257</v>
      </c>
      <c r="B104" s="2" t="s">
        <v>2947</v>
      </c>
      <c r="C104" s="2" t="str">
        <f t="shared" si="1"/>
        <v>TX0002844_010</v>
      </c>
      <c r="D104" s="2" t="s">
        <v>2968</v>
      </c>
    </row>
    <row r="105" spans="1:4" x14ac:dyDescent="0.25">
      <c r="A105" s="2" t="s">
        <v>5257</v>
      </c>
      <c r="B105" s="2" t="s">
        <v>2949</v>
      </c>
      <c r="C105" s="2" t="str">
        <f t="shared" si="1"/>
        <v>TX0002844_012</v>
      </c>
      <c r="D105" s="2" t="s">
        <v>2968</v>
      </c>
    </row>
    <row r="106" spans="1:4" x14ac:dyDescent="0.25">
      <c r="A106" s="2" t="s">
        <v>5257</v>
      </c>
      <c r="B106" s="2" t="s">
        <v>2944</v>
      </c>
      <c r="C106" s="2" t="str">
        <f t="shared" si="1"/>
        <v>TX0002844_014</v>
      </c>
      <c r="D106" s="2" t="s">
        <v>2968</v>
      </c>
    </row>
    <row r="107" spans="1:4" x14ac:dyDescent="0.25">
      <c r="A107" s="2" t="s">
        <v>5257</v>
      </c>
      <c r="B107" s="2" t="s">
        <v>2945</v>
      </c>
      <c r="C107" s="2" t="str">
        <f t="shared" si="1"/>
        <v>TX0002844_015</v>
      </c>
      <c r="D107" s="2" t="s">
        <v>2968</v>
      </c>
    </row>
    <row r="108" spans="1:4" x14ac:dyDescent="0.25">
      <c r="A108" s="2" t="s">
        <v>5257</v>
      </c>
      <c r="B108" s="2" t="s">
        <v>2970</v>
      </c>
      <c r="C108" s="2" t="str">
        <f t="shared" si="1"/>
        <v>TX0002844_016</v>
      </c>
      <c r="D108" s="2" t="s">
        <v>2968</v>
      </c>
    </row>
    <row r="109" spans="1:4" x14ac:dyDescent="0.25">
      <c r="A109" s="2" t="s">
        <v>5258</v>
      </c>
      <c r="B109" s="2" t="s">
        <v>2923</v>
      </c>
      <c r="C109" s="2" t="str">
        <f t="shared" si="1"/>
        <v>TX0002852_002</v>
      </c>
      <c r="D109" s="2" t="s">
        <v>2968</v>
      </c>
    </row>
    <row r="110" spans="1:4" x14ac:dyDescent="0.25">
      <c r="A110" s="2" t="s">
        <v>5258</v>
      </c>
      <c r="B110" s="2" t="s">
        <v>2924</v>
      </c>
      <c r="C110" s="2" t="str">
        <f t="shared" si="1"/>
        <v>TX0002852_003</v>
      </c>
      <c r="D110" s="2" t="s">
        <v>2968</v>
      </c>
    </row>
    <row r="111" spans="1:4" x14ac:dyDescent="0.25">
      <c r="A111" s="2" t="s">
        <v>5258</v>
      </c>
      <c r="B111" s="2" t="s">
        <v>2940</v>
      </c>
      <c r="C111" s="2" t="str">
        <f t="shared" si="1"/>
        <v>TX0002852_006</v>
      </c>
      <c r="D111" s="2" t="s">
        <v>2968</v>
      </c>
    </row>
    <row r="112" spans="1:4" x14ac:dyDescent="0.25">
      <c r="A112" s="2" t="s">
        <v>5259</v>
      </c>
      <c r="B112" s="2" t="s">
        <v>2921</v>
      </c>
      <c r="C112" s="2" t="str">
        <f t="shared" si="1"/>
        <v>TX0002909_001</v>
      </c>
      <c r="D112" s="2" t="s">
        <v>2971</v>
      </c>
    </row>
    <row r="113" spans="1:4" x14ac:dyDescent="0.25">
      <c r="A113" s="2" t="s">
        <v>5259</v>
      </c>
      <c r="B113" s="2" t="s">
        <v>2923</v>
      </c>
      <c r="C113" s="2" t="str">
        <f t="shared" si="1"/>
        <v>TX0002909_002</v>
      </c>
      <c r="D113" s="2" t="s">
        <v>2971</v>
      </c>
    </row>
    <row r="114" spans="1:4" x14ac:dyDescent="0.25">
      <c r="A114" s="2" t="s">
        <v>5259</v>
      </c>
      <c r="B114" s="2" t="s">
        <v>2924</v>
      </c>
      <c r="C114" s="2" t="str">
        <f t="shared" si="1"/>
        <v>TX0002909_003</v>
      </c>
      <c r="D114" s="2" t="s">
        <v>2971</v>
      </c>
    </row>
    <row r="115" spans="1:4" x14ac:dyDescent="0.25">
      <c r="A115" s="2" t="s">
        <v>5259</v>
      </c>
      <c r="B115" s="2" t="s">
        <v>2934</v>
      </c>
      <c r="C115" s="2" t="str">
        <f t="shared" si="1"/>
        <v>TX0002909_005</v>
      </c>
      <c r="D115" s="2" t="s">
        <v>2971</v>
      </c>
    </row>
    <row r="116" spans="1:4" x14ac:dyDescent="0.25">
      <c r="A116" s="2" t="s">
        <v>5260</v>
      </c>
      <c r="B116" s="2" t="s">
        <v>2921</v>
      </c>
      <c r="C116" s="2" t="str">
        <f t="shared" si="1"/>
        <v>TX0002933_001</v>
      </c>
      <c r="D116" s="2" t="s">
        <v>2972</v>
      </c>
    </row>
    <row r="117" spans="1:4" x14ac:dyDescent="0.25">
      <c r="A117" s="2" t="s">
        <v>5260</v>
      </c>
      <c r="B117" s="2" t="s">
        <v>2923</v>
      </c>
      <c r="C117" s="2" t="str">
        <f t="shared" si="1"/>
        <v>TX0002933_002</v>
      </c>
      <c r="D117" s="2" t="s">
        <v>2972</v>
      </c>
    </row>
    <row r="118" spans="1:4" x14ac:dyDescent="0.25">
      <c r="A118" s="2" t="s">
        <v>5260</v>
      </c>
      <c r="B118" s="2" t="s">
        <v>2924</v>
      </c>
      <c r="C118" s="2" t="str">
        <f t="shared" si="1"/>
        <v>TX0002933_003</v>
      </c>
      <c r="D118" s="2" t="s">
        <v>2972</v>
      </c>
    </row>
    <row r="119" spans="1:4" x14ac:dyDescent="0.25">
      <c r="A119" s="2" t="s">
        <v>5261</v>
      </c>
      <c r="B119" s="2" t="s">
        <v>2921</v>
      </c>
      <c r="C119" s="2" t="str">
        <f t="shared" si="1"/>
        <v>TX0002941_001</v>
      </c>
      <c r="D119" s="2" t="s">
        <v>2973</v>
      </c>
    </row>
    <row r="120" spans="1:4" x14ac:dyDescent="0.25">
      <c r="A120" s="2" t="s">
        <v>5262</v>
      </c>
      <c r="B120" s="2" t="s">
        <v>2923</v>
      </c>
      <c r="C120" s="2" t="str">
        <f t="shared" si="1"/>
        <v>TX0002968_002</v>
      </c>
      <c r="D120" s="2" t="s">
        <v>2974</v>
      </c>
    </row>
    <row r="121" spans="1:4" x14ac:dyDescent="0.25">
      <c r="A121" s="2" t="s">
        <v>5262</v>
      </c>
      <c r="B121" s="2" t="s">
        <v>2921</v>
      </c>
      <c r="C121" s="2" t="str">
        <f t="shared" si="1"/>
        <v>TX0002968_001</v>
      </c>
      <c r="D121" s="2" t="s">
        <v>2974</v>
      </c>
    </row>
    <row r="122" spans="1:4" x14ac:dyDescent="0.25">
      <c r="A122" s="2" t="s">
        <v>5263</v>
      </c>
      <c r="B122" s="2" t="s">
        <v>2924</v>
      </c>
      <c r="C122" s="2" t="str">
        <f t="shared" si="1"/>
        <v>TX0002976_003</v>
      </c>
      <c r="D122" s="2" t="s">
        <v>2975</v>
      </c>
    </row>
    <row r="123" spans="1:4" x14ac:dyDescent="0.25">
      <c r="A123" s="2" t="s">
        <v>5263</v>
      </c>
      <c r="B123" s="2" t="s">
        <v>2934</v>
      </c>
      <c r="C123" s="2" t="str">
        <f t="shared" si="1"/>
        <v>TX0002976_005</v>
      </c>
      <c r="D123" s="2" t="s">
        <v>2975</v>
      </c>
    </row>
    <row r="124" spans="1:4" x14ac:dyDescent="0.25">
      <c r="A124" s="2" t="s">
        <v>5263</v>
      </c>
      <c r="B124" s="2" t="s">
        <v>2940</v>
      </c>
      <c r="C124" s="2" t="str">
        <f t="shared" si="1"/>
        <v>TX0002976_006</v>
      </c>
      <c r="D124" s="2" t="s">
        <v>2975</v>
      </c>
    </row>
    <row r="125" spans="1:4" x14ac:dyDescent="0.25">
      <c r="A125" s="2" t="s">
        <v>5263</v>
      </c>
      <c r="B125" s="2" t="s">
        <v>2959</v>
      </c>
      <c r="C125" s="2" t="str">
        <f t="shared" si="1"/>
        <v>TX0002976_007</v>
      </c>
      <c r="D125" s="2" t="s">
        <v>2975</v>
      </c>
    </row>
    <row r="126" spans="1:4" x14ac:dyDescent="0.25">
      <c r="A126" s="2" t="s">
        <v>5263</v>
      </c>
      <c r="B126" s="2" t="s">
        <v>2946</v>
      </c>
      <c r="C126" s="2" t="str">
        <f t="shared" si="1"/>
        <v>TX0002976_008</v>
      </c>
      <c r="D126" s="2" t="s">
        <v>2975</v>
      </c>
    </row>
    <row r="127" spans="1:4" x14ac:dyDescent="0.25">
      <c r="A127" s="2" t="s">
        <v>5263</v>
      </c>
      <c r="B127" s="2" t="s">
        <v>2921</v>
      </c>
      <c r="C127" s="2" t="str">
        <f t="shared" si="1"/>
        <v>TX0002976_001</v>
      </c>
      <c r="D127" s="2" t="s">
        <v>2975</v>
      </c>
    </row>
    <row r="128" spans="1:4" x14ac:dyDescent="0.25">
      <c r="A128" s="2" t="s">
        <v>5263</v>
      </c>
      <c r="B128" s="2" t="s">
        <v>2923</v>
      </c>
      <c r="C128" s="2" t="str">
        <f t="shared" si="1"/>
        <v>TX0002976_002</v>
      </c>
      <c r="D128" s="2" t="s">
        <v>2975</v>
      </c>
    </row>
    <row r="129" spans="1:4" x14ac:dyDescent="0.25">
      <c r="A129" s="2" t="s">
        <v>5264</v>
      </c>
      <c r="B129" s="2" t="s">
        <v>2921</v>
      </c>
      <c r="C129" s="2" t="str">
        <f t="shared" si="1"/>
        <v>TX0003158_001</v>
      </c>
      <c r="D129" s="2" t="s">
        <v>2927</v>
      </c>
    </row>
    <row r="130" spans="1:4" x14ac:dyDescent="0.25">
      <c r="A130" s="2" t="s">
        <v>5264</v>
      </c>
      <c r="B130" s="2" t="s">
        <v>2923</v>
      </c>
      <c r="C130" s="2" t="str">
        <f t="shared" si="1"/>
        <v>TX0003158_002</v>
      </c>
      <c r="D130" s="2" t="s">
        <v>2927</v>
      </c>
    </row>
    <row r="131" spans="1:4" x14ac:dyDescent="0.25">
      <c r="A131" s="2" t="s">
        <v>5265</v>
      </c>
      <c r="B131" s="2" t="s">
        <v>2921</v>
      </c>
      <c r="C131" s="2" t="str">
        <f t="shared" ref="C131:C194" si="2">A131 &amp; "_" &amp; B131</f>
        <v>TX0003204_001</v>
      </c>
      <c r="D131" s="2" t="s">
        <v>2976</v>
      </c>
    </row>
    <row r="132" spans="1:4" x14ac:dyDescent="0.25">
      <c r="A132" s="2" t="s">
        <v>5265</v>
      </c>
      <c r="B132" s="2" t="s">
        <v>2923</v>
      </c>
      <c r="C132" s="2" t="str">
        <f t="shared" si="2"/>
        <v>TX0003204_002</v>
      </c>
      <c r="D132" s="2" t="s">
        <v>2976</v>
      </c>
    </row>
    <row r="133" spans="1:4" x14ac:dyDescent="0.25">
      <c r="A133" s="2" t="s">
        <v>5265</v>
      </c>
      <c r="B133" s="2" t="s">
        <v>2924</v>
      </c>
      <c r="C133" s="2" t="str">
        <f t="shared" si="2"/>
        <v>TX0003204_003</v>
      </c>
      <c r="D133" s="2" t="s">
        <v>2976</v>
      </c>
    </row>
    <row r="134" spans="1:4" x14ac:dyDescent="0.25">
      <c r="A134" s="2" t="s">
        <v>5265</v>
      </c>
      <c r="B134" s="2" t="s">
        <v>2936</v>
      </c>
      <c r="C134" s="2" t="str">
        <f t="shared" si="2"/>
        <v>TX0003204_004</v>
      </c>
      <c r="D134" s="2" t="s">
        <v>2976</v>
      </c>
    </row>
    <row r="135" spans="1:4" x14ac:dyDescent="0.25">
      <c r="A135" s="2" t="s">
        <v>5266</v>
      </c>
      <c r="B135" s="2" t="s">
        <v>2921</v>
      </c>
      <c r="C135" s="2" t="str">
        <f t="shared" si="2"/>
        <v>TX0003239_001</v>
      </c>
      <c r="D135" s="2" t="s">
        <v>2977</v>
      </c>
    </row>
    <row r="136" spans="1:4" x14ac:dyDescent="0.25">
      <c r="A136" s="2" t="s">
        <v>5267</v>
      </c>
      <c r="B136" s="2" t="s">
        <v>2921</v>
      </c>
      <c r="C136" s="2" t="str">
        <f t="shared" si="2"/>
        <v>TX0003247_001</v>
      </c>
      <c r="D136" s="2" t="s">
        <v>2978</v>
      </c>
    </row>
    <row r="137" spans="1:4" x14ac:dyDescent="0.25">
      <c r="A137" s="2" t="s">
        <v>5267</v>
      </c>
      <c r="B137" s="2" t="s">
        <v>2923</v>
      </c>
      <c r="C137" s="2" t="str">
        <f t="shared" si="2"/>
        <v>TX0003247_002</v>
      </c>
      <c r="D137" s="2" t="s">
        <v>2978</v>
      </c>
    </row>
    <row r="138" spans="1:4" x14ac:dyDescent="0.25">
      <c r="A138" s="2" t="s">
        <v>5267</v>
      </c>
      <c r="B138" s="2" t="s">
        <v>2924</v>
      </c>
      <c r="C138" s="2" t="str">
        <f t="shared" si="2"/>
        <v>TX0003247_003</v>
      </c>
      <c r="D138" s="2" t="s">
        <v>2978</v>
      </c>
    </row>
    <row r="139" spans="1:4" x14ac:dyDescent="0.25">
      <c r="A139" s="2" t="s">
        <v>5268</v>
      </c>
      <c r="B139" s="2" t="s">
        <v>2921</v>
      </c>
      <c r="C139" s="2" t="str">
        <f t="shared" si="2"/>
        <v>TX0003522_001</v>
      </c>
      <c r="D139" s="2" t="s">
        <v>2979</v>
      </c>
    </row>
    <row r="140" spans="1:4" x14ac:dyDescent="0.25">
      <c r="A140" s="2" t="s">
        <v>5268</v>
      </c>
      <c r="B140" s="2" t="s">
        <v>2923</v>
      </c>
      <c r="C140" s="2" t="str">
        <f t="shared" si="2"/>
        <v>TX0003522_002</v>
      </c>
      <c r="D140" s="2" t="s">
        <v>2979</v>
      </c>
    </row>
    <row r="141" spans="1:4" x14ac:dyDescent="0.25">
      <c r="A141" s="2" t="s">
        <v>5268</v>
      </c>
      <c r="B141" s="2" t="s">
        <v>2924</v>
      </c>
      <c r="C141" s="2" t="str">
        <f t="shared" si="2"/>
        <v>TX0003522_003</v>
      </c>
      <c r="D141" s="2" t="s">
        <v>2979</v>
      </c>
    </row>
    <row r="142" spans="1:4" x14ac:dyDescent="0.25">
      <c r="A142" s="2" t="s">
        <v>5268</v>
      </c>
      <c r="B142" s="2" t="s">
        <v>2947</v>
      </c>
      <c r="C142" s="2" t="str">
        <f t="shared" si="2"/>
        <v>TX0003522_010</v>
      </c>
      <c r="D142" s="2" t="s">
        <v>2979</v>
      </c>
    </row>
    <row r="143" spans="1:4" x14ac:dyDescent="0.25">
      <c r="A143" s="2" t="s">
        <v>5268</v>
      </c>
      <c r="B143" s="2" t="s">
        <v>2934</v>
      </c>
      <c r="C143" s="2" t="str">
        <f t="shared" si="2"/>
        <v>TX0003522_005</v>
      </c>
      <c r="D143" s="2" t="s">
        <v>2979</v>
      </c>
    </row>
    <row r="144" spans="1:4" x14ac:dyDescent="0.25">
      <c r="A144" s="2" t="s">
        <v>5268</v>
      </c>
      <c r="B144" s="2" t="s">
        <v>2959</v>
      </c>
      <c r="C144" s="2" t="str">
        <f t="shared" si="2"/>
        <v>TX0003522_007</v>
      </c>
      <c r="D144" s="2" t="s">
        <v>2979</v>
      </c>
    </row>
    <row r="145" spans="1:4" x14ac:dyDescent="0.25">
      <c r="A145" s="2" t="s">
        <v>5268</v>
      </c>
      <c r="B145" s="2" t="s">
        <v>2946</v>
      </c>
      <c r="C145" s="2" t="str">
        <f t="shared" si="2"/>
        <v>TX0003522_008</v>
      </c>
      <c r="D145" s="2" t="s">
        <v>2979</v>
      </c>
    </row>
    <row r="146" spans="1:4" x14ac:dyDescent="0.25">
      <c r="A146" s="2" t="s">
        <v>5268</v>
      </c>
      <c r="B146" s="2" t="s">
        <v>2948</v>
      </c>
      <c r="C146" s="2" t="str">
        <f t="shared" si="2"/>
        <v>TX0003522_011</v>
      </c>
      <c r="D146" s="2" t="s">
        <v>2979</v>
      </c>
    </row>
    <row r="147" spans="1:4" x14ac:dyDescent="0.25">
      <c r="A147" s="2" t="s">
        <v>5269</v>
      </c>
      <c r="B147" s="2" t="s">
        <v>2921</v>
      </c>
      <c r="C147" s="2" t="str">
        <f t="shared" si="2"/>
        <v>TX0003531_001</v>
      </c>
      <c r="D147" s="2" t="s">
        <v>2980</v>
      </c>
    </row>
    <row r="148" spans="1:4" x14ac:dyDescent="0.25">
      <c r="A148" s="2" t="s">
        <v>5269</v>
      </c>
      <c r="B148" s="2" t="s">
        <v>2923</v>
      </c>
      <c r="C148" s="2" t="str">
        <f t="shared" si="2"/>
        <v>TX0003531_002</v>
      </c>
      <c r="D148" s="2" t="s">
        <v>2980</v>
      </c>
    </row>
    <row r="149" spans="1:4" x14ac:dyDescent="0.25">
      <c r="A149" s="2" t="s">
        <v>5269</v>
      </c>
      <c r="B149" s="2" t="s">
        <v>2924</v>
      </c>
      <c r="C149" s="2" t="str">
        <f t="shared" si="2"/>
        <v>TX0003531_003</v>
      </c>
      <c r="D149" s="2" t="s">
        <v>2980</v>
      </c>
    </row>
    <row r="150" spans="1:4" x14ac:dyDescent="0.25">
      <c r="A150" s="2" t="s">
        <v>5269</v>
      </c>
      <c r="B150" s="2" t="s">
        <v>2936</v>
      </c>
      <c r="C150" s="2" t="str">
        <f t="shared" si="2"/>
        <v>TX0003531_004</v>
      </c>
      <c r="D150" s="2" t="s">
        <v>2980</v>
      </c>
    </row>
    <row r="151" spans="1:4" x14ac:dyDescent="0.25">
      <c r="A151" s="2" t="s">
        <v>5269</v>
      </c>
      <c r="B151" s="2" t="s">
        <v>2934</v>
      </c>
      <c r="C151" s="2" t="str">
        <f t="shared" si="2"/>
        <v>TX0003531_005</v>
      </c>
      <c r="D151" s="2" t="s">
        <v>2980</v>
      </c>
    </row>
    <row r="152" spans="1:4" x14ac:dyDescent="0.25">
      <c r="A152" s="2" t="s">
        <v>5269</v>
      </c>
      <c r="B152" s="2" t="s">
        <v>2940</v>
      </c>
      <c r="C152" s="2" t="str">
        <f t="shared" si="2"/>
        <v>TX0003531_006</v>
      </c>
      <c r="D152" s="2" t="s">
        <v>2980</v>
      </c>
    </row>
    <row r="153" spans="1:4" x14ac:dyDescent="0.25">
      <c r="A153" s="2" t="s">
        <v>5270</v>
      </c>
      <c r="B153" s="2" t="s">
        <v>2921</v>
      </c>
      <c r="C153" s="2" t="str">
        <f t="shared" si="2"/>
        <v>TX0003565_001</v>
      </c>
      <c r="D153" s="2" t="s">
        <v>2981</v>
      </c>
    </row>
    <row r="154" spans="1:4" x14ac:dyDescent="0.25">
      <c r="A154" s="2" t="s">
        <v>5270</v>
      </c>
      <c r="B154" s="2" t="s">
        <v>2923</v>
      </c>
      <c r="C154" s="2" t="str">
        <f t="shared" si="2"/>
        <v>TX0003565_002</v>
      </c>
      <c r="D154" s="2" t="s">
        <v>2981</v>
      </c>
    </row>
    <row r="155" spans="1:4" x14ac:dyDescent="0.25">
      <c r="A155" s="2" t="s">
        <v>5271</v>
      </c>
      <c r="B155" s="2" t="s">
        <v>2921</v>
      </c>
      <c r="C155" s="2" t="str">
        <f t="shared" si="2"/>
        <v>TX0003573_001</v>
      </c>
      <c r="D155" s="2" t="s">
        <v>2982</v>
      </c>
    </row>
    <row r="156" spans="1:4" x14ac:dyDescent="0.25">
      <c r="A156" s="2" t="s">
        <v>5272</v>
      </c>
      <c r="B156" s="2" t="s">
        <v>2921</v>
      </c>
      <c r="C156" s="2" t="str">
        <f t="shared" si="2"/>
        <v>TX0003581_001</v>
      </c>
      <c r="D156" s="2" t="s">
        <v>2983</v>
      </c>
    </row>
    <row r="157" spans="1:4" x14ac:dyDescent="0.25">
      <c r="A157" s="2" t="s">
        <v>5273</v>
      </c>
      <c r="B157" s="2" t="s">
        <v>2921</v>
      </c>
      <c r="C157" s="2" t="str">
        <f t="shared" si="2"/>
        <v>TX0003603_001</v>
      </c>
      <c r="D157" s="2" t="s">
        <v>2984</v>
      </c>
    </row>
    <row r="158" spans="1:4" x14ac:dyDescent="0.25">
      <c r="A158" s="2" t="s">
        <v>5273</v>
      </c>
      <c r="B158" s="2" t="s">
        <v>2923</v>
      </c>
      <c r="C158" s="2" t="str">
        <f t="shared" si="2"/>
        <v>TX0003603_002</v>
      </c>
      <c r="D158" s="2" t="s">
        <v>2984</v>
      </c>
    </row>
    <row r="159" spans="1:4" x14ac:dyDescent="0.25">
      <c r="A159" s="2" t="s">
        <v>5274</v>
      </c>
      <c r="B159" s="2" t="s">
        <v>2921</v>
      </c>
      <c r="C159" s="2" t="str">
        <f t="shared" si="2"/>
        <v>TX0003654_001</v>
      </c>
      <c r="D159" s="2" t="s">
        <v>2985</v>
      </c>
    </row>
    <row r="160" spans="1:4" x14ac:dyDescent="0.25">
      <c r="A160" s="2" t="s">
        <v>5275</v>
      </c>
      <c r="B160" s="2" t="s">
        <v>2923</v>
      </c>
      <c r="C160" s="2" t="str">
        <f t="shared" si="2"/>
        <v>TX0003662_002</v>
      </c>
      <c r="D160" s="2" t="s">
        <v>2986</v>
      </c>
    </row>
    <row r="161" spans="1:4" x14ac:dyDescent="0.25">
      <c r="A161" s="2" t="s">
        <v>5275</v>
      </c>
      <c r="B161" s="2" t="s">
        <v>2936</v>
      </c>
      <c r="C161" s="2" t="str">
        <f t="shared" si="2"/>
        <v>TX0003662_004</v>
      </c>
      <c r="D161" s="2" t="s">
        <v>2986</v>
      </c>
    </row>
    <row r="162" spans="1:4" x14ac:dyDescent="0.25">
      <c r="A162" s="2" t="s">
        <v>5275</v>
      </c>
      <c r="B162" s="2" t="s">
        <v>2934</v>
      </c>
      <c r="C162" s="2" t="str">
        <f t="shared" si="2"/>
        <v>TX0003662_005</v>
      </c>
      <c r="D162" s="2" t="s">
        <v>2986</v>
      </c>
    </row>
    <row r="163" spans="1:4" x14ac:dyDescent="0.25">
      <c r="A163" s="2" t="s">
        <v>5275</v>
      </c>
      <c r="B163" s="2" t="s">
        <v>2959</v>
      </c>
      <c r="C163" s="2" t="str">
        <f t="shared" si="2"/>
        <v>TX0003662_007</v>
      </c>
      <c r="D163" s="2" t="s">
        <v>2986</v>
      </c>
    </row>
    <row r="164" spans="1:4" x14ac:dyDescent="0.25">
      <c r="A164" s="2" t="s">
        <v>5275</v>
      </c>
      <c r="B164" s="2" t="s">
        <v>2946</v>
      </c>
      <c r="C164" s="2" t="str">
        <f t="shared" si="2"/>
        <v>TX0003662_008</v>
      </c>
      <c r="D164" s="2" t="s">
        <v>2986</v>
      </c>
    </row>
    <row r="165" spans="1:4" x14ac:dyDescent="0.25">
      <c r="A165" s="2" t="s">
        <v>5275</v>
      </c>
      <c r="B165" s="2" t="s">
        <v>2921</v>
      </c>
      <c r="C165" s="2" t="str">
        <f t="shared" si="2"/>
        <v>TX0003662_001</v>
      </c>
      <c r="D165" s="2" t="s">
        <v>2986</v>
      </c>
    </row>
    <row r="166" spans="1:4" x14ac:dyDescent="0.25">
      <c r="A166" s="2" t="s">
        <v>5275</v>
      </c>
      <c r="B166" s="2" t="s">
        <v>2924</v>
      </c>
      <c r="C166" s="2" t="str">
        <f t="shared" si="2"/>
        <v>TX0003662_003</v>
      </c>
      <c r="D166" s="2" t="s">
        <v>2986</v>
      </c>
    </row>
    <row r="167" spans="1:4" x14ac:dyDescent="0.25">
      <c r="A167" s="2" t="s">
        <v>5275</v>
      </c>
      <c r="B167" s="2" t="s">
        <v>2940</v>
      </c>
      <c r="C167" s="2" t="str">
        <f t="shared" si="2"/>
        <v>TX0003662_006</v>
      </c>
      <c r="D167" s="2" t="s">
        <v>2986</v>
      </c>
    </row>
    <row r="168" spans="1:4" x14ac:dyDescent="0.25">
      <c r="A168" s="2" t="s">
        <v>5276</v>
      </c>
      <c r="B168" s="2" t="s">
        <v>2921</v>
      </c>
      <c r="C168" s="2" t="str">
        <f t="shared" si="2"/>
        <v>TX0003671_001</v>
      </c>
      <c r="D168" s="2" t="s">
        <v>2987</v>
      </c>
    </row>
    <row r="169" spans="1:4" x14ac:dyDescent="0.25">
      <c r="A169" s="2" t="s">
        <v>5276</v>
      </c>
      <c r="B169" s="2" t="s">
        <v>2923</v>
      </c>
      <c r="C169" s="2" t="str">
        <f t="shared" si="2"/>
        <v>TX0003671_002</v>
      </c>
      <c r="D169" s="2" t="s">
        <v>2987</v>
      </c>
    </row>
    <row r="170" spans="1:4" x14ac:dyDescent="0.25">
      <c r="A170" s="2" t="s">
        <v>5276</v>
      </c>
      <c r="B170" s="2" t="s">
        <v>2924</v>
      </c>
      <c r="C170" s="2" t="str">
        <f t="shared" si="2"/>
        <v>TX0003671_003</v>
      </c>
      <c r="D170" s="2" t="s">
        <v>2987</v>
      </c>
    </row>
    <row r="171" spans="1:4" x14ac:dyDescent="0.25">
      <c r="A171" s="2" t="s">
        <v>5277</v>
      </c>
      <c r="B171" s="2" t="s">
        <v>2921</v>
      </c>
      <c r="C171" s="2" t="str">
        <f t="shared" si="2"/>
        <v>TX0003689_001</v>
      </c>
      <c r="D171" s="2" t="s">
        <v>2988</v>
      </c>
    </row>
    <row r="172" spans="1:4" x14ac:dyDescent="0.25">
      <c r="A172" s="2" t="s">
        <v>5277</v>
      </c>
      <c r="B172" s="2" t="s">
        <v>2923</v>
      </c>
      <c r="C172" s="2" t="str">
        <f t="shared" si="2"/>
        <v>TX0003689_002</v>
      </c>
      <c r="D172" s="2" t="s">
        <v>2988</v>
      </c>
    </row>
    <row r="173" spans="1:4" x14ac:dyDescent="0.25">
      <c r="A173" s="2" t="s">
        <v>5278</v>
      </c>
      <c r="B173" s="2" t="s">
        <v>2936</v>
      </c>
      <c r="C173" s="2" t="str">
        <f t="shared" si="2"/>
        <v>TX0003697_004</v>
      </c>
      <c r="D173" s="2" t="s">
        <v>2989</v>
      </c>
    </row>
    <row r="174" spans="1:4" x14ac:dyDescent="0.25">
      <c r="A174" s="2" t="s">
        <v>5278</v>
      </c>
      <c r="B174" s="2" t="s">
        <v>2924</v>
      </c>
      <c r="C174" s="2" t="str">
        <f t="shared" si="2"/>
        <v>TX0003697_003</v>
      </c>
      <c r="D174" s="2" t="s">
        <v>2989</v>
      </c>
    </row>
    <row r="175" spans="1:4" x14ac:dyDescent="0.25">
      <c r="A175" s="2" t="s">
        <v>5278</v>
      </c>
      <c r="B175" s="2" t="s">
        <v>2934</v>
      </c>
      <c r="C175" s="2" t="str">
        <f t="shared" si="2"/>
        <v>TX0003697_005</v>
      </c>
      <c r="D175" s="2" t="s">
        <v>2989</v>
      </c>
    </row>
    <row r="176" spans="1:4" x14ac:dyDescent="0.25">
      <c r="A176" s="2" t="s">
        <v>5278</v>
      </c>
      <c r="B176" s="2" t="s">
        <v>2940</v>
      </c>
      <c r="C176" s="2" t="str">
        <f t="shared" si="2"/>
        <v>TX0003697_006</v>
      </c>
      <c r="D176" s="2" t="s">
        <v>2989</v>
      </c>
    </row>
    <row r="177" spans="1:4" x14ac:dyDescent="0.25">
      <c r="A177" s="2" t="s">
        <v>5278</v>
      </c>
      <c r="B177" s="2" t="s">
        <v>2969</v>
      </c>
      <c r="C177" s="2" t="str">
        <f t="shared" si="2"/>
        <v>TX0003697_009</v>
      </c>
      <c r="D177" s="2" t="s">
        <v>2989</v>
      </c>
    </row>
    <row r="178" spans="1:4" x14ac:dyDescent="0.25">
      <c r="A178" s="2" t="s">
        <v>5278</v>
      </c>
      <c r="B178" s="2" t="s">
        <v>2949</v>
      </c>
      <c r="C178" s="2" t="str">
        <f t="shared" si="2"/>
        <v>TX0003697_012</v>
      </c>
      <c r="D178" s="2" t="s">
        <v>2989</v>
      </c>
    </row>
    <row r="179" spans="1:4" x14ac:dyDescent="0.25">
      <c r="A179" s="2" t="s">
        <v>5278</v>
      </c>
      <c r="B179" s="2" t="s">
        <v>2921</v>
      </c>
      <c r="C179" s="2" t="str">
        <f t="shared" si="2"/>
        <v>TX0003697_001</v>
      </c>
      <c r="D179" s="2" t="s">
        <v>2989</v>
      </c>
    </row>
    <row r="180" spans="1:4" x14ac:dyDescent="0.25">
      <c r="A180" s="2" t="s">
        <v>5278</v>
      </c>
      <c r="B180" s="2" t="s">
        <v>2944</v>
      </c>
      <c r="C180" s="2" t="str">
        <f t="shared" si="2"/>
        <v>TX0003697_014</v>
      </c>
      <c r="D180" s="2" t="s">
        <v>2989</v>
      </c>
    </row>
    <row r="181" spans="1:4" x14ac:dyDescent="0.25">
      <c r="A181" s="2" t="s">
        <v>5279</v>
      </c>
      <c r="B181" s="2" t="s">
        <v>2924</v>
      </c>
      <c r="C181" s="2" t="str">
        <f t="shared" si="2"/>
        <v>TX0003727_003</v>
      </c>
      <c r="D181" s="2" t="s">
        <v>2990</v>
      </c>
    </row>
    <row r="182" spans="1:4" x14ac:dyDescent="0.25">
      <c r="A182" s="2" t="s">
        <v>5279</v>
      </c>
      <c r="B182" s="2" t="s">
        <v>2921</v>
      </c>
      <c r="C182" s="2" t="str">
        <f t="shared" si="2"/>
        <v>TX0003727_001</v>
      </c>
      <c r="D182" s="2" t="s">
        <v>2990</v>
      </c>
    </row>
    <row r="183" spans="1:4" x14ac:dyDescent="0.25">
      <c r="A183" s="2" t="s">
        <v>5279</v>
      </c>
      <c r="B183" s="2" t="s">
        <v>2923</v>
      </c>
      <c r="C183" s="2" t="str">
        <f t="shared" si="2"/>
        <v>TX0003727_002</v>
      </c>
      <c r="D183" s="2" t="s">
        <v>2990</v>
      </c>
    </row>
    <row r="184" spans="1:4" x14ac:dyDescent="0.25">
      <c r="A184" s="2" t="s">
        <v>5280</v>
      </c>
      <c r="B184" s="2" t="s">
        <v>2921</v>
      </c>
      <c r="C184" s="2" t="str">
        <f t="shared" si="2"/>
        <v>TX0003832_001</v>
      </c>
      <c r="D184" s="2" t="s">
        <v>2991</v>
      </c>
    </row>
    <row r="185" spans="1:4" x14ac:dyDescent="0.25">
      <c r="A185" s="2" t="s">
        <v>5281</v>
      </c>
      <c r="B185" s="2" t="s">
        <v>2921</v>
      </c>
      <c r="C185" s="2" t="str">
        <f t="shared" si="2"/>
        <v>TX0003867_001</v>
      </c>
      <c r="D185" s="2" t="s">
        <v>2992</v>
      </c>
    </row>
    <row r="186" spans="1:4" x14ac:dyDescent="0.25">
      <c r="A186" s="2" t="s">
        <v>5282</v>
      </c>
      <c r="B186" s="2" t="s">
        <v>2921</v>
      </c>
      <c r="C186" s="2" t="str">
        <f t="shared" si="2"/>
        <v>TX0003875_001</v>
      </c>
      <c r="D186" s="2" t="s">
        <v>2993</v>
      </c>
    </row>
    <row r="187" spans="1:4" x14ac:dyDescent="0.25">
      <c r="A187" s="2" t="s">
        <v>5282</v>
      </c>
      <c r="B187" s="2" t="s">
        <v>2923</v>
      </c>
      <c r="C187" s="2" t="str">
        <f t="shared" si="2"/>
        <v>TX0003875_002</v>
      </c>
      <c r="D187" s="2" t="s">
        <v>2993</v>
      </c>
    </row>
    <row r="188" spans="1:4" x14ac:dyDescent="0.25">
      <c r="A188" s="2" t="s">
        <v>5282</v>
      </c>
      <c r="B188" s="2" t="s">
        <v>2924</v>
      </c>
      <c r="C188" s="2" t="str">
        <f t="shared" si="2"/>
        <v>TX0003875_003</v>
      </c>
      <c r="D188" s="2" t="s">
        <v>2993</v>
      </c>
    </row>
    <row r="189" spans="1:4" x14ac:dyDescent="0.25">
      <c r="A189" s="2" t="s">
        <v>5282</v>
      </c>
      <c r="B189" s="2" t="s">
        <v>2934</v>
      </c>
      <c r="C189" s="2" t="str">
        <f t="shared" si="2"/>
        <v>TX0003875_005</v>
      </c>
      <c r="D189" s="2" t="s">
        <v>2993</v>
      </c>
    </row>
    <row r="190" spans="1:4" x14ac:dyDescent="0.25">
      <c r="A190" s="2" t="s">
        <v>5282</v>
      </c>
      <c r="B190" s="2" t="s">
        <v>2940</v>
      </c>
      <c r="C190" s="2" t="str">
        <f t="shared" si="2"/>
        <v>TX0003875_006</v>
      </c>
      <c r="D190" s="2" t="s">
        <v>2993</v>
      </c>
    </row>
    <row r="191" spans="1:4" x14ac:dyDescent="0.25">
      <c r="A191" s="2" t="s">
        <v>5282</v>
      </c>
      <c r="B191" s="2" t="s">
        <v>2959</v>
      </c>
      <c r="C191" s="2" t="str">
        <f t="shared" si="2"/>
        <v>TX0003875_007</v>
      </c>
      <c r="D191" s="2" t="s">
        <v>2993</v>
      </c>
    </row>
    <row r="192" spans="1:4" x14ac:dyDescent="0.25">
      <c r="A192" s="2" t="s">
        <v>5282</v>
      </c>
      <c r="B192" s="2" t="s">
        <v>2936</v>
      </c>
      <c r="C192" s="2" t="str">
        <f t="shared" si="2"/>
        <v>TX0003875_004</v>
      </c>
      <c r="D192" s="2" t="s">
        <v>2993</v>
      </c>
    </row>
    <row r="193" spans="1:4" x14ac:dyDescent="0.25">
      <c r="A193" s="2" t="s">
        <v>5283</v>
      </c>
      <c r="B193" s="2" t="s">
        <v>2921</v>
      </c>
      <c r="C193" s="2" t="str">
        <f t="shared" si="2"/>
        <v>TX0003891_001</v>
      </c>
      <c r="D193" s="2" t="s">
        <v>2994</v>
      </c>
    </row>
    <row r="194" spans="1:4" x14ac:dyDescent="0.25">
      <c r="A194" s="2" t="s">
        <v>5283</v>
      </c>
      <c r="B194" s="2" t="s">
        <v>2923</v>
      </c>
      <c r="C194" s="2" t="str">
        <f t="shared" si="2"/>
        <v>TX0003891_002</v>
      </c>
      <c r="D194" s="2" t="s">
        <v>2994</v>
      </c>
    </row>
    <row r="195" spans="1:4" x14ac:dyDescent="0.25">
      <c r="A195" s="2" t="s">
        <v>5284</v>
      </c>
      <c r="B195" s="2" t="s">
        <v>2921</v>
      </c>
      <c r="C195" s="2" t="str">
        <f t="shared" ref="C195:C258" si="3">A195 &amp; "_" &amp; B195</f>
        <v>TX0003948_001</v>
      </c>
      <c r="D195" s="2" t="s">
        <v>2995</v>
      </c>
    </row>
    <row r="196" spans="1:4" x14ac:dyDescent="0.25">
      <c r="A196" s="2" t="s">
        <v>5284</v>
      </c>
      <c r="B196" s="2" t="s">
        <v>2923</v>
      </c>
      <c r="C196" s="2" t="str">
        <f t="shared" si="3"/>
        <v>TX0003948_002</v>
      </c>
      <c r="D196" s="2" t="s">
        <v>2995</v>
      </c>
    </row>
    <row r="197" spans="1:4" x14ac:dyDescent="0.25">
      <c r="A197" s="2" t="s">
        <v>5284</v>
      </c>
      <c r="B197" s="2" t="s">
        <v>2924</v>
      </c>
      <c r="C197" s="2" t="str">
        <f t="shared" si="3"/>
        <v>TX0003948_003</v>
      </c>
      <c r="D197" s="2" t="s">
        <v>2995</v>
      </c>
    </row>
    <row r="198" spans="1:4" x14ac:dyDescent="0.25">
      <c r="A198" s="2" t="s">
        <v>5284</v>
      </c>
      <c r="B198" s="2" t="s">
        <v>2936</v>
      </c>
      <c r="C198" s="2" t="str">
        <f t="shared" si="3"/>
        <v>TX0003948_004</v>
      </c>
      <c r="D198" s="2" t="s">
        <v>2995</v>
      </c>
    </row>
    <row r="199" spans="1:4" x14ac:dyDescent="0.25">
      <c r="A199" s="2" t="s">
        <v>5285</v>
      </c>
      <c r="B199" s="2" t="s">
        <v>2924</v>
      </c>
      <c r="C199" s="2" t="str">
        <f t="shared" si="3"/>
        <v>TX0004022_003</v>
      </c>
      <c r="D199" s="2" t="s">
        <v>2996</v>
      </c>
    </row>
    <row r="200" spans="1:4" x14ac:dyDescent="0.25">
      <c r="A200" s="2" t="s">
        <v>5285</v>
      </c>
      <c r="B200" s="2" t="s">
        <v>2921</v>
      </c>
      <c r="C200" s="2" t="str">
        <f t="shared" si="3"/>
        <v>TX0004022_001</v>
      </c>
      <c r="D200" s="2" t="s">
        <v>2996</v>
      </c>
    </row>
    <row r="201" spans="1:4" x14ac:dyDescent="0.25">
      <c r="A201" s="2" t="s">
        <v>5285</v>
      </c>
      <c r="B201" s="2" t="s">
        <v>2923</v>
      </c>
      <c r="C201" s="2" t="str">
        <f t="shared" si="3"/>
        <v>TX0004022_002</v>
      </c>
      <c r="D201" s="2" t="s">
        <v>2996</v>
      </c>
    </row>
    <row r="202" spans="1:4" x14ac:dyDescent="0.25">
      <c r="A202" s="2" t="s">
        <v>5285</v>
      </c>
      <c r="B202" s="2" t="s">
        <v>2936</v>
      </c>
      <c r="C202" s="2" t="str">
        <f t="shared" si="3"/>
        <v>TX0004022_004</v>
      </c>
      <c r="D202" s="2" t="s">
        <v>2996</v>
      </c>
    </row>
    <row r="203" spans="1:4" x14ac:dyDescent="0.25">
      <c r="A203" s="2" t="s">
        <v>5286</v>
      </c>
      <c r="B203" s="2" t="s">
        <v>2921</v>
      </c>
      <c r="C203" s="2" t="str">
        <f t="shared" si="3"/>
        <v>TX0004201_001</v>
      </c>
      <c r="D203" s="2" t="s">
        <v>2997</v>
      </c>
    </row>
    <row r="204" spans="1:4" x14ac:dyDescent="0.25">
      <c r="A204" s="2" t="s">
        <v>5286</v>
      </c>
      <c r="B204" s="2" t="s">
        <v>2923</v>
      </c>
      <c r="C204" s="2" t="str">
        <f t="shared" si="3"/>
        <v>TX0004201_002</v>
      </c>
      <c r="D204" s="2" t="s">
        <v>2997</v>
      </c>
    </row>
    <row r="205" spans="1:4" x14ac:dyDescent="0.25">
      <c r="A205" s="2" t="s">
        <v>5286</v>
      </c>
      <c r="B205" s="2" t="s">
        <v>2924</v>
      </c>
      <c r="C205" s="2" t="str">
        <f t="shared" si="3"/>
        <v>TX0004201_003</v>
      </c>
      <c r="D205" s="2" t="s">
        <v>2997</v>
      </c>
    </row>
    <row r="206" spans="1:4" x14ac:dyDescent="0.25">
      <c r="A206" s="2" t="s">
        <v>5286</v>
      </c>
      <c r="B206" s="2" t="s">
        <v>2936</v>
      </c>
      <c r="C206" s="2" t="str">
        <f t="shared" si="3"/>
        <v>TX0004201_004</v>
      </c>
      <c r="D206" s="2" t="s">
        <v>2997</v>
      </c>
    </row>
    <row r="207" spans="1:4" x14ac:dyDescent="0.25">
      <c r="A207" s="2" t="s">
        <v>5286</v>
      </c>
      <c r="B207" s="2" t="s">
        <v>2934</v>
      </c>
      <c r="C207" s="2" t="str">
        <f t="shared" si="3"/>
        <v>TX0004201_005</v>
      </c>
      <c r="D207" s="2" t="s">
        <v>2997</v>
      </c>
    </row>
    <row r="208" spans="1:4" x14ac:dyDescent="0.25">
      <c r="A208" s="2" t="s">
        <v>5286</v>
      </c>
      <c r="B208" s="2" t="s">
        <v>2940</v>
      </c>
      <c r="C208" s="2" t="str">
        <f t="shared" si="3"/>
        <v>TX0004201_006</v>
      </c>
      <c r="D208" s="2" t="s">
        <v>2997</v>
      </c>
    </row>
    <row r="209" spans="1:4" x14ac:dyDescent="0.25">
      <c r="A209" s="2" t="s">
        <v>5286</v>
      </c>
      <c r="B209" s="2" t="s">
        <v>2959</v>
      </c>
      <c r="C209" s="2" t="str">
        <f t="shared" si="3"/>
        <v>TX0004201_007</v>
      </c>
      <c r="D209" s="2" t="s">
        <v>2997</v>
      </c>
    </row>
    <row r="210" spans="1:4" x14ac:dyDescent="0.25">
      <c r="A210" s="2" t="s">
        <v>5286</v>
      </c>
      <c r="B210" s="2" t="s">
        <v>2946</v>
      </c>
      <c r="C210" s="2" t="str">
        <f t="shared" si="3"/>
        <v>TX0004201_008</v>
      </c>
      <c r="D210" s="2" t="s">
        <v>2997</v>
      </c>
    </row>
    <row r="211" spans="1:4" x14ac:dyDescent="0.25">
      <c r="A211" s="2" t="s">
        <v>5287</v>
      </c>
      <c r="B211" s="2" t="s">
        <v>2921</v>
      </c>
      <c r="C211" s="2" t="str">
        <f t="shared" si="3"/>
        <v>TX0004227_001</v>
      </c>
      <c r="D211" s="2" t="s">
        <v>2998</v>
      </c>
    </row>
    <row r="212" spans="1:4" x14ac:dyDescent="0.25">
      <c r="A212" s="2" t="s">
        <v>5288</v>
      </c>
      <c r="B212" s="2" t="s">
        <v>2921</v>
      </c>
      <c r="C212" s="2" t="str">
        <f t="shared" si="3"/>
        <v>TX0004626_001</v>
      </c>
      <c r="D212" s="2" t="s">
        <v>2999</v>
      </c>
    </row>
    <row r="213" spans="1:4" x14ac:dyDescent="0.25">
      <c r="A213" s="2" t="s">
        <v>5288</v>
      </c>
      <c r="B213" s="2" t="s">
        <v>2923</v>
      </c>
      <c r="C213" s="2" t="str">
        <f t="shared" si="3"/>
        <v>TX0004626_002</v>
      </c>
      <c r="D213" s="2" t="s">
        <v>2999</v>
      </c>
    </row>
    <row r="214" spans="1:4" x14ac:dyDescent="0.25">
      <c r="A214" s="2" t="s">
        <v>5288</v>
      </c>
      <c r="B214" s="2" t="s">
        <v>2924</v>
      </c>
      <c r="C214" s="2" t="str">
        <f t="shared" si="3"/>
        <v>TX0004626_003</v>
      </c>
      <c r="D214" s="2" t="s">
        <v>2999</v>
      </c>
    </row>
    <row r="215" spans="1:4" x14ac:dyDescent="0.25">
      <c r="A215" s="2" t="s">
        <v>5289</v>
      </c>
      <c r="B215" s="2" t="s">
        <v>2945</v>
      </c>
      <c r="C215" s="2" t="str">
        <f t="shared" si="3"/>
        <v>TX0004669_015</v>
      </c>
      <c r="D215" s="2" t="s">
        <v>3000</v>
      </c>
    </row>
    <row r="216" spans="1:4" x14ac:dyDescent="0.25">
      <c r="A216" s="2" t="s">
        <v>5289</v>
      </c>
      <c r="B216" s="2" t="s">
        <v>3001</v>
      </c>
      <c r="C216" s="2" t="str">
        <f t="shared" si="3"/>
        <v>TX0004669_018</v>
      </c>
      <c r="D216" s="2" t="s">
        <v>3000</v>
      </c>
    </row>
    <row r="217" spans="1:4" x14ac:dyDescent="0.25">
      <c r="A217" s="2" t="s">
        <v>5289</v>
      </c>
      <c r="B217" s="2" t="s">
        <v>2921</v>
      </c>
      <c r="C217" s="2" t="str">
        <f t="shared" si="3"/>
        <v>TX0004669_001</v>
      </c>
      <c r="D217" s="2" t="s">
        <v>3000</v>
      </c>
    </row>
    <row r="218" spans="1:4" x14ac:dyDescent="0.25">
      <c r="A218" s="2" t="s">
        <v>5289</v>
      </c>
      <c r="B218" s="2" t="s">
        <v>2923</v>
      </c>
      <c r="C218" s="2" t="str">
        <f t="shared" si="3"/>
        <v>TX0004669_002</v>
      </c>
      <c r="D218" s="2" t="s">
        <v>3000</v>
      </c>
    </row>
    <row r="219" spans="1:4" x14ac:dyDescent="0.25">
      <c r="A219" s="2" t="s">
        <v>5289</v>
      </c>
      <c r="B219" s="2" t="s">
        <v>2936</v>
      </c>
      <c r="C219" s="2" t="str">
        <f t="shared" si="3"/>
        <v>TX0004669_004</v>
      </c>
      <c r="D219" s="2" t="s">
        <v>3000</v>
      </c>
    </row>
    <row r="220" spans="1:4" x14ac:dyDescent="0.25">
      <c r="A220" s="2" t="s">
        <v>5289</v>
      </c>
      <c r="B220" s="2" t="s">
        <v>2934</v>
      </c>
      <c r="C220" s="2" t="str">
        <f t="shared" si="3"/>
        <v>TX0004669_005</v>
      </c>
      <c r="D220" s="2" t="s">
        <v>3000</v>
      </c>
    </row>
    <row r="221" spans="1:4" x14ac:dyDescent="0.25">
      <c r="A221" s="2" t="s">
        <v>5289</v>
      </c>
      <c r="B221" s="2" t="s">
        <v>2940</v>
      </c>
      <c r="C221" s="2" t="str">
        <f t="shared" si="3"/>
        <v>TX0004669_006</v>
      </c>
      <c r="D221" s="2" t="s">
        <v>3000</v>
      </c>
    </row>
    <row r="222" spans="1:4" x14ac:dyDescent="0.25">
      <c r="A222" s="2" t="s">
        <v>5289</v>
      </c>
      <c r="B222" s="2" t="s">
        <v>2946</v>
      </c>
      <c r="C222" s="2" t="str">
        <f t="shared" si="3"/>
        <v>TX0004669_008</v>
      </c>
      <c r="D222" s="2" t="s">
        <v>3000</v>
      </c>
    </row>
    <row r="223" spans="1:4" x14ac:dyDescent="0.25">
      <c r="A223" s="2" t="s">
        <v>5289</v>
      </c>
      <c r="B223" s="2" t="s">
        <v>2948</v>
      </c>
      <c r="C223" s="2" t="str">
        <f t="shared" si="3"/>
        <v>TX0004669_011</v>
      </c>
      <c r="D223" s="2" t="s">
        <v>3000</v>
      </c>
    </row>
    <row r="224" spans="1:4" x14ac:dyDescent="0.25">
      <c r="A224" s="2" t="s">
        <v>5289</v>
      </c>
      <c r="B224" s="2" t="s">
        <v>3002</v>
      </c>
      <c r="C224" s="2" t="str">
        <f t="shared" si="3"/>
        <v>TX0004669_021</v>
      </c>
      <c r="D224" s="2" t="s">
        <v>3000</v>
      </c>
    </row>
    <row r="225" spans="1:4" x14ac:dyDescent="0.25">
      <c r="A225" s="2" t="s">
        <v>5289</v>
      </c>
      <c r="B225" s="2" t="s">
        <v>3003</v>
      </c>
      <c r="C225" s="2" t="str">
        <f t="shared" si="3"/>
        <v>TX0004669_020</v>
      </c>
      <c r="D225" s="2" t="s">
        <v>3000</v>
      </c>
    </row>
    <row r="226" spans="1:4" x14ac:dyDescent="0.25">
      <c r="A226" s="2" t="s">
        <v>5290</v>
      </c>
      <c r="B226" s="2" t="s">
        <v>2921</v>
      </c>
      <c r="C226" s="2" t="str">
        <f t="shared" si="3"/>
        <v>TX0004685_001</v>
      </c>
      <c r="D226" s="2" t="s">
        <v>3004</v>
      </c>
    </row>
    <row r="227" spans="1:4" x14ac:dyDescent="0.25">
      <c r="A227" s="2" t="s">
        <v>5291</v>
      </c>
      <c r="B227" s="2" t="s">
        <v>2921</v>
      </c>
      <c r="C227" s="2" t="str">
        <f t="shared" si="3"/>
        <v>TX0004715_001</v>
      </c>
      <c r="D227" s="2" t="s">
        <v>3005</v>
      </c>
    </row>
    <row r="228" spans="1:4" x14ac:dyDescent="0.25">
      <c r="A228" s="2" t="s">
        <v>5291</v>
      </c>
      <c r="B228" s="2" t="s">
        <v>2924</v>
      </c>
      <c r="C228" s="2" t="str">
        <f t="shared" si="3"/>
        <v>TX0004715_003</v>
      </c>
      <c r="D228" s="2" t="s">
        <v>3005</v>
      </c>
    </row>
    <row r="229" spans="1:4" x14ac:dyDescent="0.25">
      <c r="A229" s="2" t="s">
        <v>5291</v>
      </c>
      <c r="B229" s="2" t="s">
        <v>2934</v>
      </c>
      <c r="C229" s="2" t="str">
        <f t="shared" si="3"/>
        <v>TX0004715_005</v>
      </c>
      <c r="D229" s="2" t="s">
        <v>3005</v>
      </c>
    </row>
    <row r="230" spans="1:4" x14ac:dyDescent="0.25">
      <c r="A230" s="2" t="s">
        <v>5291</v>
      </c>
      <c r="B230" s="2" t="s">
        <v>2940</v>
      </c>
      <c r="C230" s="2" t="str">
        <f t="shared" si="3"/>
        <v>TX0004715_006</v>
      </c>
      <c r="D230" s="2" t="s">
        <v>3005</v>
      </c>
    </row>
    <row r="231" spans="1:4" x14ac:dyDescent="0.25">
      <c r="A231" s="2" t="s">
        <v>5291</v>
      </c>
      <c r="B231" s="2" t="s">
        <v>2959</v>
      </c>
      <c r="C231" s="2" t="str">
        <f t="shared" si="3"/>
        <v>TX0004715_007</v>
      </c>
      <c r="D231" s="2" t="s">
        <v>3005</v>
      </c>
    </row>
    <row r="232" spans="1:4" x14ac:dyDescent="0.25">
      <c r="A232" s="2" t="s">
        <v>5291</v>
      </c>
      <c r="B232" s="2" t="s">
        <v>2946</v>
      </c>
      <c r="C232" s="2" t="str">
        <f t="shared" si="3"/>
        <v>TX0004715_008</v>
      </c>
      <c r="D232" s="2" t="s">
        <v>3005</v>
      </c>
    </row>
    <row r="233" spans="1:4" x14ac:dyDescent="0.25">
      <c r="A233" s="2" t="s">
        <v>5291</v>
      </c>
      <c r="B233" s="2" t="s">
        <v>2969</v>
      </c>
      <c r="C233" s="2" t="str">
        <f t="shared" si="3"/>
        <v>TX0004715_009</v>
      </c>
      <c r="D233" s="2" t="s">
        <v>3005</v>
      </c>
    </row>
    <row r="234" spans="1:4" x14ac:dyDescent="0.25">
      <c r="A234" s="2" t="s">
        <v>5291</v>
      </c>
      <c r="B234" s="2" t="s">
        <v>2947</v>
      </c>
      <c r="C234" s="2" t="str">
        <f t="shared" si="3"/>
        <v>TX0004715_010</v>
      </c>
      <c r="D234" s="2" t="s">
        <v>3005</v>
      </c>
    </row>
    <row r="235" spans="1:4" x14ac:dyDescent="0.25">
      <c r="A235" s="2" t="s">
        <v>5291</v>
      </c>
      <c r="B235" s="2" t="s">
        <v>2970</v>
      </c>
      <c r="C235" s="2" t="str">
        <f t="shared" si="3"/>
        <v>TX0004715_016</v>
      </c>
      <c r="D235" s="2" t="s">
        <v>3005</v>
      </c>
    </row>
    <row r="236" spans="1:4" x14ac:dyDescent="0.25">
      <c r="A236" s="2" t="s">
        <v>5291</v>
      </c>
      <c r="B236" s="2" t="s">
        <v>2942</v>
      </c>
      <c r="C236" s="2" t="str">
        <f t="shared" si="3"/>
        <v>TX0004715_013</v>
      </c>
      <c r="D236" s="2" t="s">
        <v>3005</v>
      </c>
    </row>
    <row r="237" spans="1:4" x14ac:dyDescent="0.25">
      <c r="A237" s="2" t="s">
        <v>5291</v>
      </c>
      <c r="B237" s="2" t="s">
        <v>2944</v>
      </c>
      <c r="C237" s="2" t="str">
        <f t="shared" si="3"/>
        <v>TX0004715_014</v>
      </c>
      <c r="D237" s="2" t="s">
        <v>3005</v>
      </c>
    </row>
    <row r="238" spans="1:4" x14ac:dyDescent="0.25">
      <c r="A238" s="2" t="s">
        <v>5291</v>
      </c>
      <c r="B238" s="2" t="s">
        <v>2945</v>
      </c>
      <c r="C238" s="2" t="str">
        <f t="shared" si="3"/>
        <v>TX0004715_015</v>
      </c>
      <c r="D238" s="2" t="s">
        <v>3005</v>
      </c>
    </row>
    <row r="239" spans="1:4" x14ac:dyDescent="0.25">
      <c r="A239" s="2" t="s">
        <v>5292</v>
      </c>
      <c r="B239" s="2" t="s">
        <v>2921</v>
      </c>
      <c r="C239" s="2" t="str">
        <f t="shared" si="3"/>
        <v>TX0004731_001</v>
      </c>
      <c r="D239" s="2" t="s">
        <v>3006</v>
      </c>
    </row>
    <row r="240" spans="1:4" x14ac:dyDescent="0.25">
      <c r="A240" s="2" t="s">
        <v>5292</v>
      </c>
      <c r="B240" s="2" t="s">
        <v>2924</v>
      </c>
      <c r="C240" s="2" t="str">
        <f t="shared" si="3"/>
        <v>TX0004731_003</v>
      </c>
      <c r="D240" s="2" t="s">
        <v>3006</v>
      </c>
    </row>
    <row r="241" spans="1:4" x14ac:dyDescent="0.25">
      <c r="A241" s="2" t="s">
        <v>5292</v>
      </c>
      <c r="B241" s="2" t="s">
        <v>2936</v>
      </c>
      <c r="C241" s="2" t="str">
        <f t="shared" si="3"/>
        <v>TX0004731_004</v>
      </c>
      <c r="D241" s="2" t="s">
        <v>3006</v>
      </c>
    </row>
    <row r="242" spans="1:4" x14ac:dyDescent="0.25">
      <c r="A242" s="2" t="s">
        <v>5293</v>
      </c>
      <c r="B242" s="2" t="s">
        <v>2921</v>
      </c>
      <c r="C242" s="2" t="str">
        <f t="shared" si="3"/>
        <v>TX0004766_001</v>
      </c>
      <c r="D242" s="2" t="s">
        <v>3007</v>
      </c>
    </row>
    <row r="243" spans="1:4" x14ac:dyDescent="0.25">
      <c r="A243" s="2" t="s">
        <v>5293</v>
      </c>
      <c r="B243" s="2" t="s">
        <v>2923</v>
      </c>
      <c r="C243" s="2" t="str">
        <f t="shared" si="3"/>
        <v>TX0004766_002</v>
      </c>
      <c r="D243" s="2" t="s">
        <v>3007</v>
      </c>
    </row>
    <row r="244" spans="1:4" x14ac:dyDescent="0.25">
      <c r="A244" s="2" t="s">
        <v>5293</v>
      </c>
      <c r="B244" s="2" t="s">
        <v>2924</v>
      </c>
      <c r="C244" s="2" t="str">
        <f t="shared" si="3"/>
        <v>TX0004766_003</v>
      </c>
      <c r="D244" s="2" t="s">
        <v>3007</v>
      </c>
    </row>
    <row r="245" spans="1:4" x14ac:dyDescent="0.25">
      <c r="A245" s="2" t="s">
        <v>5293</v>
      </c>
      <c r="B245" s="2" t="s">
        <v>2936</v>
      </c>
      <c r="C245" s="2" t="str">
        <f t="shared" si="3"/>
        <v>TX0004766_004</v>
      </c>
      <c r="D245" s="2" t="s">
        <v>3007</v>
      </c>
    </row>
    <row r="246" spans="1:4" x14ac:dyDescent="0.25">
      <c r="A246" s="2" t="s">
        <v>5293</v>
      </c>
      <c r="B246" s="2" t="s">
        <v>2934</v>
      </c>
      <c r="C246" s="2" t="str">
        <f t="shared" si="3"/>
        <v>TX0004766_005</v>
      </c>
      <c r="D246" s="2" t="s">
        <v>3008</v>
      </c>
    </row>
    <row r="247" spans="1:4" x14ac:dyDescent="0.25">
      <c r="A247" s="2" t="s">
        <v>5294</v>
      </c>
      <c r="B247" s="2" t="s">
        <v>2921</v>
      </c>
      <c r="C247" s="2" t="str">
        <f t="shared" si="3"/>
        <v>TX0004821_001</v>
      </c>
      <c r="D247" s="2" t="s">
        <v>3009</v>
      </c>
    </row>
    <row r="248" spans="1:4" x14ac:dyDescent="0.25">
      <c r="A248" s="2" t="s">
        <v>5294</v>
      </c>
      <c r="B248" s="2" t="s">
        <v>2923</v>
      </c>
      <c r="C248" s="2" t="str">
        <f t="shared" si="3"/>
        <v>TX0004821_002</v>
      </c>
      <c r="D248" s="2" t="s">
        <v>3009</v>
      </c>
    </row>
    <row r="249" spans="1:4" x14ac:dyDescent="0.25">
      <c r="A249" s="2" t="s">
        <v>5294</v>
      </c>
      <c r="B249" s="2" t="s">
        <v>2924</v>
      </c>
      <c r="C249" s="2" t="str">
        <f t="shared" si="3"/>
        <v>TX0004821_003</v>
      </c>
      <c r="D249" s="2" t="s">
        <v>3009</v>
      </c>
    </row>
    <row r="250" spans="1:4" x14ac:dyDescent="0.25">
      <c r="A250" s="2" t="s">
        <v>5294</v>
      </c>
      <c r="B250" s="2" t="s">
        <v>2936</v>
      </c>
      <c r="C250" s="2" t="str">
        <f t="shared" si="3"/>
        <v>TX0004821_004</v>
      </c>
      <c r="D250" s="2" t="s">
        <v>3009</v>
      </c>
    </row>
    <row r="251" spans="1:4" x14ac:dyDescent="0.25">
      <c r="A251" s="2" t="s">
        <v>5294</v>
      </c>
      <c r="B251" s="2" t="s">
        <v>2934</v>
      </c>
      <c r="C251" s="2" t="str">
        <f t="shared" si="3"/>
        <v>TX0004821_005</v>
      </c>
      <c r="D251" s="2" t="s">
        <v>3009</v>
      </c>
    </row>
    <row r="252" spans="1:4" x14ac:dyDescent="0.25">
      <c r="A252" s="2" t="s">
        <v>5295</v>
      </c>
      <c r="B252" s="2" t="s">
        <v>2921</v>
      </c>
      <c r="C252" s="2" t="str">
        <f t="shared" si="3"/>
        <v>TX0004839_001</v>
      </c>
      <c r="D252" s="2" t="s">
        <v>2995</v>
      </c>
    </row>
    <row r="253" spans="1:4" x14ac:dyDescent="0.25">
      <c r="A253" s="2" t="s">
        <v>5296</v>
      </c>
      <c r="B253" s="2" t="s">
        <v>2921</v>
      </c>
      <c r="C253" s="2" t="str">
        <f t="shared" si="3"/>
        <v>TX0004863_001</v>
      </c>
      <c r="D253" s="2" t="s">
        <v>3010</v>
      </c>
    </row>
    <row r="254" spans="1:4" x14ac:dyDescent="0.25">
      <c r="A254" s="2" t="s">
        <v>5296</v>
      </c>
      <c r="B254" s="2" t="s">
        <v>2923</v>
      </c>
      <c r="C254" s="2" t="str">
        <f t="shared" si="3"/>
        <v>TX0004863_002</v>
      </c>
      <c r="D254" s="2" t="s">
        <v>3010</v>
      </c>
    </row>
    <row r="255" spans="1:4" x14ac:dyDescent="0.25">
      <c r="A255" s="2" t="s">
        <v>5296</v>
      </c>
      <c r="B255" s="2" t="s">
        <v>2924</v>
      </c>
      <c r="C255" s="2" t="str">
        <f t="shared" si="3"/>
        <v>TX0004863_003</v>
      </c>
      <c r="D255" s="2" t="s">
        <v>3010</v>
      </c>
    </row>
    <row r="256" spans="1:4" x14ac:dyDescent="0.25">
      <c r="A256" s="2" t="s">
        <v>5296</v>
      </c>
      <c r="B256" s="2" t="s">
        <v>2936</v>
      </c>
      <c r="C256" s="2" t="str">
        <f t="shared" si="3"/>
        <v>TX0004863_004</v>
      </c>
      <c r="D256" s="2" t="s">
        <v>3010</v>
      </c>
    </row>
    <row r="257" spans="1:4" x14ac:dyDescent="0.25">
      <c r="A257" s="2" t="s">
        <v>5296</v>
      </c>
      <c r="B257" s="2" t="s">
        <v>2934</v>
      </c>
      <c r="C257" s="2" t="str">
        <f t="shared" si="3"/>
        <v>TX0004863_005</v>
      </c>
      <c r="D257" s="2" t="s">
        <v>3010</v>
      </c>
    </row>
    <row r="258" spans="1:4" x14ac:dyDescent="0.25">
      <c r="A258" s="2" t="s">
        <v>5297</v>
      </c>
      <c r="B258" s="2" t="s">
        <v>2921</v>
      </c>
      <c r="C258" s="2" t="str">
        <f t="shared" si="3"/>
        <v>TX0004871_001</v>
      </c>
      <c r="D258" s="2" t="s">
        <v>3011</v>
      </c>
    </row>
    <row r="259" spans="1:4" x14ac:dyDescent="0.25">
      <c r="A259" s="2" t="s">
        <v>5297</v>
      </c>
      <c r="B259" s="2" t="s">
        <v>2923</v>
      </c>
      <c r="C259" s="2" t="str">
        <f t="shared" ref="C259:C322" si="4">A259 &amp; "_" &amp; B259</f>
        <v>TX0004871_002</v>
      </c>
      <c r="D259" s="2" t="s">
        <v>3011</v>
      </c>
    </row>
    <row r="260" spans="1:4" x14ac:dyDescent="0.25">
      <c r="A260" s="2" t="s">
        <v>5297</v>
      </c>
      <c r="B260" s="2" t="s">
        <v>2924</v>
      </c>
      <c r="C260" s="2" t="str">
        <f t="shared" si="4"/>
        <v>TX0004871_003</v>
      </c>
      <c r="D260" s="2" t="s">
        <v>3011</v>
      </c>
    </row>
    <row r="261" spans="1:4" x14ac:dyDescent="0.25">
      <c r="A261" s="2" t="s">
        <v>5297</v>
      </c>
      <c r="B261" s="2" t="s">
        <v>2936</v>
      </c>
      <c r="C261" s="2" t="str">
        <f t="shared" si="4"/>
        <v>TX0004871_004</v>
      </c>
      <c r="D261" s="2" t="s">
        <v>3011</v>
      </c>
    </row>
    <row r="262" spans="1:4" x14ac:dyDescent="0.25">
      <c r="A262" s="2" t="s">
        <v>5297</v>
      </c>
      <c r="B262" s="2" t="s">
        <v>2940</v>
      </c>
      <c r="C262" s="2" t="str">
        <f t="shared" si="4"/>
        <v>TX0004871_006</v>
      </c>
      <c r="D262" s="2" t="s">
        <v>3011</v>
      </c>
    </row>
    <row r="263" spans="1:4" x14ac:dyDescent="0.25">
      <c r="A263" s="2" t="s">
        <v>5297</v>
      </c>
      <c r="B263" s="2" t="s">
        <v>2959</v>
      </c>
      <c r="C263" s="2" t="str">
        <f t="shared" si="4"/>
        <v>TX0004871_007</v>
      </c>
      <c r="D263" s="2" t="s">
        <v>3011</v>
      </c>
    </row>
    <row r="264" spans="1:4" x14ac:dyDescent="0.25">
      <c r="A264" s="2" t="s">
        <v>5297</v>
      </c>
      <c r="B264" s="2" t="s">
        <v>2946</v>
      </c>
      <c r="C264" s="2" t="str">
        <f t="shared" si="4"/>
        <v>TX0004871_008</v>
      </c>
      <c r="D264" s="2" t="s">
        <v>3011</v>
      </c>
    </row>
    <row r="265" spans="1:4" x14ac:dyDescent="0.25">
      <c r="A265" s="2" t="s">
        <v>5297</v>
      </c>
      <c r="B265" s="2" t="s">
        <v>2969</v>
      </c>
      <c r="C265" s="2" t="str">
        <f t="shared" si="4"/>
        <v>TX0004871_009</v>
      </c>
      <c r="D265" s="2" t="s">
        <v>3011</v>
      </c>
    </row>
    <row r="266" spans="1:4" x14ac:dyDescent="0.25">
      <c r="A266" s="2" t="s">
        <v>5297</v>
      </c>
      <c r="B266" s="2" t="s">
        <v>2947</v>
      </c>
      <c r="C266" s="2" t="str">
        <f t="shared" si="4"/>
        <v>TX0004871_010</v>
      </c>
      <c r="D266" s="2" t="s">
        <v>3011</v>
      </c>
    </row>
    <row r="267" spans="1:4" x14ac:dyDescent="0.25">
      <c r="A267" s="2" t="s">
        <v>5298</v>
      </c>
      <c r="B267" s="2" t="s">
        <v>2923</v>
      </c>
      <c r="C267" s="2" t="str">
        <f t="shared" si="4"/>
        <v>TX0004944_002</v>
      </c>
      <c r="D267" s="2" t="s">
        <v>3012</v>
      </c>
    </row>
    <row r="268" spans="1:4" x14ac:dyDescent="0.25">
      <c r="A268" s="2" t="s">
        <v>5298</v>
      </c>
      <c r="B268" s="2" t="s">
        <v>2924</v>
      </c>
      <c r="C268" s="2" t="str">
        <f t="shared" si="4"/>
        <v>TX0004944_003</v>
      </c>
      <c r="D268" s="2" t="s">
        <v>3012</v>
      </c>
    </row>
    <row r="269" spans="1:4" x14ac:dyDescent="0.25">
      <c r="A269" s="2" t="s">
        <v>5298</v>
      </c>
      <c r="B269" s="2" t="s">
        <v>2936</v>
      </c>
      <c r="C269" s="2" t="str">
        <f t="shared" si="4"/>
        <v>TX0004944_004</v>
      </c>
      <c r="D269" s="2" t="s">
        <v>3012</v>
      </c>
    </row>
    <row r="270" spans="1:4" x14ac:dyDescent="0.25">
      <c r="A270" s="2" t="s">
        <v>5298</v>
      </c>
      <c r="B270" s="2" t="s">
        <v>2921</v>
      </c>
      <c r="C270" s="2" t="str">
        <f t="shared" si="4"/>
        <v>TX0004944_001</v>
      </c>
      <c r="D270" s="2" t="s">
        <v>3012</v>
      </c>
    </row>
    <row r="271" spans="1:4" x14ac:dyDescent="0.25">
      <c r="A271" s="2" t="s">
        <v>5299</v>
      </c>
      <c r="B271" s="2" t="s">
        <v>2934</v>
      </c>
      <c r="C271" s="2" t="str">
        <f t="shared" si="4"/>
        <v>TX0004961_005</v>
      </c>
      <c r="D271" s="2" t="s">
        <v>3013</v>
      </c>
    </row>
    <row r="272" spans="1:4" x14ac:dyDescent="0.25">
      <c r="A272" s="2" t="s">
        <v>5299</v>
      </c>
      <c r="B272" s="2" t="s">
        <v>2940</v>
      </c>
      <c r="C272" s="2" t="str">
        <f t="shared" si="4"/>
        <v>TX0004961_006</v>
      </c>
      <c r="D272" s="2" t="s">
        <v>3013</v>
      </c>
    </row>
    <row r="273" spans="1:4" x14ac:dyDescent="0.25">
      <c r="A273" s="2" t="s">
        <v>5299</v>
      </c>
      <c r="B273" s="2" t="s">
        <v>2959</v>
      </c>
      <c r="C273" s="2" t="str">
        <f t="shared" si="4"/>
        <v>TX0004961_007</v>
      </c>
      <c r="D273" s="2" t="s">
        <v>3013</v>
      </c>
    </row>
    <row r="274" spans="1:4" x14ac:dyDescent="0.25">
      <c r="A274" s="2" t="s">
        <v>5299</v>
      </c>
      <c r="B274" s="2" t="s">
        <v>3014</v>
      </c>
      <c r="C274" s="2" t="str">
        <f t="shared" si="4"/>
        <v>TX0004961_004B</v>
      </c>
      <c r="D274" s="2" t="s">
        <v>3013</v>
      </c>
    </row>
    <row r="275" spans="1:4" x14ac:dyDescent="0.25">
      <c r="A275" s="2" t="s">
        <v>5299</v>
      </c>
      <c r="B275" s="2" t="s">
        <v>2921</v>
      </c>
      <c r="C275" s="2" t="str">
        <f t="shared" si="4"/>
        <v>TX0004961_001</v>
      </c>
      <c r="D275" s="2" t="s">
        <v>3013</v>
      </c>
    </row>
    <row r="276" spans="1:4" x14ac:dyDescent="0.25">
      <c r="A276" s="2" t="s">
        <v>5299</v>
      </c>
      <c r="B276" s="2" t="s">
        <v>2923</v>
      </c>
      <c r="C276" s="2" t="str">
        <f t="shared" si="4"/>
        <v>TX0004961_002</v>
      </c>
      <c r="D276" s="2" t="s">
        <v>3013</v>
      </c>
    </row>
    <row r="277" spans="1:4" x14ac:dyDescent="0.25">
      <c r="A277" s="2" t="s">
        <v>5299</v>
      </c>
      <c r="B277" s="2" t="s">
        <v>2924</v>
      </c>
      <c r="C277" s="2" t="str">
        <f t="shared" si="4"/>
        <v>TX0004961_003</v>
      </c>
      <c r="D277" s="2" t="s">
        <v>3013</v>
      </c>
    </row>
    <row r="278" spans="1:4" x14ac:dyDescent="0.25">
      <c r="A278" s="2" t="s">
        <v>5299</v>
      </c>
      <c r="B278" s="2" t="s">
        <v>3015</v>
      </c>
      <c r="C278" s="2" t="str">
        <f t="shared" si="4"/>
        <v>TX0004961_004A</v>
      </c>
      <c r="D278" s="2" t="s">
        <v>3013</v>
      </c>
    </row>
    <row r="279" spans="1:4" x14ac:dyDescent="0.25">
      <c r="A279" s="2" t="s">
        <v>5299</v>
      </c>
      <c r="B279" s="2" t="s">
        <v>2946</v>
      </c>
      <c r="C279" s="2" t="str">
        <f t="shared" si="4"/>
        <v>TX0004961_008</v>
      </c>
      <c r="D279" s="2" t="s">
        <v>3013</v>
      </c>
    </row>
    <row r="280" spans="1:4" x14ac:dyDescent="0.25">
      <c r="A280" s="2" t="s">
        <v>5299</v>
      </c>
      <c r="B280" s="2" t="s">
        <v>3016</v>
      </c>
      <c r="C280" s="2" t="str">
        <f t="shared" si="4"/>
        <v>TX0004961_008A</v>
      </c>
      <c r="D280" s="2" t="s">
        <v>3013</v>
      </c>
    </row>
    <row r="281" spans="1:4" x14ac:dyDescent="0.25">
      <c r="A281" s="2" t="s">
        <v>5299</v>
      </c>
      <c r="B281" s="2" t="s">
        <v>3017</v>
      </c>
      <c r="C281" s="2" t="str">
        <f t="shared" si="4"/>
        <v>TX0004961_008B</v>
      </c>
      <c r="D281" s="2" t="s">
        <v>3013</v>
      </c>
    </row>
    <row r="282" spans="1:4" x14ac:dyDescent="0.25">
      <c r="A282" s="2" t="s">
        <v>5299</v>
      </c>
      <c r="B282" s="2" t="s">
        <v>3018</v>
      </c>
      <c r="C282" s="2" t="str">
        <f t="shared" si="4"/>
        <v>TX0004961_007A</v>
      </c>
      <c r="D282" s="2" t="s">
        <v>3013</v>
      </c>
    </row>
    <row r="283" spans="1:4" x14ac:dyDescent="0.25">
      <c r="A283" s="2" t="s">
        <v>5300</v>
      </c>
      <c r="B283" s="2" t="s">
        <v>2924</v>
      </c>
      <c r="C283" s="2" t="str">
        <f t="shared" si="4"/>
        <v>TX0005061_003</v>
      </c>
      <c r="D283" s="2" t="s">
        <v>2988</v>
      </c>
    </row>
    <row r="284" spans="1:4" x14ac:dyDescent="0.25">
      <c r="A284" s="2" t="s">
        <v>5300</v>
      </c>
      <c r="B284" s="2" t="s">
        <v>2921</v>
      </c>
      <c r="C284" s="2" t="str">
        <f t="shared" si="4"/>
        <v>TX0005061_001</v>
      </c>
      <c r="D284" s="2" t="s">
        <v>2988</v>
      </c>
    </row>
    <row r="285" spans="1:4" x14ac:dyDescent="0.25">
      <c r="A285" s="2" t="s">
        <v>5301</v>
      </c>
      <c r="B285" s="2" t="s">
        <v>2921</v>
      </c>
      <c r="C285" s="2" t="str">
        <f t="shared" si="4"/>
        <v>TX0005070_001</v>
      </c>
      <c r="D285" s="2" t="s">
        <v>3019</v>
      </c>
    </row>
    <row r="286" spans="1:4" x14ac:dyDescent="0.25">
      <c r="A286" s="2" t="s">
        <v>5301</v>
      </c>
      <c r="B286" s="2" t="s">
        <v>2923</v>
      </c>
      <c r="C286" s="2" t="str">
        <f t="shared" si="4"/>
        <v>TX0005070_002</v>
      </c>
      <c r="D286" s="2" t="s">
        <v>3019</v>
      </c>
    </row>
    <row r="287" spans="1:4" x14ac:dyDescent="0.25">
      <c r="A287" s="2" t="s">
        <v>5301</v>
      </c>
      <c r="B287" s="2" t="s">
        <v>2936</v>
      </c>
      <c r="C287" s="2" t="str">
        <f t="shared" si="4"/>
        <v>TX0005070_004</v>
      </c>
      <c r="D287" s="2" t="s">
        <v>3019</v>
      </c>
    </row>
    <row r="288" spans="1:4" x14ac:dyDescent="0.25">
      <c r="A288" s="2" t="s">
        <v>5301</v>
      </c>
      <c r="B288" s="2" t="s">
        <v>2940</v>
      </c>
      <c r="C288" s="2" t="str">
        <f t="shared" si="4"/>
        <v>TX0005070_006</v>
      </c>
      <c r="D288" s="2" t="s">
        <v>3019</v>
      </c>
    </row>
    <row r="289" spans="1:4" x14ac:dyDescent="0.25">
      <c r="A289" s="2" t="s">
        <v>5301</v>
      </c>
      <c r="B289" s="2" t="s">
        <v>2959</v>
      </c>
      <c r="C289" s="2" t="str">
        <f t="shared" si="4"/>
        <v>TX0005070_007</v>
      </c>
      <c r="D289" s="2" t="s">
        <v>3019</v>
      </c>
    </row>
    <row r="290" spans="1:4" x14ac:dyDescent="0.25">
      <c r="A290" s="2" t="s">
        <v>5301</v>
      </c>
      <c r="B290" s="2" t="s">
        <v>2946</v>
      </c>
      <c r="C290" s="2" t="str">
        <f t="shared" si="4"/>
        <v>TX0005070_008</v>
      </c>
      <c r="D290" s="2" t="s">
        <v>3019</v>
      </c>
    </row>
    <row r="291" spans="1:4" x14ac:dyDescent="0.25">
      <c r="A291" s="2" t="s">
        <v>5301</v>
      </c>
      <c r="B291" s="2" t="s">
        <v>2969</v>
      </c>
      <c r="C291" s="2" t="str">
        <f t="shared" si="4"/>
        <v>TX0005070_009</v>
      </c>
      <c r="D291" s="2" t="s">
        <v>3019</v>
      </c>
    </row>
    <row r="292" spans="1:4" x14ac:dyDescent="0.25">
      <c r="A292" s="2" t="s">
        <v>5301</v>
      </c>
      <c r="B292" s="2" t="s">
        <v>2947</v>
      </c>
      <c r="C292" s="2" t="str">
        <f t="shared" si="4"/>
        <v>TX0005070_010</v>
      </c>
      <c r="D292" s="2" t="s">
        <v>3019</v>
      </c>
    </row>
    <row r="293" spans="1:4" x14ac:dyDescent="0.25">
      <c r="A293" s="2" t="s">
        <v>5301</v>
      </c>
      <c r="B293" s="2" t="s">
        <v>2949</v>
      </c>
      <c r="C293" s="2" t="str">
        <f t="shared" si="4"/>
        <v>TX0005070_012</v>
      </c>
      <c r="D293" s="2" t="s">
        <v>3019</v>
      </c>
    </row>
    <row r="294" spans="1:4" x14ac:dyDescent="0.25">
      <c r="A294" s="2" t="s">
        <v>5302</v>
      </c>
      <c r="B294" s="2" t="s">
        <v>2921</v>
      </c>
      <c r="C294" s="2" t="str">
        <f t="shared" si="4"/>
        <v>TX0005118_001</v>
      </c>
      <c r="D294" s="2" t="s">
        <v>3020</v>
      </c>
    </row>
    <row r="295" spans="1:4" x14ac:dyDescent="0.25">
      <c r="A295" s="2" t="s">
        <v>5303</v>
      </c>
      <c r="B295" s="2" t="s">
        <v>2921</v>
      </c>
      <c r="C295" s="2" t="str">
        <f t="shared" si="4"/>
        <v>TX0005380_001</v>
      </c>
      <c r="D295" s="2" t="s">
        <v>3021</v>
      </c>
    </row>
    <row r="296" spans="1:4" x14ac:dyDescent="0.25">
      <c r="A296" s="2" t="s">
        <v>5304</v>
      </c>
      <c r="B296" s="2" t="s">
        <v>2921</v>
      </c>
      <c r="C296" s="2" t="str">
        <f t="shared" si="4"/>
        <v>TX0005479_001</v>
      </c>
      <c r="D296" s="2" t="s">
        <v>3022</v>
      </c>
    </row>
    <row r="297" spans="1:4" x14ac:dyDescent="0.25">
      <c r="A297" s="2" t="s">
        <v>5305</v>
      </c>
      <c r="B297" s="2" t="s">
        <v>2921</v>
      </c>
      <c r="C297" s="2" t="str">
        <f t="shared" si="4"/>
        <v>TX0005576_001</v>
      </c>
      <c r="D297" s="2" t="s">
        <v>3023</v>
      </c>
    </row>
    <row r="298" spans="1:4" x14ac:dyDescent="0.25">
      <c r="A298" s="2" t="s">
        <v>5306</v>
      </c>
      <c r="B298" s="2" t="s">
        <v>2921</v>
      </c>
      <c r="C298" s="2" t="str">
        <f t="shared" si="4"/>
        <v>TX0005584_001</v>
      </c>
      <c r="D298" s="2" t="s">
        <v>3024</v>
      </c>
    </row>
    <row r="299" spans="1:4" x14ac:dyDescent="0.25">
      <c r="A299" s="2" t="s">
        <v>5306</v>
      </c>
      <c r="B299" s="2" t="s">
        <v>2923</v>
      </c>
      <c r="C299" s="2" t="str">
        <f t="shared" si="4"/>
        <v>TX0005584_002</v>
      </c>
      <c r="D299" s="2" t="s">
        <v>3024</v>
      </c>
    </row>
    <row r="300" spans="1:4" x14ac:dyDescent="0.25">
      <c r="A300" s="2" t="s">
        <v>5306</v>
      </c>
      <c r="B300" s="2" t="s">
        <v>2924</v>
      </c>
      <c r="C300" s="2" t="str">
        <f t="shared" si="4"/>
        <v>TX0005584_003</v>
      </c>
      <c r="D300" s="2" t="s">
        <v>3024</v>
      </c>
    </row>
    <row r="301" spans="1:4" x14ac:dyDescent="0.25">
      <c r="A301" s="2" t="s">
        <v>5306</v>
      </c>
      <c r="B301" s="2" t="s">
        <v>2936</v>
      </c>
      <c r="C301" s="2" t="str">
        <f t="shared" si="4"/>
        <v>TX0005584_004</v>
      </c>
      <c r="D301" s="2" t="s">
        <v>3024</v>
      </c>
    </row>
    <row r="302" spans="1:4" x14ac:dyDescent="0.25">
      <c r="A302" s="2" t="s">
        <v>5306</v>
      </c>
      <c r="B302" s="2" t="s">
        <v>2934</v>
      </c>
      <c r="C302" s="2" t="str">
        <f t="shared" si="4"/>
        <v>TX0005584_005</v>
      </c>
      <c r="D302" s="2" t="s">
        <v>3024</v>
      </c>
    </row>
    <row r="303" spans="1:4" x14ac:dyDescent="0.25">
      <c r="A303" s="2" t="s">
        <v>5307</v>
      </c>
      <c r="B303" s="2" t="s">
        <v>2921</v>
      </c>
      <c r="C303" s="2" t="str">
        <f t="shared" si="4"/>
        <v>TX0005592_001</v>
      </c>
      <c r="D303" s="2" t="s">
        <v>3025</v>
      </c>
    </row>
    <row r="304" spans="1:4" x14ac:dyDescent="0.25">
      <c r="A304" s="2" t="s">
        <v>5307</v>
      </c>
      <c r="B304" s="2" t="s">
        <v>2923</v>
      </c>
      <c r="C304" s="2" t="str">
        <f t="shared" si="4"/>
        <v>TX0005592_002</v>
      </c>
      <c r="D304" s="2" t="s">
        <v>3025</v>
      </c>
    </row>
    <row r="305" spans="1:4" x14ac:dyDescent="0.25">
      <c r="A305" s="2" t="s">
        <v>5308</v>
      </c>
      <c r="B305" s="2" t="s">
        <v>2921</v>
      </c>
      <c r="C305" s="2" t="str">
        <f t="shared" si="4"/>
        <v>TX0005746_001</v>
      </c>
      <c r="D305" s="2" t="s">
        <v>3026</v>
      </c>
    </row>
    <row r="306" spans="1:4" x14ac:dyDescent="0.25">
      <c r="A306" s="2" t="s">
        <v>5309</v>
      </c>
      <c r="B306" s="2" t="s">
        <v>2940</v>
      </c>
      <c r="C306" s="2" t="str">
        <f t="shared" si="4"/>
        <v>TX0005754_006</v>
      </c>
      <c r="D306" s="2" t="s">
        <v>3027</v>
      </c>
    </row>
    <row r="307" spans="1:4" x14ac:dyDescent="0.25">
      <c r="A307" s="2" t="s">
        <v>5309</v>
      </c>
      <c r="B307" s="2" t="s">
        <v>2921</v>
      </c>
      <c r="C307" s="2" t="str">
        <f t="shared" si="4"/>
        <v>TX0005754_001</v>
      </c>
      <c r="D307" s="2" t="s">
        <v>3027</v>
      </c>
    </row>
    <row r="308" spans="1:4" x14ac:dyDescent="0.25">
      <c r="A308" s="2" t="s">
        <v>5309</v>
      </c>
      <c r="B308" s="2" t="s">
        <v>2936</v>
      </c>
      <c r="C308" s="2" t="str">
        <f t="shared" si="4"/>
        <v>TX0005754_004</v>
      </c>
      <c r="D308" s="2" t="s">
        <v>3027</v>
      </c>
    </row>
    <row r="309" spans="1:4" x14ac:dyDescent="0.25">
      <c r="A309" s="2" t="s">
        <v>5309</v>
      </c>
      <c r="B309" s="2" t="s">
        <v>2934</v>
      </c>
      <c r="C309" s="2" t="str">
        <f t="shared" si="4"/>
        <v>TX0005754_005</v>
      </c>
      <c r="D309" s="2" t="s">
        <v>3027</v>
      </c>
    </row>
    <row r="310" spans="1:4" x14ac:dyDescent="0.25">
      <c r="A310" s="2" t="s">
        <v>5310</v>
      </c>
      <c r="B310" s="2" t="s">
        <v>2923</v>
      </c>
      <c r="C310" s="2" t="str">
        <f t="shared" si="4"/>
        <v>TX0005762_002</v>
      </c>
      <c r="D310" s="2" t="s">
        <v>3028</v>
      </c>
    </row>
    <row r="311" spans="1:4" x14ac:dyDescent="0.25">
      <c r="A311" s="2" t="s">
        <v>5310</v>
      </c>
      <c r="B311" s="2" t="s">
        <v>2924</v>
      </c>
      <c r="C311" s="2" t="str">
        <f t="shared" si="4"/>
        <v>TX0005762_003</v>
      </c>
      <c r="D311" s="2" t="s">
        <v>3028</v>
      </c>
    </row>
    <row r="312" spans="1:4" x14ac:dyDescent="0.25">
      <c r="A312" s="2" t="s">
        <v>5311</v>
      </c>
      <c r="B312" s="2" t="s">
        <v>2948</v>
      </c>
      <c r="C312" s="2" t="str">
        <f t="shared" si="4"/>
        <v>TX0005835_011</v>
      </c>
      <c r="D312" s="2" t="s">
        <v>3029</v>
      </c>
    </row>
    <row r="313" spans="1:4" x14ac:dyDescent="0.25">
      <c r="A313" s="2" t="s">
        <v>5311</v>
      </c>
      <c r="B313" s="2" t="s">
        <v>2921</v>
      </c>
      <c r="C313" s="2" t="str">
        <f t="shared" si="4"/>
        <v>TX0005835_001</v>
      </c>
      <c r="D313" s="2" t="s">
        <v>3029</v>
      </c>
    </row>
    <row r="314" spans="1:4" x14ac:dyDescent="0.25">
      <c r="A314" s="2" t="s">
        <v>5311</v>
      </c>
      <c r="B314" s="2" t="s">
        <v>2936</v>
      </c>
      <c r="C314" s="2" t="str">
        <f t="shared" si="4"/>
        <v>TX0005835_004</v>
      </c>
      <c r="D314" s="2" t="s">
        <v>3029</v>
      </c>
    </row>
    <row r="315" spans="1:4" x14ac:dyDescent="0.25">
      <c r="A315" s="2" t="s">
        <v>5311</v>
      </c>
      <c r="B315" s="2" t="s">
        <v>2934</v>
      </c>
      <c r="C315" s="2" t="str">
        <f t="shared" si="4"/>
        <v>TX0005835_005</v>
      </c>
      <c r="D315" s="2" t="s">
        <v>3029</v>
      </c>
    </row>
    <row r="316" spans="1:4" x14ac:dyDescent="0.25">
      <c r="A316" s="2" t="s">
        <v>5311</v>
      </c>
      <c r="B316" s="2" t="s">
        <v>2923</v>
      </c>
      <c r="C316" s="2" t="str">
        <f t="shared" si="4"/>
        <v>TX0005835_002</v>
      </c>
      <c r="D316" s="2" t="s">
        <v>3029</v>
      </c>
    </row>
    <row r="317" spans="1:4" x14ac:dyDescent="0.25">
      <c r="A317" s="2" t="s">
        <v>5311</v>
      </c>
      <c r="B317" s="2" t="s">
        <v>2924</v>
      </c>
      <c r="C317" s="2" t="str">
        <f t="shared" si="4"/>
        <v>TX0005835_003</v>
      </c>
      <c r="D317" s="2" t="s">
        <v>3029</v>
      </c>
    </row>
    <row r="318" spans="1:4" x14ac:dyDescent="0.25">
      <c r="A318" s="2" t="s">
        <v>5312</v>
      </c>
      <c r="B318" s="2" t="s">
        <v>2921</v>
      </c>
      <c r="C318" s="2" t="str">
        <f t="shared" si="4"/>
        <v>TX0005860_001</v>
      </c>
      <c r="D318" s="2" t="s">
        <v>3030</v>
      </c>
    </row>
    <row r="319" spans="1:4" x14ac:dyDescent="0.25">
      <c r="A319" s="2" t="s">
        <v>5312</v>
      </c>
      <c r="B319" s="2" t="s">
        <v>2923</v>
      </c>
      <c r="C319" s="2" t="str">
        <f t="shared" si="4"/>
        <v>TX0005860_002</v>
      </c>
      <c r="D319" s="2" t="s">
        <v>3030</v>
      </c>
    </row>
    <row r="320" spans="1:4" x14ac:dyDescent="0.25">
      <c r="A320" s="2" t="s">
        <v>5313</v>
      </c>
      <c r="B320" s="2" t="s">
        <v>2924</v>
      </c>
      <c r="C320" s="2" t="str">
        <f t="shared" si="4"/>
        <v>TX0005941_003</v>
      </c>
      <c r="D320" s="2" t="s">
        <v>3031</v>
      </c>
    </row>
    <row r="321" spans="1:4" x14ac:dyDescent="0.25">
      <c r="A321" s="2" t="s">
        <v>5313</v>
      </c>
      <c r="B321" s="2" t="s">
        <v>2936</v>
      </c>
      <c r="C321" s="2" t="str">
        <f t="shared" si="4"/>
        <v>TX0005941_004</v>
      </c>
      <c r="D321" s="2" t="s">
        <v>3031</v>
      </c>
    </row>
    <row r="322" spans="1:4" x14ac:dyDescent="0.25">
      <c r="A322" s="2" t="s">
        <v>5313</v>
      </c>
      <c r="B322" s="2" t="s">
        <v>2923</v>
      </c>
      <c r="C322" s="2" t="str">
        <f t="shared" si="4"/>
        <v>TX0005941_002</v>
      </c>
      <c r="D322" s="2" t="s">
        <v>3031</v>
      </c>
    </row>
    <row r="323" spans="1:4" x14ac:dyDescent="0.25">
      <c r="A323" s="2" t="s">
        <v>5314</v>
      </c>
      <c r="B323" s="2" t="s">
        <v>2934</v>
      </c>
      <c r="C323" s="2" t="str">
        <f t="shared" ref="C323:C386" si="5">A323 &amp; "_" &amp; B323</f>
        <v>TX0005991_005</v>
      </c>
      <c r="D323" s="2" t="s">
        <v>3032</v>
      </c>
    </row>
    <row r="324" spans="1:4" x14ac:dyDescent="0.25">
      <c r="A324" s="2" t="s">
        <v>5314</v>
      </c>
      <c r="B324" s="2" t="s">
        <v>2921</v>
      </c>
      <c r="C324" s="2" t="str">
        <f t="shared" si="5"/>
        <v>TX0005991_001</v>
      </c>
      <c r="D324" s="2" t="s">
        <v>3032</v>
      </c>
    </row>
    <row r="325" spans="1:4" x14ac:dyDescent="0.25">
      <c r="A325" s="2" t="s">
        <v>5314</v>
      </c>
      <c r="B325" s="2" t="s">
        <v>2936</v>
      </c>
      <c r="C325" s="2" t="str">
        <f t="shared" si="5"/>
        <v>TX0005991_004</v>
      </c>
      <c r="D325" s="2" t="s">
        <v>3032</v>
      </c>
    </row>
    <row r="326" spans="1:4" x14ac:dyDescent="0.25">
      <c r="A326" s="2" t="s">
        <v>5314</v>
      </c>
      <c r="B326" s="2" t="s">
        <v>2934</v>
      </c>
      <c r="C326" s="2" t="str">
        <f t="shared" si="5"/>
        <v>TX0005991_005</v>
      </c>
      <c r="D326" s="2" t="s">
        <v>3032</v>
      </c>
    </row>
    <row r="327" spans="1:4" x14ac:dyDescent="0.25">
      <c r="A327" s="2" t="s">
        <v>5314</v>
      </c>
      <c r="B327" s="2" t="s">
        <v>2946</v>
      </c>
      <c r="C327" s="2" t="str">
        <f t="shared" si="5"/>
        <v>TX0005991_008</v>
      </c>
      <c r="D327" s="2" t="s">
        <v>3032</v>
      </c>
    </row>
    <row r="328" spans="1:4" x14ac:dyDescent="0.25">
      <c r="A328" s="2" t="s">
        <v>5314</v>
      </c>
      <c r="B328" s="2" t="s">
        <v>2934</v>
      </c>
      <c r="C328" s="2" t="str">
        <f t="shared" si="5"/>
        <v>TX0005991_005</v>
      </c>
      <c r="D328" s="2" t="s">
        <v>3032</v>
      </c>
    </row>
    <row r="329" spans="1:4" x14ac:dyDescent="0.25">
      <c r="A329" s="2" t="s">
        <v>5314</v>
      </c>
      <c r="B329" s="2" t="s">
        <v>2940</v>
      </c>
      <c r="C329" s="2" t="str">
        <f t="shared" si="5"/>
        <v>TX0005991_006</v>
      </c>
      <c r="D329" s="2" t="s">
        <v>3032</v>
      </c>
    </row>
    <row r="330" spans="1:4" x14ac:dyDescent="0.25">
      <c r="A330" s="2" t="s">
        <v>5314</v>
      </c>
      <c r="B330" s="2" t="s">
        <v>2947</v>
      </c>
      <c r="C330" s="2" t="str">
        <f t="shared" si="5"/>
        <v>TX0005991_010</v>
      </c>
      <c r="D330" s="2" t="s">
        <v>3032</v>
      </c>
    </row>
    <row r="331" spans="1:4" x14ac:dyDescent="0.25">
      <c r="A331" s="2" t="s">
        <v>5314</v>
      </c>
      <c r="B331" s="2" t="s">
        <v>2948</v>
      </c>
      <c r="C331" s="2" t="str">
        <f t="shared" si="5"/>
        <v>TX0005991_011</v>
      </c>
      <c r="D331" s="2" t="s">
        <v>3032</v>
      </c>
    </row>
    <row r="332" spans="1:4" x14ac:dyDescent="0.25">
      <c r="A332" s="2" t="s">
        <v>5314</v>
      </c>
      <c r="B332" s="2" t="s">
        <v>2949</v>
      </c>
      <c r="C332" s="2" t="str">
        <f t="shared" si="5"/>
        <v>TX0005991_012</v>
      </c>
      <c r="D332" s="2" t="s">
        <v>3032</v>
      </c>
    </row>
    <row r="333" spans="1:4" x14ac:dyDescent="0.25">
      <c r="A333" s="2" t="s">
        <v>5314</v>
      </c>
      <c r="B333" s="2" t="s">
        <v>2942</v>
      </c>
      <c r="C333" s="2" t="str">
        <f t="shared" si="5"/>
        <v>TX0005991_013</v>
      </c>
      <c r="D333" s="2" t="s">
        <v>3032</v>
      </c>
    </row>
    <row r="334" spans="1:4" x14ac:dyDescent="0.25">
      <c r="A334" s="2" t="s">
        <v>5314</v>
      </c>
      <c r="B334" s="2" t="s">
        <v>2944</v>
      </c>
      <c r="C334" s="2" t="str">
        <f t="shared" si="5"/>
        <v>TX0005991_014</v>
      </c>
      <c r="D334" s="2" t="s">
        <v>3032</v>
      </c>
    </row>
    <row r="335" spans="1:4" x14ac:dyDescent="0.25">
      <c r="A335" s="2" t="s">
        <v>5315</v>
      </c>
      <c r="B335" s="2" t="s">
        <v>2959</v>
      </c>
      <c r="C335" s="2" t="str">
        <f t="shared" si="5"/>
        <v>TX0006009_007</v>
      </c>
      <c r="D335" s="2" t="s">
        <v>2975</v>
      </c>
    </row>
    <row r="336" spans="1:4" x14ac:dyDescent="0.25">
      <c r="A336" s="2" t="s">
        <v>5315</v>
      </c>
      <c r="B336" s="2" t="s">
        <v>2923</v>
      </c>
      <c r="C336" s="2" t="str">
        <f t="shared" si="5"/>
        <v>TX0006009_002</v>
      </c>
      <c r="D336" s="2" t="s">
        <v>2975</v>
      </c>
    </row>
    <row r="337" spans="1:4" x14ac:dyDescent="0.25">
      <c r="A337" s="2" t="s">
        <v>5315</v>
      </c>
      <c r="B337" s="2" t="s">
        <v>2936</v>
      </c>
      <c r="C337" s="2" t="str">
        <f t="shared" si="5"/>
        <v>TX0006009_004</v>
      </c>
      <c r="D337" s="2" t="s">
        <v>2975</v>
      </c>
    </row>
    <row r="338" spans="1:4" x14ac:dyDescent="0.25">
      <c r="A338" s="2" t="s">
        <v>5315</v>
      </c>
      <c r="B338" s="2" t="s">
        <v>2934</v>
      </c>
      <c r="C338" s="2" t="str">
        <f t="shared" si="5"/>
        <v>TX0006009_005</v>
      </c>
      <c r="D338" s="2" t="s">
        <v>2975</v>
      </c>
    </row>
    <row r="339" spans="1:4" x14ac:dyDescent="0.25">
      <c r="A339" s="2" t="s">
        <v>5315</v>
      </c>
      <c r="B339" s="2" t="s">
        <v>2940</v>
      </c>
      <c r="C339" s="2" t="str">
        <f t="shared" si="5"/>
        <v>TX0006009_006</v>
      </c>
      <c r="D339" s="2" t="s">
        <v>2975</v>
      </c>
    </row>
    <row r="340" spans="1:4" x14ac:dyDescent="0.25">
      <c r="A340" s="2" t="s">
        <v>5315</v>
      </c>
      <c r="B340" s="2" t="s">
        <v>2969</v>
      </c>
      <c r="C340" s="2" t="str">
        <f t="shared" si="5"/>
        <v>TX0006009_009</v>
      </c>
      <c r="D340" s="2" t="s">
        <v>2975</v>
      </c>
    </row>
    <row r="341" spans="1:4" x14ac:dyDescent="0.25">
      <c r="A341" s="2" t="s">
        <v>5316</v>
      </c>
      <c r="B341" s="2" t="s">
        <v>2921</v>
      </c>
      <c r="C341" s="2" t="str">
        <f t="shared" si="5"/>
        <v>TX0006017_001</v>
      </c>
      <c r="D341" s="2" t="s">
        <v>3033</v>
      </c>
    </row>
    <row r="342" spans="1:4" x14ac:dyDescent="0.25">
      <c r="A342" s="2" t="s">
        <v>5316</v>
      </c>
      <c r="B342" s="2" t="s">
        <v>2923</v>
      </c>
      <c r="C342" s="2" t="str">
        <f t="shared" si="5"/>
        <v>TX0006017_002</v>
      </c>
      <c r="D342" s="2" t="s">
        <v>3033</v>
      </c>
    </row>
    <row r="343" spans="1:4" x14ac:dyDescent="0.25">
      <c r="A343" s="2" t="s">
        <v>5317</v>
      </c>
      <c r="B343" s="2" t="s">
        <v>2921</v>
      </c>
      <c r="C343" s="2" t="str">
        <f t="shared" si="5"/>
        <v>TX0006025_001</v>
      </c>
      <c r="D343" s="2" t="s">
        <v>3034</v>
      </c>
    </row>
    <row r="344" spans="1:4" x14ac:dyDescent="0.25">
      <c r="A344" s="2" t="s">
        <v>5317</v>
      </c>
      <c r="B344" s="2" t="s">
        <v>2923</v>
      </c>
      <c r="C344" s="2" t="str">
        <f t="shared" si="5"/>
        <v>TX0006025_002</v>
      </c>
      <c r="D344" s="2" t="s">
        <v>3034</v>
      </c>
    </row>
    <row r="345" spans="1:4" x14ac:dyDescent="0.25">
      <c r="A345" s="2" t="s">
        <v>5318</v>
      </c>
      <c r="B345" s="2" t="s">
        <v>2921</v>
      </c>
      <c r="C345" s="2" t="str">
        <f t="shared" si="5"/>
        <v>TX0006033_001</v>
      </c>
      <c r="D345" s="2" t="s">
        <v>3009</v>
      </c>
    </row>
    <row r="346" spans="1:4" x14ac:dyDescent="0.25">
      <c r="A346" s="2" t="s">
        <v>5318</v>
      </c>
      <c r="B346" s="2" t="s">
        <v>2923</v>
      </c>
      <c r="C346" s="2" t="str">
        <f t="shared" si="5"/>
        <v>TX0006033_002</v>
      </c>
      <c r="D346" s="2" t="s">
        <v>3009</v>
      </c>
    </row>
    <row r="347" spans="1:4" x14ac:dyDescent="0.25">
      <c r="A347" s="2" t="s">
        <v>5318</v>
      </c>
      <c r="B347" s="2" t="s">
        <v>2936</v>
      </c>
      <c r="C347" s="2" t="str">
        <f t="shared" si="5"/>
        <v>TX0006033_004</v>
      </c>
      <c r="D347" s="2" t="s">
        <v>3009</v>
      </c>
    </row>
    <row r="348" spans="1:4" x14ac:dyDescent="0.25">
      <c r="A348" s="2" t="s">
        <v>5318</v>
      </c>
      <c r="B348" s="2" t="s">
        <v>2934</v>
      </c>
      <c r="C348" s="2" t="str">
        <f t="shared" si="5"/>
        <v>TX0006033_005</v>
      </c>
      <c r="D348" s="2" t="s">
        <v>3009</v>
      </c>
    </row>
    <row r="349" spans="1:4" x14ac:dyDescent="0.25">
      <c r="A349" s="2" t="s">
        <v>5319</v>
      </c>
      <c r="B349" s="2" t="s">
        <v>2921</v>
      </c>
      <c r="C349" s="2" t="str">
        <f t="shared" si="5"/>
        <v>TX0006050_001</v>
      </c>
      <c r="D349" s="2" t="s">
        <v>3035</v>
      </c>
    </row>
    <row r="350" spans="1:4" x14ac:dyDescent="0.25">
      <c r="A350" s="2" t="s">
        <v>5319</v>
      </c>
      <c r="B350" s="2" t="s">
        <v>2923</v>
      </c>
      <c r="C350" s="2" t="str">
        <f t="shared" si="5"/>
        <v>TX0006050_002</v>
      </c>
      <c r="D350" s="2" t="s">
        <v>3035</v>
      </c>
    </row>
    <row r="351" spans="1:4" x14ac:dyDescent="0.25">
      <c r="A351" s="2" t="s">
        <v>5319</v>
      </c>
      <c r="B351" s="2" t="s">
        <v>2924</v>
      </c>
      <c r="C351" s="2" t="str">
        <f t="shared" si="5"/>
        <v>TX0006050_003</v>
      </c>
      <c r="D351" s="2" t="s">
        <v>3035</v>
      </c>
    </row>
    <row r="352" spans="1:4" x14ac:dyDescent="0.25">
      <c r="A352" s="2" t="s">
        <v>5319</v>
      </c>
      <c r="B352" s="2" t="s">
        <v>2934</v>
      </c>
      <c r="C352" s="2" t="str">
        <f t="shared" si="5"/>
        <v>TX0006050_005</v>
      </c>
      <c r="D352" s="2" t="s">
        <v>3035</v>
      </c>
    </row>
    <row r="353" spans="1:4" x14ac:dyDescent="0.25">
      <c r="A353" s="2" t="s">
        <v>5319</v>
      </c>
      <c r="B353" s="2" t="s">
        <v>2940</v>
      </c>
      <c r="C353" s="2" t="str">
        <f t="shared" si="5"/>
        <v>TX0006050_006</v>
      </c>
      <c r="D353" s="2" t="s">
        <v>3035</v>
      </c>
    </row>
    <row r="354" spans="1:4" x14ac:dyDescent="0.25">
      <c r="A354" s="2" t="s">
        <v>5320</v>
      </c>
      <c r="B354" s="2" t="s">
        <v>2921</v>
      </c>
      <c r="C354" s="2" t="str">
        <f t="shared" si="5"/>
        <v>TX0006068_001</v>
      </c>
      <c r="D354" s="2" t="s">
        <v>3036</v>
      </c>
    </row>
    <row r="355" spans="1:4" x14ac:dyDescent="0.25">
      <c r="A355" s="2" t="s">
        <v>5320</v>
      </c>
      <c r="B355" s="2" t="s">
        <v>2923</v>
      </c>
      <c r="C355" s="2" t="str">
        <f t="shared" si="5"/>
        <v>TX0006068_002</v>
      </c>
      <c r="D355" s="2" t="s">
        <v>3036</v>
      </c>
    </row>
    <row r="356" spans="1:4" x14ac:dyDescent="0.25">
      <c r="A356" s="2" t="s">
        <v>5320</v>
      </c>
      <c r="B356" s="2" t="s">
        <v>3037</v>
      </c>
      <c r="C356" s="2" t="str">
        <f t="shared" si="5"/>
        <v>TX0006068_102</v>
      </c>
      <c r="D356" s="2" t="s">
        <v>3036</v>
      </c>
    </row>
    <row r="357" spans="1:4" x14ac:dyDescent="0.25">
      <c r="A357" s="2" t="s">
        <v>5321</v>
      </c>
      <c r="B357" s="2" t="s">
        <v>2959</v>
      </c>
      <c r="C357" s="2" t="str">
        <f t="shared" si="5"/>
        <v>TX0006076_007</v>
      </c>
      <c r="D357" s="2" t="s">
        <v>3038</v>
      </c>
    </row>
    <row r="358" spans="1:4" x14ac:dyDescent="0.25">
      <c r="A358" s="2" t="s">
        <v>5321</v>
      </c>
      <c r="B358" s="2" t="s">
        <v>2946</v>
      </c>
      <c r="C358" s="2" t="str">
        <f t="shared" si="5"/>
        <v>TX0006076_008</v>
      </c>
      <c r="D358" s="2" t="s">
        <v>3038</v>
      </c>
    </row>
    <row r="359" spans="1:4" x14ac:dyDescent="0.25">
      <c r="A359" s="2" t="s">
        <v>5321</v>
      </c>
      <c r="B359" s="2" t="s">
        <v>2969</v>
      </c>
      <c r="C359" s="2" t="str">
        <f t="shared" si="5"/>
        <v>TX0006076_009</v>
      </c>
      <c r="D359" s="2" t="s">
        <v>3038</v>
      </c>
    </row>
    <row r="360" spans="1:4" x14ac:dyDescent="0.25">
      <c r="A360" s="2" t="s">
        <v>5321</v>
      </c>
      <c r="B360" s="2" t="s">
        <v>2947</v>
      </c>
      <c r="C360" s="2" t="str">
        <f t="shared" si="5"/>
        <v>TX0006076_010</v>
      </c>
      <c r="D360" s="2" t="s">
        <v>3038</v>
      </c>
    </row>
    <row r="361" spans="1:4" x14ac:dyDescent="0.25">
      <c r="A361" s="2" t="s">
        <v>5321</v>
      </c>
      <c r="B361" s="2" t="s">
        <v>2921</v>
      </c>
      <c r="C361" s="2" t="str">
        <f t="shared" si="5"/>
        <v>TX0006076_001</v>
      </c>
      <c r="D361" s="2" t="s">
        <v>3038</v>
      </c>
    </row>
    <row r="362" spans="1:4" x14ac:dyDescent="0.25">
      <c r="A362" s="2" t="s">
        <v>5321</v>
      </c>
      <c r="B362" s="2" t="s">
        <v>2923</v>
      </c>
      <c r="C362" s="2" t="str">
        <f t="shared" si="5"/>
        <v>TX0006076_002</v>
      </c>
      <c r="D362" s="2" t="s">
        <v>3038</v>
      </c>
    </row>
    <row r="363" spans="1:4" x14ac:dyDescent="0.25">
      <c r="A363" s="2" t="s">
        <v>5321</v>
      </c>
      <c r="B363" s="2" t="s">
        <v>2936</v>
      </c>
      <c r="C363" s="2" t="str">
        <f t="shared" si="5"/>
        <v>TX0006076_004</v>
      </c>
      <c r="D363" s="2" t="s">
        <v>3038</v>
      </c>
    </row>
    <row r="364" spans="1:4" x14ac:dyDescent="0.25">
      <c r="A364" s="2" t="s">
        <v>5321</v>
      </c>
      <c r="B364" s="2" t="s">
        <v>2934</v>
      </c>
      <c r="C364" s="2" t="str">
        <f t="shared" si="5"/>
        <v>TX0006076_005</v>
      </c>
      <c r="D364" s="2" t="s">
        <v>3038</v>
      </c>
    </row>
    <row r="365" spans="1:4" x14ac:dyDescent="0.25">
      <c r="A365" s="2" t="s">
        <v>5321</v>
      </c>
      <c r="B365" s="2" t="s">
        <v>2940</v>
      </c>
      <c r="C365" s="2" t="str">
        <f t="shared" si="5"/>
        <v>TX0006076_006</v>
      </c>
      <c r="D365" s="2" t="s">
        <v>3038</v>
      </c>
    </row>
    <row r="366" spans="1:4" x14ac:dyDescent="0.25">
      <c r="A366" s="2" t="s">
        <v>5322</v>
      </c>
      <c r="B366" s="2" t="s">
        <v>2921</v>
      </c>
      <c r="C366" s="2" t="str">
        <f t="shared" si="5"/>
        <v>TX0006084_001</v>
      </c>
      <c r="D366" s="2" t="s">
        <v>3039</v>
      </c>
    </row>
    <row r="367" spans="1:4" x14ac:dyDescent="0.25">
      <c r="A367" s="2" t="s">
        <v>5322</v>
      </c>
      <c r="B367" s="2" t="s">
        <v>2969</v>
      </c>
      <c r="C367" s="2" t="str">
        <f t="shared" si="5"/>
        <v>TX0006084_009</v>
      </c>
      <c r="D367" s="2" t="s">
        <v>3039</v>
      </c>
    </row>
    <row r="368" spans="1:4" x14ac:dyDescent="0.25">
      <c r="A368" s="2" t="s">
        <v>5322</v>
      </c>
      <c r="B368" s="2" t="s">
        <v>2923</v>
      </c>
      <c r="C368" s="2" t="str">
        <f t="shared" si="5"/>
        <v>TX0006084_002</v>
      </c>
      <c r="D368" s="2" t="s">
        <v>3039</v>
      </c>
    </row>
    <row r="369" spans="1:4" x14ac:dyDescent="0.25">
      <c r="A369" s="2" t="s">
        <v>5322</v>
      </c>
      <c r="B369" s="2" t="s">
        <v>2924</v>
      </c>
      <c r="C369" s="2" t="str">
        <f t="shared" si="5"/>
        <v>TX0006084_003</v>
      </c>
      <c r="D369" s="2" t="s">
        <v>3039</v>
      </c>
    </row>
    <row r="370" spans="1:4" x14ac:dyDescent="0.25">
      <c r="A370" s="2" t="s">
        <v>5322</v>
      </c>
      <c r="B370" s="2" t="s">
        <v>2936</v>
      </c>
      <c r="C370" s="2" t="str">
        <f t="shared" si="5"/>
        <v>TX0006084_004</v>
      </c>
      <c r="D370" s="2" t="s">
        <v>3039</v>
      </c>
    </row>
    <row r="371" spans="1:4" x14ac:dyDescent="0.25">
      <c r="A371" s="2" t="s">
        <v>5322</v>
      </c>
      <c r="B371" s="2" t="s">
        <v>2934</v>
      </c>
      <c r="C371" s="2" t="str">
        <f t="shared" si="5"/>
        <v>TX0006084_005</v>
      </c>
      <c r="D371" s="2" t="s">
        <v>3039</v>
      </c>
    </row>
    <row r="372" spans="1:4" x14ac:dyDescent="0.25">
      <c r="A372" s="2" t="s">
        <v>5322</v>
      </c>
      <c r="B372" s="2" t="s">
        <v>2940</v>
      </c>
      <c r="C372" s="2" t="str">
        <f t="shared" si="5"/>
        <v>TX0006084_006</v>
      </c>
      <c r="D372" s="2" t="s">
        <v>3039</v>
      </c>
    </row>
    <row r="373" spans="1:4" x14ac:dyDescent="0.25">
      <c r="A373" s="2" t="s">
        <v>5322</v>
      </c>
      <c r="B373" s="2" t="s">
        <v>2948</v>
      </c>
      <c r="C373" s="2" t="str">
        <f t="shared" si="5"/>
        <v>TX0006084_011</v>
      </c>
      <c r="D373" s="2" t="s">
        <v>3039</v>
      </c>
    </row>
    <row r="374" spans="1:4" x14ac:dyDescent="0.25">
      <c r="A374" s="2" t="s">
        <v>5323</v>
      </c>
      <c r="B374" s="2" t="s">
        <v>2921</v>
      </c>
      <c r="C374" s="2" t="str">
        <f t="shared" si="5"/>
        <v>TX0006173_001</v>
      </c>
      <c r="D374" s="2" t="s">
        <v>3040</v>
      </c>
    </row>
    <row r="375" spans="1:4" x14ac:dyDescent="0.25">
      <c r="A375" s="2" t="s">
        <v>5324</v>
      </c>
      <c r="B375" s="2" t="s">
        <v>2921</v>
      </c>
      <c r="C375" s="2" t="str">
        <f t="shared" si="5"/>
        <v>TX0006211_001</v>
      </c>
      <c r="D375" s="2" t="s">
        <v>3041</v>
      </c>
    </row>
    <row r="376" spans="1:4" x14ac:dyDescent="0.25">
      <c r="A376" s="2" t="s">
        <v>5324</v>
      </c>
      <c r="B376" s="2" t="s">
        <v>2923</v>
      </c>
      <c r="C376" s="2" t="str">
        <f t="shared" si="5"/>
        <v>TX0006211_002</v>
      </c>
      <c r="D376" s="2" t="s">
        <v>3041</v>
      </c>
    </row>
    <row r="377" spans="1:4" x14ac:dyDescent="0.25">
      <c r="A377" s="2" t="s">
        <v>5324</v>
      </c>
      <c r="B377" s="2" t="s">
        <v>2924</v>
      </c>
      <c r="C377" s="2" t="str">
        <f t="shared" si="5"/>
        <v>TX0006211_003</v>
      </c>
      <c r="D377" s="2" t="s">
        <v>3041</v>
      </c>
    </row>
    <row r="378" spans="1:4" x14ac:dyDescent="0.25">
      <c r="A378" s="2" t="s">
        <v>5324</v>
      </c>
      <c r="B378" s="2" t="s">
        <v>2936</v>
      </c>
      <c r="C378" s="2" t="str">
        <f t="shared" si="5"/>
        <v>TX0006211_004</v>
      </c>
      <c r="D378" s="2" t="s">
        <v>3041</v>
      </c>
    </row>
    <row r="379" spans="1:4" x14ac:dyDescent="0.25">
      <c r="A379" s="2" t="s">
        <v>5324</v>
      </c>
      <c r="B379" s="2" t="s">
        <v>2934</v>
      </c>
      <c r="C379" s="2" t="str">
        <f t="shared" si="5"/>
        <v>TX0006211_005</v>
      </c>
      <c r="D379" s="2" t="s">
        <v>3041</v>
      </c>
    </row>
    <row r="380" spans="1:4" x14ac:dyDescent="0.25">
      <c r="A380" s="2" t="s">
        <v>5324</v>
      </c>
      <c r="B380" s="2" t="s">
        <v>2959</v>
      </c>
      <c r="C380" s="2" t="str">
        <f t="shared" si="5"/>
        <v>TX0006211_007</v>
      </c>
      <c r="D380" s="2" t="s">
        <v>3041</v>
      </c>
    </row>
    <row r="381" spans="1:4" x14ac:dyDescent="0.25">
      <c r="A381" s="2" t="s">
        <v>5324</v>
      </c>
      <c r="B381" s="2" t="s">
        <v>2946</v>
      </c>
      <c r="C381" s="2" t="str">
        <f t="shared" si="5"/>
        <v>TX0006211_008</v>
      </c>
      <c r="D381" s="2" t="s">
        <v>3041</v>
      </c>
    </row>
    <row r="382" spans="1:4" x14ac:dyDescent="0.25">
      <c r="A382" s="2" t="s">
        <v>5324</v>
      </c>
      <c r="B382" s="2" t="s">
        <v>2940</v>
      </c>
      <c r="C382" s="2" t="str">
        <f t="shared" si="5"/>
        <v>TX0006211_006</v>
      </c>
      <c r="D382" s="2" t="s">
        <v>3041</v>
      </c>
    </row>
    <row r="383" spans="1:4" x14ac:dyDescent="0.25">
      <c r="A383" s="2" t="s">
        <v>5325</v>
      </c>
      <c r="B383" s="2" t="s">
        <v>2921</v>
      </c>
      <c r="C383" s="2" t="str">
        <f t="shared" si="5"/>
        <v>TX0006271_001</v>
      </c>
      <c r="D383" s="2" t="s">
        <v>3042</v>
      </c>
    </row>
    <row r="384" spans="1:4" x14ac:dyDescent="0.25">
      <c r="A384" s="2" t="s">
        <v>5325</v>
      </c>
      <c r="B384" s="2" t="s">
        <v>2923</v>
      </c>
      <c r="C384" s="2" t="str">
        <f t="shared" si="5"/>
        <v>TX0006271_002</v>
      </c>
      <c r="D384" s="2" t="s">
        <v>3042</v>
      </c>
    </row>
    <row r="385" spans="1:4" x14ac:dyDescent="0.25">
      <c r="A385" s="2" t="s">
        <v>5325</v>
      </c>
      <c r="B385" s="2" t="s">
        <v>2924</v>
      </c>
      <c r="C385" s="2" t="str">
        <f t="shared" si="5"/>
        <v>TX0006271_003</v>
      </c>
      <c r="D385" s="2" t="s">
        <v>3042</v>
      </c>
    </row>
    <row r="386" spans="1:4" x14ac:dyDescent="0.25">
      <c r="A386" s="2" t="s">
        <v>5325</v>
      </c>
      <c r="B386" s="2" t="s">
        <v>2936</v>
      </c>
      <c r="C386" s="2" t="str">
        <f t="shared" si="5"/>
        <v>TX0006271_004</v>
      </c>
      <c r="D386" s="2" t="s">
        <v>3042</v>
      </c>
    </row>
    <row r="387" spans="1:4" x14ac:dyDescent="0.25">
      <c r="A387" s="2" t="s">
        <v>5326</v>
      </c>
      <c r="B387" s="2" t="s">
        <v>2942</v>
      </c>
      <c r="C387" s="2" t="str">
        <f t="shared" ref="C387:C450" si="6">A387 &amp; "_" &amp; B387</f>
        <v>TX0006289_013</v>
      </c>
      <c r="D387" s="2" t="s">
        <v>3043</v>
      </c>
    </row>
    <row r="388" spans="1:4" x14ac:dyDescent="0.25">
      <c r="A388" s="2" t="s">
        <v>5326</v>
      </c>
      <c r="B388" s="2" t="s">
        <v>2921</v>
      </c>
      <c r="C388" s="2" t="str">
        <f t="shared" si="6"/>
        <v>TX0006289_001</v>
      </c>
      <c r="D388" s="2" t="s">
        <v>3043</v>
      </c>
    </row>
    <row r="389" spans="1:4" x14ac:dyDescent="0.25">
      <c r="A389" s="2" t="s">
        <v>5326</v>
      </c>
      <c r="B389" s="2" t="s">
        <v>2923</v>
      </c>
      <c r="C389" s="2" t="str">
        <f t="shared" si="6"/>
        <v>TX0006289_002</v>
      </c>
      <c r="D389" s="2" t="s">
        <v>3043</v>
      </c>
    </row>
    <row r="390" spans="1:4" x14ac:dyDescent="0.25">
      <c r="A390" s="2" t="s">
        <v>5326</v>
      </c>
      <c r="B390" s="2" t="s">
        <v>2924</v>
      </c>
      <c r="C390" s="2" t="str">
        <f t="shared" si="6"/>
        <v>TX0006289_003</v>
      </c>
      <c r="D390" s="2" t="s">
        <v>3043</v>
      </c>
    </row>
    <row r="391" spans="1:4" x14ac:dyDescent="0.25">
      <c r="A391" s="2" t="s">
        <v>5326</v>
      </c>
      <c r="B391" s="2" t="s">
        <v>2936</v>
      </c>
      <c r="C391" s="2" t="str">
        <f t="shared" si="6"/>
        <v>TX0006289_004</v>
      </c>
      <c r="D391" s="2" t="s">
        <v>3043</v>
      </c>
    </row>
    <row r="392" spans="1:4" x14ac:dyDescent="0.25">
      <c r="A392" s="2" t="s">
        <v>5326</v>
      </c>
      <c r="B392" s="2" t="s">
        <v>2934</v>
      </c>
      <c r="C392" s="2" t="str">
        <f t="shared" si="6"/>
        <v>TX0006289_005</v>
      </c>
      <c r="D392" s="2" t="s">
        <v>3043</v>
      </c>
    </row>
    <row r="393" spans="1:4" x14ac:dyDescent="0.25">
      <c r="A393" s="2" t="s">
        <v>5326</v>
      </c>
      <c r="B393" s="2" t="s">
        <v>2940</v>
      </c>
      <c r="C393" s="2" t="str">
        <f t="shared" si="6"/>
        <v>TX0006289_006</v>
      </c>
      <c r="D393" s="2" t="s">
        <v>3043</v>
      </c>
    </row>
    <row r="394" spans="1:4" x14ac:dyDescent="0.25">
      <c r="A394" s="2" t="s">
        <v>5326</v>
      </c>
      <c r="B394" s="2" t="s">
        <v>2959</v>
      </c>
      <c r="C394" s="2" t="str">
        <f t="shared" si="6"/>
        <v>TX0006289_007</v>
      </c>
      <c r="D394" s="2" t="s">
        <v>3043</v>
      </c>
    </row>
    <row r="395" spans="1:4" x14ac:dyDescent="0.25">
      <c r="A395" s="2" t="s">
        <v>5326</v>
      </c>
      <c r="B395" s="2" t="s">
        <v>2946</v>
      </c>
      <c r="C395" s="2" t="str">
        <f t="shared" si="6"/>
        <v>TX0006289_008</v>
      </c>
      <c r="D395" s="2" t="s">
        <v>3043</v>
      </c>
    </row>
    <row r="396" spans="1:4" x14ac:dyDescent="0.25">
      <c r="A396" s="2" t="s">
        <v>5326</v>
      </c>
      <c r="B396" s="2" t="s">
        <v>2969</v>
      </c>
      <c r="C396" s="2" t="str">
        <f t="shared" si="6"/>
        <v>TX0006289_009</v>
      </c>
      <c r="D396" s="2" t="s">
        <v>3043</v>
      </c>
    </row>
    <row r="397" spans="1:4" x14ac:dyDescent="0.25">
      <c r="A397" s="2" t="s">
        <v>5326</v>
      </c>
      <c r="B397" s="2" t="s">
        <v>2947</v>
      </c>
      <c r="C397" s="2" t="str">
        <f t="shared" si="6"/>
        <v>TX0006289_010</v>
      </c>
      <c r="D397" s="2" t="s">
        <v>3043</v>
      </c>
    </row>
    <row r="398" spans="1:4" x14ac:dyDescent="0.25">
      <c r="A398" s="2" t="s">
        <v>5326</v>
      </c>
      <c r="B398" s="2" t="s">
        <v>2948</v>
      </c>
      <c r="C398" s="2" t="str">
        <f t="shared" si="6"/>
        <v>TX0006289_011</v>
      </c>
      <c r="D398" s="2" t="s">
        <v>3043</v>
      </c>
    </row>
    <row r="399" spans="1:4" x14ac:dyDescent="0.25">
      <c r="A399" s="2" t="s">
        <v>5326</v>
      </c>
      <c r="B399" s="2" t="s">
        <v>2949</v>
      </c>
      <c r="C399" s="2" t="str">
        <f t="shared" si="6"/>
        <v>TX0006289_012</v>
      </c>
      <c r="D399" s="2" t="s">
        <v>3043</v>
      </c>
    </row>
    <row r="400" spans="1:4" x14ac:dyDescent="0.25">
      <c r="A400" s="2" t="s">
        <v>5327</v>
      </c>
      <c r="B400" s="2" t="s">
        <v>2921</v>
      </c>
      <c r="C400" s="2" t="str">
        <f t="shared" si="6"/>
        <v>TX0006327_001</v>
      </c>
      <c r="D400" s="2" t="s">
        <v>3044</v>
      </c>
    </row>
    <row r="401" spans="1:4" x14ac:dyDescent="0.25">
      <c r="A401" s="2" t="s">
        <v>5328</v>
      </c>
      <c r="B401" s="2" t="s">
        <v>2921</v>
      </c>
      <c r="C401" s="2" t="str">
        <f t="shared" si="6"/>
        <v>TX0006335_001</v>
      </c>
      <c r="D401" s="2" t="s">
        <v>3045</v>
      </c>
    </row>
    <row r="402" spans="1:4" x14ac:dyDescent="0.25">
      <c r="A402" s="2" t="s">
        <v>5329</v>
      </c>
      <c r="B402" s="2" t="s">
        <v>2921</v>
      </c>
      <c r="C402" s="2" t="str">
        <f t="shared" si="6"/>
        <v>TX0006351_001</v>
      </c>
      <c r="D402" s="2" t="s">
        <v>3046</v>
      </c>
    </row>
    <row r="403" spans="1:4" x14ac:dyDescent="0.25">
      <c r="A403" s="2" t="s">
        <v>5330</v>
      </c>
      <c r="B403" s="2" t="s">
        <v>2921</v>
      </c>
      <c r="C403" s="2" t="str">
        <f t="shared" si="6"/>
        <v>TX0006378_001</v>
      </c>
      <c r="D403" s="2" t="s">
        <v>3047</v>
      </c>
    </row>
    <row r="404" spans="1:4" x14ac:dyDescent="0.25">
      <c r="A404" s="2" t="s">
        <v>5331</v>
      </c>
      <c r="B404" s="2" t="s">
        <v>2921</v>
      </c>
      <c r="C404" s="2" t="str">
        <f t="shared" si="6"/>
        <v>TX0006386_001</v>
      </c>
      <c r="D404" s="2" t="s">
        <v>3047</v>
      </c>
    </row>
    <row r="405" spans="1:4" x14ac:dyDescent="0.25">
      <c r="A405" s="2" t="s">
        <v>5331</v>
      </c>
      <c r="B405" s="2" t="s">
        <v>2923</v>
      </c>
      <c r="C405" s="2" t="str">
        <f t="shared" si="6"/>
        <v>TX0006386_002</v>
      </c>
      <c r="D405" s="2" t="s">
        <v>3047</v>
      </c>
    </row>
    <row r="406" spans="1:4" x14ac:dyDescent="0.25">
      <c r="A406" s="2" t="s">
        <v>5332</v>
      </c>
      <c r="B406" s="2" t="s">
        <v>2921</v>
      </c>
      <c r="C406" s="2" t="str">
        <f t="shared" si="6"/>
        <v>TX0006394_001</v>
      </c>
      <c r="D406" s="2" t="s">
        <v>3047</v>
      </c>
    </row>
    <row r="407" spans="1:4" x14ac:dyDescent="0.25">
      <c r="A407" s="2" t="s">
        <v>5332</v>
      </c>
      <c r="B407" s="2" t="s">
        <v>2923</v>
      </c>
      <c r="C407" s="2" t="str">
        <f t="shared" si="6"/>
        <v>TX0006394_002</v>
      </c>
      <c r="D407" s="2" t="s">
        <v>3047</v>
      </c>
    </row>
    <row r="408" spans="1:4" x14ac:dyDescent="0.25">
      <c r="A408" s="2" t="s">
        <v>5332</v>
      </c>
      <c r="B408" s="2" t="s">
        <v>2924</v>
      </c>
      <c r="C408" s="2" t="str">
        <f t="shared" si="6"/>
        <v>TX0006394_003</v>
      </c>
      <c r="D408" s="2" t="s">
        <v>3047</v>
      </c>
    </row>
    <row r="409" spans="1:4" x14ac:dyDescent="0.25">
      <c r="A409" s="2" t="s">
        <v>5332</v>
      </c>
      <c r="B409" s="2" t="s">
        <v>2936</v>
      </c>
      <c r="C409" s="2" t="str">
        <f t="shared" si="6"/>
        <v>TX0006394_004</v>
      </c>
      <c r="D409" s="2" t="s">
        <v>3047</v>
      </c>
    </row>
    <row r="410" spans="1:4" x14ac:dyDescent="0.25">
      <c r="A410" s="2" t="s">
        <v>5332</v>
      </c>
      <c r="B410" s="2" t="s">
        <v>2934</v>
      </c>
      <c r="C410" s="2" t="str">
        <f t="shared" si="6"/>
        <v>TX0006394_005</v>
      </c>
      <c r="D410" s="2" t="s">
        <v>3047</v>
      </c>
    </row>
    <row r="411" spans="1:4" x14ac:dyDescent="0.25">
      <c r="A411" s="2" t="s">
        <v>5332</v>
      </c>
      <c r="B411" s="2" t="s">
        <v>2940</v>
      </c>
      <c r="C411" s="2" t="str">
        <f t="shared" si="6"/>
        <v>TX0006394_006</v>
      </c>
      <c r="D411" s="2" t="s">
        <v>3047</v>
      </c>
    </row>
    <row r="412" spans="1:4" x14ac:dyDescent="0.25">
      <c r="A412" s="2" t="s">
        <v>5333</v>
      </c>
      <c r="B412" s="2" t="s">
        <v>2921</v>
      </c>
      <c r="C412" s="2" t="str">
        <f t="shared" si="6"/>
        <v>TX0006408_001</v>
      </c>
      <c r="D412" s="2" t="s">
        <v>3047</v>
      </c>
    </row>
    <row r="413" spans="1:4" x14ac:dyDescent="0.25">
      <c r="A413" s="2" t="s">
        <v>5334</v>
      </c>
      <c r="B413" s="2" t="s">
        <v>2921</v>
      </c>
      <c r="C413" s="2" t="str">
        <f t="shared" si="6"/>
        <v>TX0006459_001</v>
      </c>
      <c r="D413" s="2" t="s">
        <v>3047</v>
      </c>
    </row>
    <row r="414" spans="1:4" x14ac:dyDescent="0.25">
      <c r="A414" s="2" t="s">
        <v>5334</v>
      </c>
      <c r="B414" s="2" t="s">
        <v>2923</v>
      </c>
      <c r="C414" s="2" t="str">
        <f t="shared" si="6"/>
        <v>TX0006459_002</v>
      </c>
      <c r="D414" s="2" t="s">
        <v>3047</v>
      </c>
    </row>
    <row r="415" spans="1:4" x14ac:dyDescent="0.25">
      <c r="A415" s="2" t="s">
        <v>5334</v>
      </c>
      <c r="B415" s="2" t="s">
        <v>2924</v>
      </c>
      <c r="C415" s="2" t="str">
        <f t="shared" si="6"/>
        <v>TX0006459_003</v>
      </c>
      <c r="D415" s="2" t="s">
        <v>3047</v>
      </c>
    </row>
    <row r="416" spans="1:4" x14ac:dyDescent="0.25">
      <c r="A416" s="2" t="s">
        <v>5334</v>
      </c>
      <c r="B416" s="2" t="s">
        <v>2936</v>
      </c>
      <c r="C416" s="2" t="str">
        <f t="shared" si="6"/>
        <v>TX0006459_004</v>
      </c>
      <c r="D416" s="2" t="s">
        <v>3047</v>
      </c>
    </row>
    <row r="417" spans="1:4" x14ac:dyDescent="0.25">
      <c r="A417" s="2" t="s">
        <v>5334</v>
      </c>
      <c r="B417" s="2" t="s">
        <v>2934</v>
      </c>
      <c r="C417" s="2" t="str">
        <f t="shared" si="6"/>
        <v>TX0006459_005</v>
      </c>
      <c r="D417" s="2" t="s">
        <v>3047</v>
      </c>
    </row>
    <row r="418" spans="1:4" x14ac:dyDescent="0.25">
      <c r="A418" s="2" t="s">
        <v>5334</v>
      </c>
      <c r="B418" s="2" t="s">
        <v>2940</v>
      </c>
      <c r="C418" s="2" t="str">
        <f t="shared" si="6"/>
        <v>TX0006459_006</v>
      </c>
      <c r="D418" s="2" t="s">
        <v>3047</v>
      </c>
    </row>
    <row r="419" spans="1:4" x14ac:dyDescent="0.25">
      <c r="A419" s="2" t="s">
        <v>5335</v>
      </c>
      <c r="B419" s="2" t="s">
        <v>2921</v>
      </c>
      <c r="C419" s="2" t="str">
        <f t="shared" si="6"/>
        <v>TX0006483_001</v>
      </c>
      <c r="D419" s="2" t="s">
        <v>2972</v>
      </c>
    </row>
    <row r="420" spans="1:4" x14ac:dyDescent="0.25">
      <c r="A420" s="2" t="s">
        <v>5335</v>
      </c>
      <c r="B420" s="2" t="s">
        <v>2923</v>
      </c>
      <c r="C420" s="2" t="str">
        <f t="shared" si="6"/>
        <v>TX0006483_002</v>
      </c>
      <c r="D420" s="2" t="s">
        <v>2972</v>
      </c>
    </row>
    <row r="421" spans="1:4" x14ac:dyDescent="0.25">
      <c r="A421" s="2" t="s">
        <v>5335</v>
      </c>
      <c r="B421" s="2" t="s">
        <v>2924</v>
      </c>
      <c r="C421" s="2" t="str">
        <f t="shared" si="6"/>
        <v>TX0006483_003</v>
      </c>
      <c r="D421" s="2" t="s">
        <v>2972</v>
      </c>
    </row>
    <row r="422" spans="1:4" x14ac:dyDescent="0.25">
      <c r="A422" s="2" t="s">
        <v>5335</v>
      </c>
      <c r="B422" s="2" t="s">
        <v>2936</v>
      </c>
      <c r="C422" s="2" t="str">
        <f t="shared" si="6"/>
        <v>TX0006483_004</v>
      </c>
      <c r="D422" s="2" t="s">
        <v>2972</v>
      </c>
    </row>
    <row r="423" spans="1:4" x14ac:dyDescent="0.25">
      <c r="A423" s="2" t="s">
        <v>5336</v>
      </c>
      <c r="B423" s="2" t="s">
        <v>2921</v>
      </c>
      <c r="C423" s="2" t="str">
        <f t="shared" si="6"/>
        <v>TX0006564_001</v>
      </c>
      <c r="D423" s="2" t="s">
        <v>3048</v>
      </c>
    </row>
    <row r="424" spans="1:4" x14ac:dyDescent="0.25">
      <c r="A424" s="2" t="s">
        <v>5337</v>
      </c>
      <c r="B424" s="2" t="s">
        <v>2969</v>
      </c>
      <c r="C424" s="2" t="str">
        <f t="shared" si="6"/>
        <v>TX0006599_009</v>
      </c>
      <c r="D424" s="2" t="s">
        <v>3043</v>
      </c>
    </row>
    <row r="425" spans="1:4" x14ac:dyDescent="0.25">
      <c r="A425" s="2" t="s">
        <v>5337</v>
      </c>
      <c r="B425" s="2" t="s">
        <v>2948</v>
      </c>
      <c r="C425" s="2" t="str">
        <f t="shared" si="6"/>
        <v>TX0006599_011</v>
      </c>
      <c r="D425" s="2" t="s">
        <v>3043</v>
      </c>
    </row>
    <row r="426" spans="1:4" x14ac:dyDescent="0.25">
      <c r="A426" s="2" t="s">
        <v>5337</v>
      </c>
      <c r="B426" s="2" t="s">
        <v>2921</v>
      </c>
      <c r="C426" s="2" t="str">
        <f t="shared" si="6"/>
        <v>TX0006599_001</v>
      </c>
      <c r="D426" s="2" t="s">
        <v>3043</v>
      </c>
    </row>
    <row r="427" spans="1:4" x14ac:dyDescent="0.25">
      <c r="A427" s="2" t="s">
        <v>5337</v>
      </c>
      <c r="B427" s="2" t="s">
        <v>2924</v>
      </c>
      <c r="C427" s="2" t="str">
        <f t="shared" si="6"/>
        <v>TX0006599_003</v>
      </c>
      <c r="D427" s="2" t="s">
        <v>3043</v>
      </c>
    </row>
    <row r="428" spans="1:4" x14ac:dyDescent="0.25">
      <c r="A428" s="2" t="s">
        <v>5337</v>
      </c>
      <c r="B428" s="2" t="s">
        <v>2936</v>
      </c>
      <c r="C428" s="2" t="str">
        <f t="shared" si="6"/>
        <v>TX0006599_004</v>
      </c>
      <c r="D428" s="2" t="s">
        <v>3043</v>
      </c>
    </row>
    <row r="429" spans="1:4" x14ac:dyDescent="0.25">
      <c r="A429" s="2" t="s">
        <v>5337</v>
      </c>
      <c r="B429" s="2" t="s">
        <v>2940</v>
      </c>
      <c r="C429" s="2" t="str">
        <f t="shared" si="6"/>
        <v>TX0006599_006</v>
      </c>
      <c r="D429" s="2" t="s">
        <v>3043</v>
      </c>
    </row>
    <row r="430" spans="1:4" x14ac:dyDescent="0.25">
      <c r="A430" s="2" t="s">
        <v>5337</v>
      </c>
      <c r="B430" s="2" t="s">
        <v>2959</v>
      </c>
      <c r="C430" s="2" t="str">
        <f t="shared" si="6"/>
        <v>TX0006599_007</v>
      </c>
      <c r="D430" s="2" t="s">
        <v>3043</v>
      </c>
    </row>
    <row r="431" spans="1:4" x14ac:dyDescent="0.25">
      <c r="A431" s="2" t="s">
        <v>5338</v>
      </c>
      <c r="B431" s="2" t="s">
        <v>2921</v>
      </c>
      <c r="C431" s="2" t="str">
        <f t="shared" si="6"/>
        <v>TX0006688_001</v>
      </c>
      <c r="D431" s="2" t="s">
        <v>3049</v>
      </c>
    </row>
    <row r="432" spans="1:4" x14ac:dyDescent="0.25">
      <c r="A432" s="2" t="s">
        <v>5339</v>
      </c>
      <c r="B432" s="2" t="s">
        <v>2921</v>
      </c>
      <c r="C432" s="2" t="str">
        <f t="shared" si="6"/>
        <v>TX0006696_001</v>
      </c>
      <c r="D432" s="2" t="s">
        <v>3050</v>
      </c>
    </row>
    <row r="433" spans="1:4" x14ac:dyDescent="0.25">
      <c r="A433" s="2" t="s">
        <v>5340</v>
      </c>
      <c r="B433" s="2" t="s">
        <v>2921</v>
      </c>
      <c r="C433" s="2" t="str">
        <f t="shared" si="6"/>
        <v>TX0006726_001</v>
      </c>
      <c r="D433" s="2" t="s">
        <v>3051</v>
      </c>
    </row>
    <row r="434" spans="1:4" x14ac:dyDescent="0.25">
      <c r="A434" s="2" t="s">
        <v>5341</v>
      </c>
      <c r="B434" s="2" t="s">
        <v>2921</v>
      </c>
      <c r="C434" s="2" t="str">
        <f t="shared" si="6"/>
        <v>TX0006904_001</v>
      </c>
      <c r="D434" s="2" t="s">
        <v>3052</v>
      </c>
    </row>
    <row r="435" spans="1:4" x14ac:dyDescent="0.25">
      <c r="A435" s="2" t="s">
        <v>5341</v>
      </c>
      <c r="B435" s="2" t="s">
        <v>2923</v>
      </c>
      <c r="C435" s="2" t="str">
        <f t="shared" si="6"/>
        <v>TX0006904_002</v>
      </c>
      <c r="D435" s="2" t="s">
        <v>3052</v>
      </c>
    </row>
    <row r="436" spans="1:4" x14ac:dyDescent="0.25">
      <c r="A436" s="2" t="s">
        <v>5341</v>
      </c>
      <c r="B436" s="2" t="s">
        <v>2924</v>
      </c>
      <c r="C436" s="2" t="str">
        <f t="shared" si="6"/>
        <v>TX0006904_003</v>
      </c>
      <c r="D436" s="2" t="s">
        <v>3052</v>
      </c>
    </row>
    <row r="437" spans="1:4" x14ac:dyDescent="0.25">
      <c r="A437" s="2" t="s">
        <v>5341</v>
      </c>
      <c r="B437" s="2" t="s">
        <v>2936</v>
      </c>
      <c r="C437" s="2" t="str">
        <f t="shared" si="6"/>
        <v>TX0006904_004</v>
      </c>
      <c r="D437" s="2" t="s">
        <v>3052</v>
      </c>
    </row>
    <row r="438" spans="1:4" x14ac:dyDescent="0.25">
      <c r="A438" s="2" t="s">
        <v>5341</v>
      </c>
      <c r="B438" s="2" t="s">
        <v>2934</v>
      </c>
      <c r="C438" s="2" t="str">
        <f t="shared" si="6"/>
        <v>TX0006904_005</v>
      </c>
      <c r="D438" s="2" t="s">
        <v>3052</v>
      </c>
    </row>
    <row r="439" spans="1:4" x14ac:dyDescent="0.25">
      <c r="A439" s="2" t="s">
        <v>5342</v>
      </c>
      <c r="B439" s="2" t="s">
        <v>2924</v>
      </c>
      <c r="C439" s="2" t="str">
        <f t="shared" si="6"/>
        <v>TX0007013_003</v>
      </c>
      <c r="D439" s="2" t="s">
        <v>3042</v>
      </c>
    </row>
    <row r="440" spans="1:4" x14ac:dyDescent="0.25">
      <c r="A440" s="2" t="s">
        <v>5342</v>
      </c>
      <c r="B440" s="2" t="s">
        <v>2959</v>
      </c>
      <c r="C440" s="2" t="str">
        <f t="shared" si="6"/>
        <v>TX0007013_007</v>
      </c>
      <c r="D440" s="2" t="s">
        <v>3042</v>
      </c>
    </row>
    <row r="441" spans="1:4" x14ac:dyDescent="0.25">
      <c r="A441" s="2" t="s">
        <v>5343</v>
      </c>
      <c r="B441" s="2" t="s">
        <v>2921</v>
      </c>
      <c r="C441" s="2" t="str">
        <f t="shared" si="6"/>
        <v>TX0007048_001</v>
      </c>
      <c r="D441" s="2" t="s">
        <v>3053</v>
      </c>
    </row>
    <row r="442" spans="1:4" x14ac:dyDescent="0.25">
      <c r="A442" s="2" t="s">
        <v>5343</v>
      </c>
      <c r="B442" s="2" t="s">
        <v>2923</v>
      </c>
      <c r="C442" s="2" t="str">
        <f t="shared" si="6"/>
        <v>TX0007048_002</v>
      </c>
      <c r="D442" s="2" t="s">
        <v>3053</v>
      </c>
    </row>
    <row r="443" spans="1:4" x14ac:dyDescent="0.25">
      <c r="A443" s="2" t="s">
        <v>5343</v>
      </c>
      <c r="B443" s="2" t="s">
        <v>2924</v>
      </c>
      <c r="C443" s="2" t="str">
        <f t="shared" si="6"/>
        <v>TX0007048_003</v>
      </c>
      <c r="D443" s="2" t="s">
        <v>3053</v>
      </c>
    </row>
    <row r="444" spans="1:4" x14ac:dyDescent="0.25">
      <c r="A444" s="2" t="s">
        <v>5343</v>
      </c>
      <c r="B444" s="2" t="s">
        <v>2936</v>
      </c>
      <c r="C444" s="2" t="str">
        <f t="shared" si="6"/>
        <v>TX0007048_004</v>
      </c>
      <c r="D444" s="2" t="s">
        <v>3053</v>
      </c>
    </row>
    <row r="445" spans="1:4" x14ac:dyDescent="0.25">
      <c r="A445" s="2" t="s">
        <v>5343</v>
      </c>
      <c r="B445" s="2" t="s">
        <v>2934</v>
      </c>
      <c r="C445" s="2" t="str">
        <f t="shared" si="6"/>
        <v>TX0007048_005</v>
      </c>
      <c r="D445" s="2" t="s">
        <v>3053</v>
      </c>
    </row>
    <row r="446" spans="1:4" x14ac:dyDescent="0.25">
      <c r="A446" s="2" t="s">
        <v>5343</v>
      </c>
      <c r="B446" s="2" t="s">
        <v>2940</v>
      </c>
      <c r="C446" s="2" t="str">
        <f t="shared" si="6"/>
        <v>TX0007048_006</v>
      </c>
      <c r="D446" s="2" t="s">
        <v>3053</v>
      </c>
    </row>
    <row r="447" spans="1:4" x14ac:dyDescent="0.25">
      <c r="A447" s="2" t="s">
        <v>5343</v>
      </c>
      <c r="B447" s="2" t="s">
        <v>2959</v>
      </c>
      <c r="C447" s="2" t="str">
        <f t="shared" si="6"/>
        <v>TX0007048_007</v>
      </c>
      <c r="D447" s="2" t="s">
        <v>3053</v>
      </c>
    </row>
    <row r="448" spans="1:4" x14ac:dyDescent="0.25">
      <c r="A448" s="2" t="s">
        <v>5343</v>
      </c>
      <c r="B448" s="2" t="s">
        <v>2946</v>
      </c>
      <c r="C448" s="2" t="str">
        <f t="shared" si="6"/>
        <v>TX0007048_008</v>
      </c>
      <c r="D448" s="2" t="s">
        <v>3053</v>
      </c>
    </row>
    <row r="449" spans="1:4" x14ac:dyDescent="0.25">
      <c r="A449" s="2" t="s">
        <v>5344</v>
      </c>
      <c r="B449" s="2" t="s">
        <v>2921</v>
      </c>
      <c r="C449" s="2" t="str">
        <f t="shared" si="6"/>
        <v>TX0007056_001</v>
      </c>
      <c r="D449" s="2" t="s">
        <v>3054</v>
      </c>
    </row>
    <row r="450" spans="1:4" x14ac:dyDescent="0.25">
      <c r="A450" s="2" t="s">
        <v>5345</v>
      </c>
      <c r="B450" s="2" t="s">
        <v>2924</v>
      </c>
      <c r="C450" s="2" t="str">
        <f t="shared" si="6"/>
        <v>TX0007064_003</v>
      </c>
      <c r="D450" s="2" t="s">
        <v>3055</v>
      </c>
    </row>
    <row r="451" spans="1:4" x14ac:dyDescent="0.25">
      <c r="A451" s="2" t="s">
        <v>5345</v>
      </c>
      <c r="B451" s="2" t="s">
        <v>2934</v>
      </c>
      <c r="C451" s="2" t="str">
        <f t="shared" ref="C451:C514" si="7">A451 &amp; "_" &amp; B451</f>
        <v>TX0007064_005</v>
      </c>
      <c r="D451" s="2" t="s">
        <v>3055</v>
      </c>
    </row>
    <row r="452" spans="1:4" x14ac:dyDescent="0.25">
      <c r="A452" s="2" t="s">
        <v>5345</v>
      </c>
      <c r="B452" s="2" t="s">
        <v>2921</v>
      </c>
      <c r="C452" s="2" t="str">
        <f t="shared" si="7"/>
        <v>TX0007064_001</v>
      </c>
      <c r="D452" s="2" t="s">
        <v>3055</v>
      </c>
    </row>
    <row r="453" spans="1:4" x14ac:dyDescent="0.25">
      <c r="A453" s="2" t="s">
        <v>5345</v>
      </c>
      <c r="B453" s="2" t="s">
        <v>2923</v>
      </c>
      <c r="C453" s="2" t="str">
        <f t="shared" si="7"/>
        <v>TX0007064_002</v>
      </c>
      <c r="D453" s="2" t="s">
        <v>3055</v>
      </c>
    </row>
    <row r="454" spans="1:4" x14ac:dyDescent="0.25">
      <c r="A454" s="2" t="s">
        <v>5345</v>
      </c>
      <c r="B454" s="2" t="s">
        <v>2936</v>
      </c>
      <c r="C454" s="2" t="str">
        <f t="shared" si="7"/>
        <v>TX0007064_004</v>
      </c>
      <c r="D454" s="2" t="s">
        <v>3055</v>
      </c>
    </row>
    <row r="455" spans="1:4" x14ac:dyDescent="0.25">
      <c r="A455" s="2" t="s">
        <v>5346</v>
      </c>
      <c r="B455" s="2" t="s">
        <v>2921</v>
      </c>
      <c r="C455" s="2" t="str">
        <f t="shared" si="7"/>
        <v>TX0007072_001</v>
      </c>
      <c r="D455" s="2" t="s">
        <v>3056</v>
      </c>
    </row>
    <row r="456" spans="1:4" x14ac:dyDescent="0.25">
      <c r="A456" s="2" t="s">
        <v>5346</v>
      </c>
      <c r="B456" s="2" t="s">
        <v>2923</v>
      </c>
      <c r="C456" s="2" t="str">
        <f t="shared" si="7"/>
        <v>TX0007072_002</v>
      </c>
      <c r="D456" s="2" t="s">
        <v>3056</v>
      </c>
    </row>
    <row r="457" spans="1:4" x14ac:dyDescent="0.25">
      <c r="A457" s="2" t="s">
        <v>5347</v>
      </c>
      <c r="B457" s="2" t="s">
        <v>2923</v>
      </c>
      <c r="C457" s="2" t="str">
        <f t="shared" si="7"/>
        <v>TX0007102_002</v>
      </c>
      <c r="D457" s="2" t="s">
        <v>3057</v>
      </c>
    </row>
    <row r="458" spans="1:4" x14ac:dyDescent="0.25">
      <c r="A458" s="2" t="s">
        <v>5347</v>
      </c>
      <c r="B458" s="2" t="s">
        <v>2936</v>
      </c>
      <c r="C458" s="2" t="str">
        <f t="shared" si="7"/>
        <v>TX0007102_004</v>
      </c>
      <c r="D458" s="2" t="s">
        <v>3057</v>
      </c>
    </row>
    <row r="459" spans="1:4" x14ac:dyDescent="0.25">
      <c r="A459" s="2" t="s">
        <v>5347</v>
      </c>
      <c r="B459" s="2" t="s">
        <v>2934</v>
      </c>
      <c r="C459" s="2" t="str">
        <f t="shared" si="7"/>
        <v>TX0007102_005</v>
      </c>
      <c r="D459" s="2" t="s">
        <v>3057</v>
      </c>
    </row>
    <row r="460" spans="1:4" x14ac:dyDescent="0.25">
      <c r="A460" s="2" t="s">
        <v>5348</v>
      </c>
      <c r="B460" s="2" t="s">
        <v>2921</v>
      </c>
      <c r="C460" s="2" t="str">
        <f t="shared" si="7"/>
        <v>TX0007145_001</v>
      </c>
      <c r="D460" s="2" t="s">
        <v>3058</v>
      </c>
    </row>
    <row r="461" spans="1:4" x14ac:dyDescent="0.25">
      <c r="A461" s="2" t="s">
        <v>5348</v>
      </c>
      <c r="B461" s="2" t="s">
        <v>2923</v>
      </c>
      <c r="C461" s="2" t="str">
        <f t="shared" si="7"/>
        <v>TX0007145_002</v>
      </c>
      <c r="D461" s="2" t="s">
        <v>3058</v>
      </c>
    </row>
    <row r="462" spans="1:4" x14ac:dyDescent="0.25">
      <c r="A462" s="2" t="s">
        <v>5348</v>
      </c>
      <c r="B462" s="2" t="s">
        <v>2924</v>
      </c>
      <c r="C462" s="2" t="str">
        <f t="shared" si="7"/>
        <v>TX0007145_003</v>
      </c>
      <c r="D462" s="2" t="s">
        <v>3058</v>
      </c>
    </row>
    <row r="463" spans="1:4" x14ac:dyDescent="0.25">
      <c r="A463" s="2" t="s">
        <v>5349</v>
      </c>
      <c r="B463" s="2" t="s">
        <v>2923</v>
      </c>
      <c r="C463" s="2" t="str">
        <f t="shared" si="7"/>
        <v>TX0007277_002</v>
      </c>
      <c r="D463" s="2" t="s">
        <v>3059</v>
      </c>
    </row>
    <row r="464" spans="1:4" x14ac:dyDescent="0.25">
      <c r="A464" s="2" t="s">
        <v>5350</v>
      </c>
      <c r="B464" s="2" t="s">
        <v>2921</v>
      </c>
      <c r="C464" s="2" t="str">
        <f t="shared" si="7"/>
        <v>TX0007285_001</v>
      </c>
      <c r="D464" s="2" t="s">
        <v>3060</v>
      </c>
    </row>
    <row r="465" spans="1:4" x14ac:dyDescent="0.25">
      <c r="A465" s="2" t="s">
        <v>5350</v>
      </c>
      <c r="B465" s="2" t="s">
        <v>2923</v>
      </c>
      <c r="C465" s="2" t="str">
        <f t="shared" si="7"/>
        <v>TX0007285_002</v>
      </c>
      <c r="D465" s="2" t="s">
        <v>3060</v>
      </c>
    </row>
    <row r="466" spans="1:4" x14ac:dyDescent="0.25">
      <c r="A466" s="2" t="s">
        <v>5350</v>
      </c>
      <c r="B466" s="2" t="s">
        <v>2924</v>
      </c>
      <c r="C466" s="2" t="str">
        <f t="shared" si="7"/>
        <v>TX0007285_003</v>
      </c>
      <c r="D466" s="2" t="s">
        <v>3060</v>
      </c>
    </row>
    <row r="467" spans="1:4" x14ac:dyDescent="0.25">
      <c r="A467" s="2" t="s">
        <v>5351</v>
      </c>
      <c r="B467" s="2" t="s">
        <v>2921</v>
      </c>
      <c r="C467" s="2" t="str">
        <f t="shared" si="7"/>
        <v>TX0007293_001</v>
      </c>
      <c r="D467" s="2" t="s">
        <v>3061</v>
      </c>
    </row>
    <row r="468" spans="1:4" x14ac:dyDescent="0.25">
      <c r="A468" s="2" t="s">
        <v>5352</v>
      </c>
      <c r="B468" s="2" t="s">
        <v>2921</v>
      </c>
      <c r="C468" s="2" t="str">
        <f t="shared" si="7"/>
        <v>TX0007323_001</v>
      </c>
      <c r="D468" s="2" t="s">
        <v>3062</v>
      </c>
    </row>
    <row r="469" spans="1:4" x14ac:dyDescent="0.25">
      <c r="A469" s="2" t="s">
        <v>5352</v>
      </c>
      <c r="B469" s="2" t="s">
        <v>2924</v>
      </c>
      <c r="C469" s="2" t="str">
        <f t="shared" si="7"/>
        <v>TX0007323_003</v>
      </c>
      <c r="D469" s="2" t="s">
        <v>3062</v>
      </c>
    </row>
    <row r="470" spans="1:4" x14ac:dyDescent="0.25">
      <c r="A470" s="2" t="s">
        <v>5353</v>
      </c>
      <c r="B470" s="2" t="s">
        <v>2921</v>
      </c>
      <c r="C470" s="2" t="str">
        <f t="shared" si="7"/>
        <v>TX0007412_001</v>
      </c>
      <c r="D470" s="2" t="s">
        <v>3045</v>
      </c>
    </row>
    <row r="471" spans="1:4" x14ac:dyDescent="0.25">
      <c r="A471" s="2" t="s">
        <v>5353</v>
      </c>
      <c r="B471" s="2" t="s">
        <v>2923</v>
      </c>
      <c r="C471" s="2" t="str">
        <f t="shared" si="7"/>
        <v>TX0007412_002</v>
      </c>
      <c r="D471" s="2" t="s">
        <v>3045</v>
      </c>
    </row>
    <row r="472" spans="1:4" x14ac:dyDescent="0.25">
      <c r="A472" s="2" t="s">
        <v>5353</v>
      </c>
      <c r="B472" s="2" t="s">
        <v>2924</v>
      </c>
      <c r="C472" s="2" t="str">
        <f t="shared" si="7"/>
        <v>TX0007412_003</v>
      </c>
      <c r="D472" s="2" t="s">
        <v>3045</v>
      </c>
    </row>
    <row r="473" spans="1:4" x14ac:dyDescent="0.25">
      <c r="A473" s="2" t="s">
        <v>5353</v>
      </c>
      <c r="B473" s="2" t="s">
        <v>2936</v>
      </c>
      <c r="C473" s="2" t="str">
        <f t="shared" si="7"/>
        <v>TX0007412_004</v>
      </c>
      <c r="D473" s="2" t="s">
        <v>3045</v>
      </c>
    </row>
    <row r="474" spans="1:4" x14ac:dyDescent="0.25">
      <c r="A474" s="2" t="s">
        <v>5353</v>
      </c>
      <c r="B474" s="2" t="s">
        <v>2934</v>
      </c>
      <c r="C474" s="2" t="str">
        <f t="shared" si="7"/>
        <v>TX0007412_005</v>
      </c>
      <c r="D474" s="2" t="s">
        <v>3045</v>
      </c>
    </row>
    <row r="475" spans="1:4" x14ac:dyDescent="0.25">
      <c r="A475" s="2" t="s">
        <v>5353</v>
      </c>
      <c r="B475" s="2" t="s">
        <v>2934</v>
      </c>
      <c r="C475" s="2" t="str">
        <f t="shared" si="7"/>
        <v>TX0007412_005</v>
      </c>
      <c r="D475" s="2" t="s">
        <v>3045</v>
      </c>
    </row>
    <row r="476" spans="1:4" x14ac:dyDescent="0.25">
      <c r="A476" s="2" t="s">
        <v>5354</v>
      </c>
      <c r="B476" s="2" t="s">
        <v>2921</v>
      </c>
      <c r="C476" s="2" t="str">
        <f t="shared" si="7"/>
        <v>TX0007421_001</v>
      </c>
      <c r="D476" s="2" t="s">
        <v>2997</v>
      </c>
    </row>
    <row r="477" spans="1:4" x14ac:dyDescent="0.25">
      <c r="A477" s="2" t="s">
        <v>5354</v>
      </c>
      <c r="B477" s="2" t="s">
        <v>2923</v>
      </c>
      <c r="C477" s="2" t="str">
        <f t="shared" si="7"/>
        <v>TX0007421_002</v>
      </c>
      <c r="D477" s="2" t="s">
        <v>2997</v>
      </c>
    </row>
    <row r="478" spans="1:4" x14ac:dyDescent="0.25">
      <c r="A478" s="2" t="s">
        <v>5355</v>
      </c>
      <c r="B478" s="2" t="s">
        <v>2923</v>
      </c>
      <c r="C478" s="2" t="str">
        <f t="shared" si="7"/>
        <v>TX0007439_002</v>
      </c>
      <c r="D478" s="2" t="s">
        <v>3063</v>
      </c>
    </row>
    <row r="479" spans="1:4" x14ac:dyDescent="0.25">
      <c r="A479" s="2" t="s">
        <v>5355</v>
      </c>
      <c r="B479" s="2" t="s">
        <v>2924</v>
      </c>
      <c r="C479" s="2" t="str">
        <f t="shared" si="7"/>
        <v>TX0007439_003</v>
      </c>
      <c r="D479" s="2" t="s">
        <v>3063</v>
      </c>
    </row>
    <row r="480" spans="1:4" x14ac:dyDescent="0.25">
      <c r="A480" s="2" t="s">
        <v>5355</v>
      </c>
      <c r="B480" s="2" t="s">
        <v>2936</v>
      </c>
      <c r="C480" s="2" t="str">
        <f t="shared" si="7"/>
        <v>TX0007439_004</v>
      </c>
      <c r="D480" s="2" t="s">
        <v>3063</v>
      </c>
    </row>
    <row r="481" spans="1:4" x14ac:dyDescent="0.25">
      <c r="A481" s="2" t="s">
        <v>5355</v>
      </c>
      <c r="B481" s="2" t="s">
        <v>2940</v>
      </c>
      <c r="C481" s="2" t="str">
        <f t="shared" si="7"/>
        <v>TX0007439_006</v>
      </c>
      <c r="D481" s="2" t="s">
        <v>3063</v>
      </c>
    </row>
    <row r="482" spans="1:4" x14ac:dyDescent="0.25">
      <c r="A482" s="2" t="s">
        <v>5355</v>
      </c>
      <c r="B482" s="2" t="s">
        <v>2934</v>
      </c>
      <c r="C482" s="2" t="str">
        <f t="shared" si="7"/>
        <v>TX0007439_005</v>
      </c>
      <c r="D482" s="2" t="s">
        <v>3063</v>
      </c>
    </row>
    <row r="483" spans="1:4" x14ac:dyDescent="0.25">
      <c r="A483" s="2" t="s">
        <v>5355</v>
      </c>
      <c r="B483" s="2" t="s">
        <v>2921</v>
      </c>
      <c r="C483" s="2" t="str">
        <f t="shared" si="7"/>
        <v>TX0007439_001</v>
      </c>
      <c r="D483" s="2" t="s">
        <v>3063</v>
      </c>
    </row>
    <row r="484" spans="1:4" x14ac:dyDescent="0.25">
      <c r="A484" s="2" t="s">
        <v>5356</v>
      </c>
      <c r="B484" s="2" t="s">
        <v>2921</v>
      </c>
      <c r="C484" s="2" t="str">
        <f t="shared" si="7"/>
        <v>TX0007528_001</v>
      </c>
      <c r="D484" s="2" t="s">
        <v>3064</v>
      </c>
    </row>
    <row r="485" spans="1:4" x14ac:dyDescent="0.25">
      <c r="A485" s="2" t="s">
        <v>5356</v>
      </c>
      <c r="B485" s="2" t="s">
        <v>2936</v>
      </c>
      <c r="C485" s="2" t="str">
        <f t="shared" si="7"/>
        <v>TX0007528_004</v>
      </c>
      <c r="D485" s="2" t="s">
        <v>3064</v>
      </c>
    </row>
    <row r="486" spans="1:4" x14ac:dyDescent="0.25">
      <c r="A486" s="2" t="s">
        <v>5356</v>
      </c>
      <c r="B486" s="2" t="s">
        <v>2934</v>
      </c>
      <c r="C486" s="2" t="str">
        <f t="shared" si="7"/>
        <v>TX0007528_005</v>
      </c>
      <c r="D486" s="2" t="s">
        <v>3064</v>
      </c>
    </row>
    <row r="487" spans="1:4" x14ac:dyDescent="0.25">
      <c r="A487" s="2" t="s">
        <v>5356</v>
      </c>
      <c r="B487" s="2" t="s">
        <v>2969</v>
      </c>
      <c r="C487" s="2" t="str">
        <f t="shared" si="7"/>
        <v>TX0007528_009</v>
      </c>
      <c r="D487" s="2" t="s">
        <v>3064</v>
      </c>
    </row>
    <row r="488" spans="1:4" x14ac:dyDescent="0.25">
      <c r="A488" s="2" t="s">
        <v>5357</v>
      </c>
      <c r="B488" s="2" t="s">
        <v>2942</v>
      </c>
      <c r="C488" s="2" t="str">
        <f t="shared" si="7"/>
        <v>TX0007536_013</v>
      </c>
      <c r="D488" s="2" t="s">
        <v>3064</v>
      </c>
    </row>
    <row r="489" spans="1:4" x14ac:dyDescent="0.25">
      <c r="A489" s="2" t="s">
        <v>5357</v>
      </c>
      <c r="B489" s="2" t="s">
        <v>2923</v>
      </c>
      <c r="C489" s="2" t="str">
        <f t="shared" si="7"/>
        <v>TX0007536_002</v>
      </c>
      <c r="D489" s="2" t="s">
        <v>3064</v>
      </c>
    </row>
    <row r="490" spans="1:4" x14ac:dyDescent="0.25">
      <c r="A490" s="2" t="s">
        <v>5357</v>
      </c>
      <c r="B490" s="2" t="s">
        <v>2924</v>
      </c>
      <c r="C490" s="2" t="str">
        <f t="shared" si="7"/>
        <v>TX0007536_003</v>
      </c>
      <c r="D490" s="2" t="s">
        <v>3064</v>
      </c>
    </row>
    <row r="491" spans="1:4" x14ac:dyDescent="0.25">
      <c r="A491" s="2" t="s">
        <v>5357</v>
      </c>
      <c r="B491" s="2" t="s">
        <v>2934</v>
      </c>
      <c r="C491" s="2" t="str">
        <f t="shared" si="7"/>
        <v>TX0007536_005</v>
      </c>
      <c r="D491" s="2" t="s">
        <v>3064</v>
      </c>
    </row>
    <row r="492" spans="1:4" x14ac:dyDescent="0.25">
      <c r="A492" s="2" t="s">
        <v>5357</v>
      </c>
      <c r="B492" s="2" t="s">
        <v>2940</v>
      </c>
      <c r="C492" s="2" t="str">
        <f t="shared" si="7"/>
        <v>TX0007536_006</v>
      </c>
      <c r="D492" s="2" t="s">
        <v>3064</v>
      </c>
    </row>
    <row r="493" spans="1:4" x14ac:dyDescent="0.25">
      <c r="A493" s="2" t="s">
        <v>5357</v>
      </c>
      <c r="B493" s="2" t="s">
        <v>2969</v>
      </c>
      <c r="C493" s="2" t="str">
        <f t="shared" si="7"/>
        <v>TX0007536_009</v>
      </c>
      <c r="D493" s="2" t="s">
        <v>3064</v>
      </c>
    </row>
    <row r="494" spans="1:4" x14ac:dyDescent="0.25">
      <c r="A494" s="2" t="s">
        <v>5357</v>
      </c>
      <c r="B494" s="2" t="s">
        <v>2947</v>
      </c>
      <c r="C494" s="2" t="str">
        <f t="shared" si="7"/>
        <v>TX0007536_010</v>
      </c>
      <c r="D494" s="2" t="s">
        <v>3064</v>
      </c>
    </row>
    <row r="495" spans="1:4" x14ac:dyDescent="0.25">
      <c r="A495" s="2" t="s">
        <v>5357</v>
      </c>
      <c r="B495" s="2" t="s">
        <v>2948</v>
      </c>
      <c r="C495" s="2" t="str">
        <f t="shared" si="7"/>
        <v>TX0007536_011</v>
      </c>
      <c r="D495" s="2" t="s">
        <v>3064</v>
      </c>
    </row>
    <row r="496" spans="1:4" x14ac:dyDescent="0.25">
      <c r="A496" s="2" t="s">
        <v>5357</v>
      </c>
      <c r="B496" s="2" t="s">
        <v>2949</v>
      </c>
      <c r="C496" s="2" t="str">
        <f t="shared" si="7"/>
        <v>TX0007536_012</v>
      </c>
      <c r="D496" s="2" t="s">
        <v>3064</v>
      </c>
    </row>
    <row r="497" spans="1:4" x14ac:dyDescent="0.25">
      <c r="A497" s="2" t="s">
        <v>5358</v>
      </c>
      <c r="B497" s="2" t="s">
        <v>2921</v>
      </c>
      <c r="C497" s="2" t="str">
        <f t="shared" si="7"/>
        <v>TX0007544_001</v>
      </c>
      <c r="D497" s="2" t="s">
        <v>3065</v>
      </c>
    </row>
    <row r="498" spans="1:4" x14ac:dyDescent="0.25">
      <c r="A498" s="2" t="s">
        <v>5359</v>
      </c>
      <c r="B498" s="2" t="s">
        <v>2921</v>
      </c>
      <c r="C498" s="2" t="str">
        <f t="shared" si="7"/>
        <v>TX0007552_001</v>
      </c>
      <c r="D498" s="2" t="s">
        <v>2995</v>
      </c>
    </row>
    <row r="499" spans="1:4" x14ac:dyDescent="0.25">
      <c r="A499" s="2" t="s">
        <v>5359</v>
      </c>
      <c r="B499" s="2" t="s">
        <v>2923</v>
      </c>
      <c r="C499" s="2" t="str">
        <f t="shared" si="7"/>
        <v>TX0007552_002</v>
      </c>
      <c r="D499" s="2" t="s">
        <v>2995</v>
      </c>
    </row>
    <row r="500" spans="1:4" x14ac:dyDescent="0.25">
      <c r="A500" s="2" t="s">
        <v>5359</v>
      </c>
      <c r="B500" s="2" t="s">
        <v>2924</v>
      </c>
      <c r="C500" s="2" t="str">
        <f t="shared" si="7"/>
        <v>TX0007552_003</v>
      </c>
      <c r="D500" s="2" t="s">
        <v>2995</v>
      </c>
    </row>
    <row r="501" spans="1:4" x14ac:dyDescent="0.25">
      <c r="A501" s="2" t="s">
        <v>5359</v>
      </c>
      <c r="B501" s="2" t="s">
        <v>2936</v>
      </c>
      <c r="C501" s="2" t="str">
        <f t="shared" si="7"/>
        <v>TX0007552_004</v>
      </c>
      <c r="D501" s="2" t="s">
        <v>2995</v>
      </c>
    </row>
    <row r="502" spans="1:4" x14ac:dyDescent="0.25">
      <c r="A502" s="2" t="s">
        <v>5360</v>
      </c>
      <c r="B502" s="2" t="s">
        <v>2921</v>
      </c>
      <c r="C502" s="2" t="str">
        <f t="shared" si="7"/>
        <v>TX0007706_001</v>
      </c>
      <c r="D502" s="2" t="s">
        <v>3066</v>
      </c>
    </row>
    <row r="503" spans="1:4" x14ac:dyDescent="0.25">
      <c r="A503" s="2" t="s">
        <v>5361</v>
      </c>
      <c r="B503" s="2" t="s">
        <v>2921</v>
      </c>
      <c r="C503" s="2" t="str">
        <f t="shared" si="7"/>
        <v>TX0007889_001</v>
      </c>
      <c r="D503" s="2" t="s">
        <v>3067</v>
      </c>
    </row>
    <row r="504" spans="1:4" x14ac:dyDescent="0.25">
      <c r="A504" s="2" t="s">
        <v>5362</v>
      </c>
      <c r="B504" s="2" t="s">
        <v>2921</v>
      </c>
      <c r="C504" s="2" t="str">
        <f t="shared" si="7"/>
        <v>TX0007897_001</v>
      </c>
      <c r="D504" s="2" t="s">
        <v>3068</v>
      </c>
    </row>
    <row r="505" spans="1:4" x14ac:dyDescent="0.25">
      <c r="A505" s="2" t="s">
        <v>5362</v>
      </c>
      <c r="B505" s="2" t="s">
        <v>2923</v>
      </c>
      <c r="C505" s="2" t="str">
        <f t="shared" si="7"/>
        <v>TX0007897_002</v>
      </c>
      <c r="D505" s="2" t="s">
        <v>3068</v>
      </c>
    </row>
    <row r="506" spans="1:4" x14ac:dyDescent="0.25">
      <c r="A506" s="2" t="s">
        <v>5363</v>
      </c>
      <c r="B506" s="2" t="s">
        <v>2921</v>
      </c>
      <c r="C506" s="2" t="str">
        <f t="shared" si="7"/>
        <v>TX0008001_001</v>
      </c>
      <c r="D506" s="2" t="s">
        <v>3069</v>
      </c>
    </row>
    <row r="507" spans="1:4" x14ac:dyDescent="0.25">
      <c r="A507" s="2" t="s">
        <v>5364</v>
      </c>
      <c r="B507" s="2" t="s">
        <v>2921</v>
      </c>
      <c r="C507" s="2" t="str">
        <f t="shared" si="7"/>
        <v>TX0008150_001</v>
      </c>
      <c r="D507" s="2" t="s">
        <v>3045</v>
      </c>
    </row>
    <row r="508" spans="1:4" x14ac:dyDescent="0.25">
      <c r="A508" s="2" t="s">
        <v>5364</v>
      </c>
      <c r="B508" s="2" t="s">
        <v>2923</v>
      </c>
      <c r="C508" s="2" t="str">
        <f t="shared" si="7"/>
        <v>TX0008150_002</v>
      </c>
      <c r="D508" s="2" t="s">
        <v>3045</v>
      </c>
    </row>
    <row r="509" spans="1:4" x14ac:dyDescent="0.25">
      <c r="A509" s="2" t="s">
        <v>5365</v>
      </c>
      <c r="B509" s="2" t="s">
        <v>2921</v>
      </c>
      <c r="C509" s="2" t="str">
        <f t="shared" si="7"/>
        <v>TX0008184_001</v>
      </c>
      <c r="D509" s="2" t="s">
        <v>3070</v>
      </c>
    </row>
    <row r="510" spans="1:4" x14ac:dyDescent="0.25">
      <c r="A510" s="2" t="s">
        <v>5366</v>
      </c>
      <c r="B510" s="2" t="s">
        <v>2921</v>
      </c>
      <c r="C510" s="2" t="str">
        <f t="shared" si="7"/>
        <v>TX0008290_001</v>
      </c>
      <c r="D510" s="2" t="s">
        <v>3071</v>
      </c>
    </row>
    <row r="511" spans="1:4" x14ac:dyDescent="0.25">
      <c r="A511" s="2" t="s">
        <v>5367</v>
      </c>
      <c r="B511" s="2" t="s">
        <v>2924</v>
      </c>
      <c r="C511" s="2" t="str">
        <f t="shared" si="7"/>
        <v>TX0008524_003</v>
      </c>
      <c r="D511" s="2" t="s">
        <v>3072</v>
      </c>
    </row>
    <row r="512" spans="1:4" x14ac:dyDescent="0.25">
      <c r="A512" s="2" t="s">
        <v>5367</v>
      </c>
      <c r="B512" s="2" t="s">
        <v>2969</v>
      </c>
      <c r="C512" s="2" t="str">
        <f t="shared" si="7"/>
        <v>TX0008524_009</v>
      </c>
      <c r="D512" s="2" t="s">
        <v>3072</v>
      </c>
    </row>
    <row r="513" spans="1:4" x14ac:dyDescent="0.25">
      <c r="A513" s="2" t="s">
        <v>5367</v>
      </c>
      <c r="B513" s="2" t="s">
        <v>2949</v>
      </c>
      <c r="C513" s="2" t="str">
        <f t="shared" si="7"/>
        <v>TX0008524_012</v>
      </c>
      <c r="D513" s="2" t="s">
        <v>3072</v>
      </c>
    </row>
    <row r="514" spans="1:4" x14ac:dyDescent="0.25">
      <c r="A514" s="2" t="s">
        <v>5368</v>
      </c>
      <c r="B514" s="2" t="s">
        <v>2921</v>
      </c>
      <c r="C514" s="2" t="str">
        <f t="shared" si="7"/>
        <v>TX0008737_001</v>
      </c>
      <c r="D514" s="2" t="s">
        <v>3073</v>
      </c>
    </row>
    <row r="515" spans="1:4" x14ac:dyDescent="0.25">
      <c r="A515" s="2" t="s">
        <v>5368</v>
      </c>
      <c r="B515" s="2" t="s">
        <v>2923</v>
      </c>
      <c r="C515" s="2" t="str">
        <f t="shared" ref="C515:C578" si="8">A515 &amp; "_" &amp; B515</f>
        <v>TX0008737_002</v>
      </c>
      <c r="D515" s="2" t="s">
        <v>3073</v>
      </c>
    </row>
    <row r="516" spans="1:4" x14ac:dyDescent="0.25">
      <c r="A516" s="2" t="s">
        <v>5369</v>
      </c>
      <c r="B516" s="2" t="s">
        <v>2921</v>
      </c>
      <c r="C516" s="2" t="str">
        <f t="shared" si="8"/>
        <v>TX0008761_001</v>
      </c>
      <c r="D516" s="2" t="s">
        <v>3074</v>
      </c>
    </row>
    <row r="517" spans="1:4" x14ac:dyDescent="0.25">
      <c r="A517" s="2" t="s">
        <v>5369</v>
      </c>
      <c r="B517" s="2" t="s">
        <v>2923</v>
      </c>
      <c r="C517" s="2" t="str">
        <f t="shared" si="8"/>
        <v>TX0008761_002</v>
      </c>
      <c r="D517" s="2" t="s">
        <v>3074</v>
      </c>
    </row>
    <row r="518" spans="1:4" x14ac:dyDescent="0.25">
      <c r="A518" s="2" t="s">
        <v>5369</v>
      </c>
      <c r="B518" s="2" t="s">
        <v>2924</v>
      </c>
      <c r="C518" s="2" t="str">
        <f t="shared" si="8"/>
        <v>TX0008761_003</v>
      </c>
      <c r="D518" s="2" t="s">
        <v>3074</v>
      </c>
    </row>
    <row r="519" spans="1:4" x14ac:dyDescent="0.25">
      <c r="A519" s="2" t="s">
        <v>5369</v>
      </c>
      <c r="B519" s="2" t="s">
        <v>2936</v>
      </c>
      <c r="C519" s="2" t="str">
        <f t="shared" si="8"/>
        <v>TX0008761_004</v>
      </c>
      <c r="D519" s="2" t="s">
        <v>3074</v>
      </c>
    </row>
    <row r="520" spans="1:4" x14ac:dyDescent="0.25">
      <c r="A520" s="2" t="s">
        <v>5369</v>
      </c>
      <c r="B520" s="2" t="s">
        <v>2934</v>
      </c>
      <c r="C520" s="2" t="str">
        <f t="shared" si="8"/>
        <v>TX0008761_005</v>
      </c>
      <c r="D520" s="2" t="s">
        <v>3074</v>
      </c>
    </row>
    <row r="521" spans="1:4" x14ac:dyDescent="0.25">
      <c r="A521" s="2" t="s">
        <v>5370</v>
      </c>
      <c r="B521" s="2" t="s">
        <v>2921</v>
      </c>
      <c r="C521" s="2" t="str">
        <f t="shared" si="8"/>
        <v>TX0008788_001</v>
      </c>
      <c r="D521" s="2" t="s">
        <v>3075</v>
      </c>
    </row>
    <row r="522" spans="1:4" x14ac:dyDescent="0.25">
      <c r="A522" s="2" t="s">
        <v>5370</v>
      </c>
      <c r="B522" s="2" t="s">
        <v>2923</v>
      </c>
      <c r="C522" s="2" t="str">
        <f t="shared" si="8"/>
        <v>TX0008788_002</v>
      </c>
      <c r="D522" s="2" t="s">
        <v>3075</v>
      </c>
    </row>
    <row r="523" spans="1:4" x14ac:dyDescent="0.25">
      <c r="A523" s="2" t="s">
        <v>5370</v>
      </c>
      <c r="B523" s="2" t="s">
        <v>2924</v>
      </c>
      <c r="C523" s="2" t="str">
        <f t="shared" si="8"/>
        <v>TX0008788_003</v>
      </c>
      <c r="D523" s="2" t="s">
        <v>3075</v>
      </c>
    </row>
    <row r="524" spans="1:4" x14ac:dyDescent="0.25">
      <c r="A524" s="2" t="s">
        <v>5370</v>
      </c>
      <c r="B524" s="2" t="s">
        <v>2936</v>
      </c>
      <c r="C524" s="2" t="str">
        <f t="shared" si="8"/>
        <v>TX0008788_004</v>
      </c>
      <c r="D524" s="2" t="s">
        <v>3075</v>
      </c>
    </row>
    <row r="525" spans="1:4" x14ac:dyDescent="0.25">
      <c r="A525" s="2" t="s">
        <v>5370</v>
      </c>
      <c r="B525" s="2" t="s">
        <v>2934</v>
      </c>
      <c r="C525" s="2" t="str">
        <f t="shared" si="8"/>
        <v>TX0008788_005</v>
      </c>
      <c r="D525" s="2" t="s">
        <v>3075</v>
      </c>
    </row>
    <row r="526" spans="1:4" x14ac:dyDescent="0.25">
      <c r="A526" s="2" t="s">
        <v>5370</v>
      </c>
      <c r="B526" s="2" t="s">
        <v>2940</v>
      </c>
      <c r="C526" s="2" t="str">
        <f t="shared" si="8"/>
        <v>TX0008788_006</v>
      </c>
      <c r="D526" s="2" t="s">
        <v>3075</v>
      </c>
    </row>
    <row r="527" spans="1:4" x14ac:dyDescent="0.25">
      <c r="A527" s="2" t="s">
        <v>5370</v>
      </c>
      <c r="B527" s="2" t="s">
        <v>2959</v>
      </c>
      <c r="C527" s="2" t="str">
        <f t="shared" si="8"/>
        <v>TX0008788_007</v>
      </c>
      <c r="D527" s="2" t="s">
        <v>3075</v>
      </c>
    </row>
    <row r="528" spans="1:4" x14ac:dyDescent="0.25">
      <c r="A528" s="2" t="s">
        <v>5371</v>
      </c>
      <c r="B528" s="2" t="s">
        <v>2921</v>
      </c>
      <c r="C528" s="2" t="str">
        <f t="shared" si="8"/>
        <v>TX0008826_001</v>
      </c>
      <c r="D528" s="2" t="s">
        <v>3076</v>
      </c>
    </row>
    <row r="529" spans="1:4" x14ac:dyDescent="0.25">
      <c r="A529" s="2" t="s">
        <v>5372</v>
      </c>
      <c r="B529" s="2" t="s">
        <v>2921</v>
      </c>
      <c r="C529" s="2" t="str">
        <f t="shared" si="8"/>
        <v>TX0008834_001</v>
      </c>
      <c r="D529" s="2" t="s">
        <v>3077</v>
      </c>
    </row>
    <row r="530" spans="1:4" x14ac:dyDescent="0.25">
      <c r="A530" s="2" t="s">
        <v>5373</v>
      </c>
      <c r="B530" s="2" t="s">
        <v>2921</v>
      </c>
      <c r="C530" s="2" t="str">
        <f t="shared" si="8"/>
        <v>TX0008851_001</v>
      </c>
      <c r="D530" s="2" t="s">
        <v>3078</v>
      </c>
    </row>
    <row r="531" spans="1:4" x14ac:dyDescent="0.25">
      <c r="A531" s="2" t="s">
        <v>5374</v>
      </c>
      <c r="B531" s="2" t="s">
        <v>2921</v>
      </c>
      <c r="C531" s="2" t="str">
        <f t="shared" si="8"/>
        <v>TX0008907_001</v>
      </c>
      <c r="D531" s="2" t="s">
        <v>3079</v>
      </c>
    </row>
    <row r="532" spans="1:4" x14ac:dyDescent="0.25">
      <c r="A532" s="2" t="s">
        <v>5374</v>
      </c>
      <c r="B532" s="2" t="s">
        <v>2923</v>
      </c>
      <c r="C532" s="2" t="str">
        <f t="shared" si="8"/>
        <v>TX0008907_002</v>
      </c>
      <c r="D532" s="2" t="s">
        <v>3079</v>
      </c>
    </row>
    <row r="533" spans="1:4" x14ac:dyDescent="0.25">
      <c r="A533" s="2" t="s">
        <v>5375</v>
      </c>
      <c r="B533" s="2" t="s">
        <v>2921</v>
      </c>
      <c r="C533" s="2" t="str">
        <f t="shared" si="8"/>
        <v>TX0008982_001</v>
      </c>
      <c r="D533" s="2" t="s">
        <v>3080</v>
      </c>
    </row>
    <row r="534" spans="1:4" x14ac:dyDescent="0.25">
      <c r="A534" s="2" t="s">
        <v>5376</v>
      </c>
      <c r="B534" s="2" t="s">
        <v>2921</v>
      </c>
      <c r="C534" s="2" t="str">
        <f t="shared" si="8"/>
        <v>TX0009067_001</v>
      </c>
      <c r="D534" s="2" t="s">
        <v>2925</v>
      </c>
    </row>
    <row r="535" spans="1:4" x14ac:dyDescent="0.25">
      <c r="A535" s="2" t="s">
        <v>5376</v>
      </c>
      <c r="B535" s="2" t="s">
        <v>2923</v>
      </c>
      <c r="C535" s="2" t="str">
        <f t="shared" si="8"/>
        <v>TX0009067_002</v>
      </c>
      <c r="D535" s="2" t="s">
        <v>2925</v>
      </c>
    </row>
    <row r="536" spans="1:4" x14ac:dyDescent="0.25">
      <c r="A536" s="2" t="s">
        <v>5377</v>
      </c>
      <c r="B536" s="2" t="s">
        <v>3081</v>
      </c>
      <c r="C536" s="2" t="str">
        <f t="shared" si="8"/>
        <v>TX0009148_027</v>
      </c>
      <c r="D536" s="2" t="s">
        <v>3082</v>
      </c>
    </row>
    <row r="537" spans="1:4" x14ac:dyDescent="0.25">
      <c r="A537" s="2" t="s">
        <v>5377</v>
      </c>
      <c r="B537" s="2" t="s">
        <v>3083</v>
      </c>
      <c r="C537" s="2" t="str">
        <f t="shared" si="8"/>
        <v>TX0009148_026</v>
      </c>
      <c r="D537" s="2" t="s">
        <v>3082</v>
      </c>
    </row>
    <row r="538" spans="1:4" x14ac:dyDescent="0.25">
      <c r="A538" s="2" t="s">
        <v>5377</v>
      </c>
      <c r="B538" s="2" t="s">
        <v>3084</v>
      </c>
      <c r="C538" s="2" t="str">
        <f t="shared" si="8"/>
        <v>TX0009148_017</v>
      </c>
      <c r="D538" s="2" t="s">
        <v>3082</v>
      </c>
    </row>
    <row r="539" spans="1:4" x14ac:dyDescent="0.25">
      <c r="A539" s="2" t="s">
        <v>5377</v>
      </c>
      <c r="B539" s="2" t="s">
        <v>3001</v>
      </c>
      <c r="C539" s="2" t="str">
        <f t="shared" si="8"/>
        <v>TX0009148_018</v>
      </c>
      <c r="D539" s="2" t="s">
        <v>3082</v>
      </c>
    </row>
    <row r="540" spans="1:4" x14ac:dyDescent="0.25">
      <c r="A540" s="2" t="s">
        <v>5377</v>
      </c>
      <c r="B540" s="2" t="s">
        <v>3085</v>
      </c>
      <c r="C540" s="2" t="str">
        <f t="shared" si="8"/>
        <v>TX0009148_019</v>
      </c>
      <c r="D540" s="2" t="s">
        <v>3082</v>
      </c>
    </row>
    <row r="541" spans="1:4" x14ac:dyDescent="0.25">
      <c r="A541" s="2" t="s">
        <v>5377</v>
      </c>
      <c r="B541" s="2" t="s">
        <v>3003</v>
      </c>
      <c r="C541" s="2" t="str">
        <f t="shared" si="8"/>
        <v>TX0009148_020</v>
      </c>
      <c r="D541" s="2" t="s">
        <v>3082</v>
      </c>
    </row>
    <row r="542" spans="1:4" x14ac:dyDescent="0.25">
      <c r="A542" s="2" t="s">
        <v>5377</v>
      </c>
      <c r="B542" s="2" t="s">
        <v>3002</v>
      </c>
      <c r="C542" s="2" t="str">
        <f t="shared" si="8"/>
        <v>TX0009148_021</v>
      </c>
      <c r="D542" s="2" t="s">
        <v>3082</v>
      </c>
    </row>
    <row r="543" spans="1:4" x14ac:dyDescent="0.25">
      <c r="A543" s="2" t="s">
        <v>5377</v>
      </c>
      <c r="B543" s="2" t="s">
        <v>3086</v>
      </c>
      <c r="C543" s="2" t="str">
        <f t="shared" si="8"/>
        <v>TX0009148_022</v>
      </c>
      <c r="D543" s="2" t="s">
        <v>3082</v>
      </c>
    </row>
    <row r="544" spans="1:4" x14ac:dyDescent="0.25">
      <c r="A544" s="2" t="s">
        <v>5377</v>
      </c>
      <c r="B544" s="2" t="s">
        <v>2923</v>
      </c>
      <c r="C544" s="2" t="str">
        <f t="shared" si="8"/>
        <v>TX0009148_002</v>
      </c>
      <c r="D544" s="2" t="s">
        <v>3082</v>
      </c>
    </row>
    <row r="545" spans="1:4" x14ac:dyDescent="0.25">
      <c r="A545" s="2" t="s">
        <v>5377</v>
      </c>
      <c r="B545" s="2" t="s">
        <v>2924</v>
      </c>
      <c r="C545" s="2" t="str">
        <f t="shared" si="8"/>
        <v>TX0009148_003</v>
      </c>
      <c r="D545" s="2" t="s">
        <v>3082</v>
      </c>
    </row>
    <row r="546" spans="1:4" x14ac:dyDescent="0.25">
      <c r="A546" s="2" t="s">
        <v>5377</v>
      </c>
      <c r="B546" s="2" t="s">
        <v>2921</v>
      </c>
      <c r="C546" s="2" t="str">
        <f t="shared" si="8"/>
        <v>TX0009148_001</v>
      </c>
      <c r="D546" s="2" t="s">
        <v>3082</v>
      </c>
    </row>
    <row r="547" spans="1:4" x14ac:dyDescent="0.25">
      <c r="A547" s="2" t="s">
        <v>5377</v>
      </c>
      <c r="B547" s="2" t="s">
        <v>2923</v>
      </c>
      <c r="C547" s="2" t="str">
        <f t="shared" si="8"/>
        <v>TX0009148_002</v>
      </c>
      <c r="D547" s="2" t="s">
        <v>3082</v>
      </c>
    </row>
    <row r="548" spans="1:4" x14ac:dyDescent="0.25">
      <c r="A548" s="2" t="s">
        <v>5377</v>
      </c>
      <c r="B548" s="2" t="s">
        <v>2924</v>
      </c>
      <c r="C548" s="2" t="str">
        <f t="shared" si="8"/>
        <v>TX0009148_003</v>
      </c>
      <c r="D548" s="2" t="s">
        <v>3082</v>
      </c>
    </row>
    <row r="549" spans="1:4" x14ac:dyDescent="0.25">
      <c r="A549" s="2" t="s">
        <v>5377</v>
      </c>
      <c r="B549" s="2" t="s">
        <v>2936</v>
      </c>
      <c r="C549" s="2" t="str">
        <f t="shared" si="8"/>
        <v>TX0009148_004</v>
      </c>
      <c r="D549" s="2" t="s">
        <v>3082</v>
      </c>
    </row>
    <row r="550" spans="1:4" x14ac:dyDescent="0.25">
      <c r="A550" s="2" t="s">
        <v>5377</v>
      </c>
      <c r="B550" s="2" t="s">
        <v>2934</v>
      </c>
      <c r="C550" s="2" t="str">
        <f t="shared" si="8"/>
        <v>TX0009148_005</v>
      </c>
      <c r="D550" s="2" t="s">
        <v>3082</v>
      </c>
    </row>
    <row r="551" spans="1:4" x14ac:dyDescent="0.25">
      <c r="A551" s="2" t="s">
        <v>5377</v>
      </c>
      <c r="B551" s="2" t="s">
        <v>2940</v>
      </c>
      <c r="C551" s="2" t="str">
        <f t="shared" si="8"/>
        <v>TX0009148_006</v>
      </c>
      <c r="D551" s="2" t="s">
        <v>3082</v>
      </c>
    </row>
    <row r="552" spans="1:4" x14ac:dyDescent="0.25">
      <c r="A552" s="2" t="s">
        <v>5377</v>
      </c>
      <c r="B552" s="2" t="s">
        <v>2959</v>
      </c>
      <c r="C552" s="2" t="str">
        <f t="shared" si="8"/>
        <v>TX0009148_007</v>
      </c>
      <c r="D552" s="2" t="s">
        <v>3082</v>
      </c>
    </row>
    <row r="553" spans="1:4" x14ac:dyDescent="0.25">
      <c r="A553" s="2" t="s">
        <v>5377</v>
      </c>
      <c r="B553" s="2" t="s">
        <v>2946</v>
      </c>
      <c r="C553" s="2" t="str">
        <f t="shared" si="8"/>
        <v>TX0009148_008</v>
      </c>
      <c r="D553" s="2" t="s">
        <v>3082</v>
      </c>
    </row>
    <row r="554" spans="1:4" x14ac:dyDescent="0.25">
      <c r="A554" s="2" t="s">
        <v>5377</v>
      </c>
      <c r="B554" s="2" t="s">
        <v>2969</v>
      </c>
      <c r="C554" s="2" t="str">
        <f t="shared" si="8"/>
        <v>TX0009148_009</v>
      </c>
      <c r="D554" s="2" t="s">
        <v>3082</v>
      </c>
    </row>
    <row r="555" spans="1:4" x14ac:dyDescent="0.25">
      <c r="A555" s="2" t="s">
        <v>5377</v>
      </c>
      <c r="B555" s="2" t="s">
        <v>2947</v>
      </c>
      <c r="C555" s="2" t="str">
        <f t="shared" si="8"/>
        <v>TX0009148_010</v>
      </c>
      <c r="D555" s="2" t="s">
        <v>3082</v>
      </c>
    </row>
    <row r="556" spans="1:4" x14ac:dyDescent="0.25">
      <c r="A556" s="2" t="s">
        <v>5377</v>
      </c>
      <c r="B556" s="2" t="s">
        <v>2948</v>
      </c>
      <c r="C556" s="2" t="str">
        <f t="shared" si="8"/>
        <v>TX0009148_011</v>
      </c>
      <c r="D556" s="2" t="s">
        <v>3082</v>
      </c>
    </row>
    <row r="557" spans="1:4" x14ac:dyDescent="0.25">
      <c r="A557" s="2" t="s">
        <v>5377</v>
      </c>
      <c r="B557" s="2" t="s">
        <v>2949</v>
      </c>
      <c r="C557" s="2" t="str">
        <f t="shared" si="8"/>
        <v>TX0009148_012</v>
      </c>
      <c r="D557" s="2" t="s">
        <v>3082</v>
      </c>
    </row>
    <row r="558" spans="1:4" x14ac:dyDescent="0.25">
      <c r="A558" s="2" t="s">
        <v>5377</v>
      </c>
      <c r="B558" s="2" t="s">
        <v>2942</v>
      </c>
      <c r="C558" s="2" t="str">
        <f t="shared" si="8"/>
        <v>TX0009148_013</v>
      </c>
      <c r="D558" s="2" t="s">
        <v>3082</v>
      </c>
    </row>
    <row r="559" spans="1:4" x14ac:dyDescent="0.25">
      <c r="A559" s="2" t="s">
        <v>5377</v>
      </c>
      <c r="B559" s="2" t="s">
        <v>2944</v>
      </c>
      <c r="C559" s="2" t="str">
        <f t="shared" si="8"/>
        <v>TX0009148_014</v>
      </c>
      <c r="D559" s="2" t="s">
        <v>3082</v>
      </c>
    </row>
    <row r="560" spans="1:4" x14ac:dyDescent="0.25">
      <c r="A560" s="2" t="s">
        <v>5377</v>
      </c>
      <c r="B560" s="2" t="s">
        <v>2945</v>
      </c>
      <c r="C560" s="2" t="str">
        <f t="shared" si="8"/>
        <v>TX0009148_015</v>
      </c>
      <c r="D560" s="2" t="s">
        <v>3082</v>
      </c>
    </row>
    <row r="561" spans="1:4" x14ac:dyDescent="0.25">
      <c r="A561" s="2" t="s">
        <v>5377</v>
      </c>
      <c r="B561" s="2" t="s">
        <v>2970</v>
      </c>
      <c r="C561" s="2" t="str">
        <f t="shared" si="8"/>
        <v>TX0009148_016</v>
      </c>
      <c r="D561" s="2" t="s">
        <v>3082</v>
      </c>
    </row>
    <row r="562" spans="1:4" x14ac:dyDescent="0.25">
      <c r="A562" s="2" t="s">
        <v>5378</v>
      </c>
      <c r="B562" s="2" t="s">
        <v>2921</v>
      </c>
      <c r="C562" s="2" t="str">
        <f t="shared" si="8"/>
        <v>TX00138673_001</v>
      </c>
      <c r="D562" s="2" t="s">
        <v>3087</v>
      </c>
    </row>
    <row r="563" spans="1:4" x14ac:dyDescent="0.25">
      <c r="A563" s="2" t="s">
        <v>5379</v>
      </c>
      <c r="B563" s="2" t="s">
        <v>2921</v>
      </c>
      <c r="C563" s="2" t="str">
        <f t="shared" si="8"/>
        <v>TX0020036_001</v>
      </c>
      <c r="D563" s="2" t="s">
        <v>3088</v>
      </c>
    </row>
    <row r="564" spans="1:4" x14ac:dyDescent="0.25">
      <c r="A564" s="2" t="s">
        <v>5380</v>
      </c>
      <c r="B564" s="2" t="s">
        <v>2921</v>
      </c>
      <c r="C564" s="2" t="str">
        <f t="shared" si="8"/>
        <v>TX0020052_001</v>
      </c>
      <c r="D564" s="2" t="s">
        <v>3089</v>
      </c>
    </row>
    <row r="565" spans="1:4" x14ac:dyDescent="0.25">
      <c r="A565" s="2" t="s">
        <v>5381</v>
      </c>
      <c r="B565" s="2" t="s">
        <v>2921</v>
      </c>
      <c r="C565" s="2" t="str">
        <f t="shared" si="8"/>
        <v>TX0020061_001</v>
      </c>
      <c r="D565" s="2" t="s">
        <v>3090</v>
      </c>
    </row>
    <row r="566" spans="1:4" x14ac:dyDescent="0.25">
      <c r="A566" s="2" t="s">
        <v>5382</v>
      </c>
      <c r="B566" s="2" t="s">
        <v>2921</v>
      </c>
      <c r="C566" s="2" t="str">
        <f t="shared" si="8"/>
        <v>TX0020079_001</v>
      </c>
      <c r="D566" s="2" t="s">
        <v>3091</v>
      </c>
    </row>
    <row r="567" spans="1:4" x14ac:dyDescent="0.25">
      <c r="A567" s="2" t="s">
        <v>5383</v>
      </c>
      <c r="B567" s="2" t="s">
        <v>2921</v>
      </c>
      <c r="C567" s="2" t="str">
        <f t="shared" si="8"/>
        <v>TX0020095_001</v>
      </c>
      <c r="D567" s="2" t="s">
        <v>3092</v>
      </c>
    </row>
    <row r="568" spans="1:4" x14ac:dyDescent="0.25">
      <c r="A568" s="2" t="s">
        <v>5384</v>
      </c>
      <c r="B568" s="2" t="s">
        <v>2921</v>
      </c>
      <c r="C568" s="2" t="str">
        <f t="shared" si="8"/>
        <v>TX0020109_001</v>
      </c>
      <c r="D568" s="2" t="s">
        <v>3093</v>
      </c>
    </row>
    <row r="569" spans="1:4" x14ac:dyDescent="0.25">
      <c r="A569" s="2" t="s">
        <v>5385</v>
      </c>
      <c r="B569" s="2" t="s">
        <v>2921</v>
      </c>
      <c r="C569" s="2" t="str">
        <f t="shared" si="8"/>
        <v>TX0020117_001</v>
      </c>
      <c r="D569" s="2" t="s">
        <v>3093</v>
      </c>
    </row>
    <row r="570" spans="1:4" x14ac:dyDescent="0.25">
      <c r="A570" s="2" t="s">
        <v>5386</v>
      </c>
      <c r="B570" s="2" t="s">
        <v>2921</v>
      </c>
      <c r="C570" s="2" t="str">
        <f t="shared" si="8"/>
        <v>TX0020192_001</v>
      </c>
      <c r="D570" s="2" t="s">
        <v>3094</v>
      </c>
    </row>
    <row r="571" spans="1:4" x14ac:dyDescent="0.25">
      <c r="A571" s="2" t="s">
        <v>5387</v>
      </c>
      <c r="B571" s="2" t="s">
        <v>2921</v>
      </c>
      <c r="C571" s="2" t="str">
        <f t="shared" si="8"/>
        <v>TX0020206_001</v>
      </c>
      <c r="D571" s="2" t="s">
        <v>3095</v>
      </c>
    </row>
    <row r="572" spans="1:4" x14ac:dyDescent="0.25">
      <c r="A572" s="2" t="s">
        <v>5388</v>
      </c>
      <c r="B572" s="2" t="s">
        <v>2921</v>
      </c>
      <c r="C572" s="2" t="str">
        <f t="shared" si="8"/>
        <v>TX0020249_001</v>
      </c>
      <c r="D572" s="2" t="s">
        <v>3096</v>
      </c>
    </row>
    <row r="573" spans="1:4" x14ac:dyDescent="0.25">
      <c r="A573" s="2" t="s">
        <v>5389</v>
      </c>
      <c r="B573" s="2" t="s">
        <v>2921</v>
      </c>
      <c r="C573" s="2" t="str">
        <f t="shared" si="8"/>
        <v>TX0020257_001</v>
      </c>
      <c r="D573" s="2" t="s">
        <v>3096</v>
      </c>
    </row>
    <row r="574" spans="1:4" x14ac:dyDescent="0.25">
      <c r="A574" s="2" t="s">
        <v>5390</v>
      </c>
      <c r="B574" s="2" t="s">
        <v>2921</v>
      </c>
      <c r="C574" s="2" t="str">
        <f t="shared" si="8"/>
        <v>TX0020290_001</v>
      </c>
      <c r="D574" s="2" t="s">
        <v>3097</v>
      </c>
    </row>
    <row r="575" spans="1:4" x14ac:dyDescent="0.25">
      <c r="A575" s="2" t="s">
        <v>5390</v>
      </c>
      <c r="B575" s="2" t="s">
        <v>2923</v>
      </c>
      <c r="C575" s="2" t="str">
        <f t="shared" si="8"/>
        <v>TX0020290_002</v>
      </c>
      <c r="D575" s="2" t="s">
        <v>3097</v>
      </c>
    </row>
    <row r="576" spans="1:4" x14ac:dyDescent="0.25">
      <c r="A576" s="2" t="s">
        <v>5391</v>
      </c>
      <c r="B576" s="2" t="s">
        <v>2921</v>
      </c>
      <c r="C576" s="2" t="str">
        <f t="shared" si="8"/>
        <v>TX0020303_001</v>
      </c>
      <c r="D576" s="2" t="s">
        <v>3098</v>
      </c>
    </row>
    <row r="577" spans="1:4" x14ac:dyDescent="0.25">
      <c r="A577" s="2" t="s">
        <v>5392</v>
      </c>
      <c r="B577" s="2" t="s">
        <v>2921</v>
      </c>
      <c r="C577" s="2" t="str">
        <f t="shared" si="8"/>
        <v>TX0020311_001</v>
      </c>
      <c r="D577" s="2" t="s">
        <v>3099</v>
      </c>
    </row>
    <row r="578" spans="1:4" x14ac:dyDescent="0.25">
      <c r="A578" s="2" t="s">
        <v>5393</v>
      </c>
      <c r="B578" s="2" t="s">
        <v>2921</v>
      </c>
      <c r="C578" s="2" t="str">
        <f t="shared" si="8"/>
        <v>TX0020320_001</v>
      </c>
      <c r="D578" s="2" t="s">
        <v>3100</v>
      </c>
    </row>
    <row r="579" spans="1:4" x14ac:dyDescent="0.25">
      <c r="A579" s="2" t="s">
        <v>5394</v>
      </c>
      <c r="B579" s="2" t="s">
        <v>2921</v>
      </c>
      <c r="C579" s="2" t="str">
        <f t="shared" ref="C579:C642" si="9">A579 &amp; "_" &amp; B579</f>
        <v>TX0020346_001</v>
      </c>
      <c r="D579" s="2" t="s">
        <v>3101</v>
      </c>
    </row>
    <row r="580" spans="1:4" x14ac:dyDescent="0.25">
      <c r="A580" s="2" t="s">
        <v>5395</v>
      </c>
      <c r="B580" s="2" t="s">
        <v>2921</v>
      </c>
      <c r="C580" s="2" t="str">
        <f t="shared" si="9"/>
        <v>TX0020354_001</v>
      </c>
      <c r="D580" s="2" t="s">
        <v>3102</v>
      </c>
    </row>
    <row r="581" spans="1:4" x14ac:dyDescent="0.25">
      <c r="A581" s="2" t="s">
        <v>5396</v>
      </c>
      <c r="B581" s="2" t="s">
        <v>2921</v>
      </c>
      <c r="C581" s="2" t="str">
        <f t="shared" si="9"/>
        <v>TX0020389_001</v>
      </c>
      <c r="D581" s="2" t="s">
        <v>3103</v>
      </c>
    </row>
    <row r="582" spans="1:4" x14ac:dyDescent="0.25">
      <c r="A582" s="2" t="s">
        <v>5397</v>
      </c>
      <c r="B582" s="2" t="s">
        <v>2921</v>
      </c>
      <c r="C582" s="2" t="str">
        <f t="shared" si="9"/>
        <v>TX0020397_001</v>
      </c>
      <c r="D582" s="2" t="s">
        <v>3104</v>
      </c>
    </row>
    <row r="583" spans="1:4" x14ac:dyDescent="0.25">
      <c r="A583" s="2" t="s">
        <v>5398</v>
      </c>
      <c r="B583" s="2" t="s">
        <v>2921</v>
      </c>
      <c r="C583" s="2" t="str">
        <f t="shared" si="9"/>
        <v>TX0020401_001</v>
      </c>
      <c r="D583" s="2" t="s">
        <v>3105</v>
      </c>
    </row>
    <row r="584" spans="1:4" x14ac:dyDescent="0.25">
      <c r="A584" s="2" t="s">
        <v>5399</v>
      </c>
      <c r="B584" s="2" t="s">
        <v>2921</v>
      </c>
      <c r="C584" s="2" t="str">
        <f t="shared" si="9"/>
        <v>TX0020419_001</v>
      </c>
      <c r="D584" s="2" t="s">
        <v>3106</v>
      </c>
    </row>
    <row r="585" spans="1:4" x14ac:dyDescent="0.25">
      <c r="A585" s="2" t="s">
        <v>5400</v>
      </c>
      <c r="B585" s="2" t="s">
        <v>2921</v>
      </c>
      <c r="C585" s="2" t="str">
        <f t="shared" si="9"/>
        <v>TX0020443_001</v>
      </c>
      <c r="D585" s="2" t="s">
        <v>3107</v>
      </c>
    </row>
    <row r="586" spans="1:4" x14ac:dyDescent="0.25">
      <c r="A586" s="2" t="s">
        <v>5401</v>
      </c>
      <c r="B586" s="2" t="s">
        <v>2921</v>
      </c>
      <c r="C586" s="2" t="str">
        <f t="shared" si="9"/>
        <v>TX0020451_001</v>
      </c>
      <c r="D586" s="2" t="s">
        <v>3108</v>
      </c>
    </row>
    <row r="587" spans="1:4" x14ac:dyDescent="0.25">
      <c r="A587" s="2" t="s">
        <v>5402</v>
      </c>
      <c r="B587" s="2" t="s">
        <v>2921</v>
      </c>
      <c r="C587" s="2" t="str">
        <f t="shared" si="9"/>
        <v>TX0020460_001</v>
      </c>
      <c r="D587" s="2" t="s">
        <v>3109</v>
      </c>
    </row>
    <row r="588" spans="1:4" x14ac:dyDescent="0.25">
      <c r="A588" s="2" t="s">
        <v>5403</v>
      </c>
      <c r="B588" s="2" t="s">
        <v>2921</v>
      </c>
      <c r="C588" s="2" t="str">
        <f t="shared" si="9"/>
        <v>TX0020478_001</v>
      </c>
      <c r="D588" s="2" t="s">
        <v>3110</v>
      </c>
    </row>
    <row r="589" spans="1:4" x14ac:dyDescent="0.25">
      <c r="A589" s="2" t="s">
        <v>5404</v>
      </c>
      <c r="B589" s="2" t="s">
        <v>2921</v>
      </c>
      <c r="C589" s="2" t="str">
        <f t="shared" si="9"/>
        <v>TX0020516_001</v>
      </c>
      <c r="D589" s="2" t="s">
        <v>3111</v>
      </c>
    </row>
    <row r="590" spans="1:4" x14ac:dyDescent="0.25">
      <c r="A590" s="2" t="s">
        <v>5405</v>
      </c>
      <c r="B590" s="2" t="s">
        <v>2921</v>
      </c>
      <c r="C590" s="2" t="str">
        <f t="shared" si="9"/>
        <v>TX0020524_001</v>
      </c>
      <c r="D590" s="2" t="s">
        <v>3111</v>
      </c>
    </row>
    <row r="591" spans="1:4" x14ac:dyDescent="0.25">
      <c r="A591" s="2" t="s">
        <v>5406</v>
      </c>
      <c r="B591" s="2" t="s">
        <v>2921</v>
      </c>
      <c r="C591" s="2" t="str">
        <f t="shared" si="9"/>
        <v>TX0020559_001</v>
      </c>
      <c r="D591" s="2" t="s">
        <v>3112</v>
      </c>
    </row>
    <row r="592" spans="1:4" x14ac:dyDescent="0.25">
      <c r="A592" s="2" t="s">
        <v>5407</v>
      </c>
      <c r="B592" s="2" t="s">
        <v>2921</v>
      </c>
      <c r="C592" s="2" t="str">
        <f t="shared" si="9"/>
        <v>TX0020567_001</v>
      </c>
      <c r="D592" s="2" t="s">
        <v>3113</v>
      </c>
    </row>
    <row r="593" spans="1:4" x14ac:dyDescent="0.25">
      <c r="A593" s="2" t="s">
        <v>5408</v>
      </c>
      <c r="B593" s="2" t="s">
        <v>2921</v>
      </c>
      <c r="C593" s="2" t="str">
        <f t="shared" si="9"/>
        <v>TX0020591_001</v>
      </c>
      <c r="D593" s="2" t="s">
        <v>3114</v>
      </c>
    </row>
    <row r="594" spans="1:4" x14ac:dyDescent="0.25">
      <c r="A594" s="2" t="s">
        <v>5409</v>
      </c>
      <c r="B594" s="2" t="s">
        <v>2921</v>
      </c>
      <c r="C594" s="2" t="str">
        <f t="shared" si="9"/>
        <v>TX0020613_001</v>
      </c>
      <c r="D594" s="2" t="s">
        <v>3115</v>
      </c>
    </row>
    <row r="595" spans="1:4" x14ac:dyDescent="0.25">
      <c r="A595" s="2" t="s">
        <v>5410</v>
      </c>
      <c r="B595" s="2" t="s">
        <v>2921</v>
      </c>
      <c r="C595" s="2" t="str">
        <f t="shared" si="9"/>
        <v>TX0020621_001</v>
      </c>
      <c r="D595" s="2" t="s">
        <v>3116</v>
      </c>
    </row>
    <row r="596" spans="1:4" x14ac:dyDescent="0.25">
      <c r="A596" s="2" t="s">
        <v>5411</v>
      </c>
      <c r="B596" s="2" t="s">
        <v>2921</v>
      </c>
      <c r="C596" s="2" t="str">
        <f t="shared" si="9"/>
        <v>TX0020711_001</v>
      </c>
      <c r="D596" s="2" t="s">
        <v>3117</v>
      </c>
    </row>
    <row r="597" spans="1:4" x14ac:dyDescent="0.25">
      <c r="A597" s="2" t="s">
        <v>5412</v>
      </c>
      <c r="B597" s="2" t="s">
        <v>2921</v>
      </c>
      <c r="C597" s="2" t="str">
        <f t="shared" si="9"/>
        <v>TX0020788_001</v>
      </c>
      <c r="D597" s="2" t="s">
        <v>3118</v>
      </c>
    </row>
    <row r="598" spans="1:4" x14ac:dyDescent="0.25">
      <c r="A598" s="2" t="s">
        <v>5413</v>
      </c>
      <c r="B598" s="2" t="s">
        <v>2921</v>
      </c>
      <c r="C598" s="2" t="str">
        <f t="shared" si="9"/>
        <v>TX0020800_001</v>
      </c>
      <c r="D598" s="2" t="s">
        <v>3119</v>
      </c>
    </row>
    <row r="599" spans="1:4" x14ac:dyDescent="0.25">
      <c r="A599" s="2" t="s">
        <v>5414</v>
      </c>
      <c r="B599" s="2" t="s">
        <v>2921</v>
      </c>
      <c r="C599" s="2" t="str">
        <f t="shared" si="9"/>
        <v>TX0020923_001</v>
      </c>
      <c r="D599" s="2" t="s">
        <v>3120</v>
      </c>
    </row>
    <row r="600" spans="1:4" x14ac:dyDescent="0.25">
      <c r="A600" s="2" t="s">
        <v>5415</v>
      </c>
      <c r="B600" s="2" t="s">
        <v>2921</v>
      </c>
      <c r="C600" s="2" t="str">
        <f t="shared" si="9"/>
        <v>TX0020974_001</v>
      </c>
      <c r="D600" s="2" t="s">
        <v>3121</v>
      </c>
    </row>
    <row r="601" spans="1:4" x14ac:dyDescent="0.25">
      <c r="A601" s="2" t="s">
        <v>5416</v>
      </c>
      <c r="B601" s="2" t="s">
        <v>2921</v>
      </c>
      <c r="C601" s="2" t="str">
        <f t="shared" si="9"/>
        <v>TX0020991_001</v>
      </c>
      <c r="D601" s="2" t="s">
        <v>3122</v>
      </c>
    </row>
    <row r="602" spans="1:4" x14ac:dyDescent="0.25">
      <c r="A602" s="2" t="s">
        <v>5417</v>
      </c>
      <c r="B602" s="2" t="s">
        <v>2921</v>
      </c>
      <c r="C602" s="2" t="str">
        <f t="shared" si="9"/>
        <v>TX0021075_001</v>
      </c>
      <c r="D602" s="2" t="s">
        <v>3123</v>
      </c>
    </row>
    <row r="603" spans="1:4" x14ac:dyDescent="0.25">
      <c r="A603" s="2" t="s">
        <v>5418</v>
      </c>
      <c r="B603" s="2" t="s">
        <v>2921</v>
      </c>
      <c r="C603" s="2" t="str">
        <f t="shared" si="9"/>
        <v>TX0021083_001</v>
      </c>
      <c r="D603" s="2" t="s">
        <v>3124</v>
      </c>
    </row>
    <row r="604" spans="1:4" x14ac:dyDescent="0.25">
      <c r="A604" s="2" t="s">
        <v>5419</v>
      </c>
      <c r="B604" s="2" t="s">
        <v>2921</v>
      </c>
      <c r="C604" s="2" t="str">
        <f t="shared" si="9"/>
        <v>TX0021105_001</v>
      </c>
      <c r="D604" s="2" t="s">
        <v>3125</v>
      </c>
    </row>
    <row r="605" spans="1:4" x14ac:dyDescent="0.25">
      <c r="A605" s="2" t="s">
        <v>5420</v>
      </c>
      <c r="B605" s="2" t="s">
        <v>2921</v>
      </c>
      <c r="C605" s="2" t="str">
        <f t="shared" si="9"/>
        <v>TX0021211_001</v>
      </c>
      <c r="D605" s="2" t="s">
        <v>3126</v>
      </c>
    </row>
    <row r="606" spans="1:4" x14ac:dyDescent="0.25">
      <c r="A606" s="2" t="s">
        <v>5421</v>
      </c>
      <c r="B606" s="2" t="s">
        <v>2921</v>
      </c>
      <c r="C606" s="2" t="str">
        <f t="shared" si="9"/>
        <v>TX0021237_001</v>
      </c>
      <c r="D606" s="2" t="s">
        <v>3127</v>
      </c>
    </row>
    <row r="607" spans="1:4" x14ac:dyDescent="0.25">
      <c r="A607" s="2" t="s">
        <v>5422</v>
      </c>
      <c r="B607" s="2" t="s">
        <v>2921</v>
      </c>
      <c r="C607" s="2" t="str">
        <f t="shared" si="9"/>
        <v>TX0021245_001</v>
      </c>
      <c r="D607" s="2" t="s">
        <v>3128</v>
      </c>
    </row>
    <row r="608" spans="1:4" x14ac:dyDescent="0.25">
      <c r="A608" s="2" t="s">
        <v>5423</v>
      </c>
      <c r="B608" s="2" t="s">
        <v>2921</v>
      </c>
      <c r="C608" s="2" t="str">
        <f t="shared" si="9"/>
        <v>TX0021253_001</v>
      </c>
      <c r="D608" s="2" t="s">
        <v>3129</v>
      </c>
    </row>
    <row r="609" spans="1:4" x14ac:dyDescent="0.25">
      <c r="A609" s="2" t="s">
        <v>5424</v>
      </c>
      <c r="B609" s="2" t="s">
        <v>2921</v>
      </c>
      <c r="C609" s="2" t="str">
        <f t="shared" si="9"/>
        <v>TX0021261_001</v>
      </c>
      <c r="D609" s="2" t="s">
        <v>3128</v>
      </c>
    </row>
    <row r="610" spans="1:4" x14ac:dyDescent="0.25">
      <c r="A610" s="2" t="s">
        <v>5425</v>
      </c>
      <c r="B610" s="2" t="s">
        <v>2921</v>
      </c>
      <c r="C610" s="2" t="str">
        <f t="shared" si="9"/>
        <v>TX0021270_001</v>
      </c>
      <c r="D610" s="2" t="s">
        <v>3128</v>
      </c>
    </row>
    <row r="611" spans="1:4" x14ac:dyDescent="0.25">
      <c r="A611" s="2" t="s">
        <v>5426</v>
      </c>
      <c r="B611" s="2" t="s">
        <v>2921</v>
      </c>
      <c r="C611" s="2" t="str">
        <f t="shared" si="9"/>
        <v>TX0021288_001</v>
      </c>
      <c r="D611" s="2" t="s">
        <v>3130</v>
      </c>
    </row>
    <row r="612" spans="1:4" x14ac:dyDescent="0.25">
      <c r="A612" s="2" t="s">
        <v>5427</v>
      </c>
      <c r="B612" s="2" t="s">
        <v>2921</v>
      </c>
      <c r="C612" s="2" t="str">
        <f t="shared" si="9"/>
        <v>TX0021296_001</v>
      </c>
      <c r="D612" s="2" t="s">
        <v>3131</v>
      </c>
    </row>
    <row r="613" spans="1:4" x14ac:dyDescent="0.25">
      <c r="A613" s="2" t="s">
        <v>5428</v>
      </c>
      <c r="B613" s="2" t="s">
        <v>2921</v>
      </c>
      <c r="C613" s="2" t="str">
        <f t="shared" si="9"/>
        <v>TX0021300_001</v>
      </c>
      <c r="D613" s="2" t="s">
        <v>3132</v>
      </c>
    </row>
    <row r="614" spans="1:4" x14ac:dyDescent="0.25">
      <c r="A614" s="2" t="s">
        <v>5429</v>
      </c>
      <c r="B614" s="2" t="s">
        <v>2921</v>
      </c>
      <c r="C614" s="2" t="str">
        <f t="shared" si="9"/>
        <v>TX0021318_001</v>
      </c>
      <c r="D614" s="2" t="s">
        <v>3133</v>
      </c>
    </row>
    <row r="615" spans="1:4" x14ac:dyDescent="0.25">
      <c r="A615" s="2" t="s">
        <v>5430</v>
      </c>
      <c r="B615" s="2" t="s">
        <v>2921</v>
      </c>
      <c r="C615" s="2" t="str">
        <f t="shared" si="9"/>
        <v>TX0021369_001</v>
      </c>
      <c r="D615" s="2" t="s">
        <v>3134</v>
      </c>
    </row>
    <row r="616" spans="1:4" x14ac:dyDescent="0.25">
      <c r="A616" s="2" t="s">
        <v>5431</v>
      </c>
      <c r="B616" s="2" t="s">
        <v>2921</v>
      </c>
      <c r="C616" s="2" t="str">
        <f t="shared" si="9"/>
        <v>TX0021393_001</v>
      </c>
      <c r="D616" s="2" t="s">
        <v>3135</v>
      </c>
    </row>
    <row r="617" spans="1:4" x14ac:dyDescent="0.25">
      <c r="A617" s="2" t="s">
        <v>5432</v>
      </c>
      <c r="B617" s="2" t="s">
        <v>2921</v>
      </c>
      <c r="C617" s="2" t="str">
        <f t="shared" si="9"/>
        <v>TX0021458_001</v>
      </c>
      <c r="D617" s="2" t="s">
        <v>3136</v>
      </c>
    </row>
    <row r="618" spans="1:4" x14ac:dyDescent="0.25">
      <c r="A618" s="2" t="s">
        <v>5433</v>
      </c>
      <c r="B618" s="2" t="s">
        <v>2921</v>
      </c>
      <c r="C618" s="2" t="str">
        <f t="shared" si="9"/>
        <v>TX0021474_001</v>
      </c>
      <c r="D618" s="2" t="s">
        <v>3137</v>
      </c>
    </row>
    <row r="619" spans="1:4" x14ac:dyDescent="0.25">
      <c r="A619" s="2" t="s">
        <v>5434</v>
      </c>
      <c r="B619" s="2" t="s">
        <v>2921</v>
      </c>
      <c r="C619" s="2" t="str">
        <f t="shared" si="9"/>
        <v>TX0021512_001</v>
      </c>
      <c r="D619" s="2" t="s">
        <v>3138</v>
      </c>
    </row>
    <row r="620" spans="1:4" x14ac:dyDescent="0.25">
      <c r="A620" s="2" t="s">
        <v>5435</v>
      </c>
      <c r="B620" s="2" t="s">
        <v>2921</v>
      </c>
      <c r="C620" s="2" t="str">
        <f t="shared" si="9"/>
        <v>TX0021547_001</v>
      </c>
      <c r="D620" s="2" t="s">
        <v>3139</v>
      </c>
    </row>
    <row r="621" spans="1:4" x14ac:dyDescent="0.25">
      <c r="A621" s="2" t="s">
        <v>5436</v>
      </c>
      <c r="B621" s="2" t="s">
        <v>2921</v>
      </c>
      <c r="C621" s="2" t="str">
        <f t="shared" si="9"/>
        <v>TX0021555_001</v>
      </c>
      <c r="D621" s="2" t="s">
        <v>3140</v>
      </c>
    </row>
    <row r="622" spans="1:4" x14ac:dyDescent="0.25">
      <c r="A622" s="2" t="s">
        <v>5437</v>
      </c>
      <c r="B622" s="2" t="s">
        <v>2921</v>
      </c>
      <c r="C622" s="2" t="str">
        <f t="shared" si="9"/>
        <v>TX0021687_001</v>
      </c>
      <c r="D622" s="2" t="s">
        <v>3141</v>
      </c>
    </row>
    <row r="623" spans="1:4" x14ac:dyDescent="0.25">
      <c r="A623" s="2" t="s">
        <v>5438</v>
      </c>
      <c r="B623" s="2" t="s">
        <v>2921</v>
      </c>
      <c r="C623" s="2" t="str">
        <f t="shared" si="9"/>
        <v>TX0021717_001</v>
      </c>
      <c r="D623" s="2" t="s">
        <v>3142</v>
      </c>
    </row>
    <row r="624" spans="1:4" x14ac:dyDescent="0.25">
      <c r="A624" s="2" t="s">
        <v>5439</v>
      </c>
      <c r="B624" s="2" t="s">
        <v>2921</v>
      </c>
      <c r="C624" s="2" t="str">
        <f t="shared" si="9"/>
        <v>TX0021725_001</v>
      </c>
      <c r="D624" s="2" t="s">
        <v>3143</v>
      </c>
    </row>
    <row r="625" spans="1:4" x14ac:dyDescent="0.25">
      <c r="A625" s="2" t="s">
        <v>5440</v>
      </c>
      <c r="B625" s="2" t="s">
        <v>2921</v>
      </c>
      <c r="C625" s="2" t="str">
        <f t="shared" si="9"/>
        <v>TX0021784_001</v>
      </c>
      <c r="D625" s="2" t="s">
        <v>3144</v>
      </c>
    </row>
    <row r="626" spans="1:4" x14ac:dyDescent="0.25">
      <c r="A626" s="2" t="s">
        <v>5441</v>
      </c>
      <c r="B626" s="2" t="s">
        <v>2921</v>
      </c>
      <c r="C626" s="2" t="str">
        <f t="shared" si="9"/>
        <v>TX0021792_001</v>
      </c>
      <c r="D626" s="2" t="s">
        <v>3145</v>
      </c>
    </row>
    <row r="627" spans="1:4" x14ac:dyDescent="0.25">
      <c r="A627" s="2" t="s">
        <v>5442</v>
      </c>
      <c r="B627" s="2" t="s">
        <v>2921</v>
      </c>
      <c r="C627" s="2" t="str">
        <f t="shared" si="9"/>
        <v>TX0021806_001</v>
      </c>
      <c r="D627" s="2" t="s">
        <v>3146</v>
      </c>
    </row>
    <row r="628" spans="1:4" x14ac:dyDescent="0.25">
      <c r="A628" s="2" t="s">
        <v>5443</v>
      </c>
      <c r="B628" s="2" t="s">
        <v>2921</v>
      </c>
      <c r="C628" s="2" t="str">
        <f t="shared" si="9"/>
        <v>TX0021814_001</v>
      </c>
      <c r="D628" s="2" t="s">
        <v>3147</v>
      </c>
    </row>
    <row r="629" spans="1:4" x14ac:dyDescent="0.25">
      <c r="A629" s="2" t="s">
        <v>5444</v>
      </c>
      <c r="B629" s="2" t="s">
        <v>2921</v>
      </c>
      <c r="C629" s="2" t="str">
        <f t="shared" si="9"/>
        <v>TX0021822_001</v>
      </c>
      <c r="D629" s="2" t="s">
        <v>3148</v>
      </c>
    </row>
    <row r="630" spans="1:4" x14ac:dyDescent="0.25">
      <c r="A630" s="2" t="s">
        <v>5445</v>
      </c>
      <c r="B630" s="2" t="s">
        <v>2921</v>
      </c>
      <c r="C630" s="2" t="str">
        <f t="shared" si="9"/>
        <v>TX0022055_001</v>
      </c>
      <c r="D630" s="2" t="s">
        <v>3149</v>
      </c>
    </row>
    <row r="631" spans="1:4" x14ac:dyDescent="0.25">
      <c r="A631" s="2" t="s">
        <v>5446</v>
      </c>
      <c r="B631" s="2" t="s">
        <v>2921</v>
      </c>
      <c r="C631" s="2" t="str">
        <f t="shared" si="9"/>
        <v>TX0022063_001</v>
      </c>
      <c r="D631" s="2" t="s">
        <v>3150</v>
      </c>
    </row>
    <row r="632" spans="1:4" x14ac:dyDescent="0.25">
      <c r="A632" s="2" t="s">
        <v>5447</v>
      </c>
      <c r="B632" s="2" t="s">
        <v>2921</v>
      </c>
      <c r="C632" s="2" t="str">
        <f t="shared" si="9"/>
        <v>TX0022071_001</v>
      </c>
      <c r="D632" s="2" t="s">
        <v>3151</v>
      </c>
    </row>
    <row r="633" spans="1:4" x14ac:dyDescent="0.25">
      <c r="A633" s="2" t="s">
        <v>5448</v>
      </c>
      <c r="B633" s="2" t="s">
        <v>2921</v>
      </c>
      <c r="C633" s="2" t="str">
        <f t="shared" si="9"/>
        <v>TX0022080_001</v>
      </c>
      <c r="D633" s="2" t="s">
        <v>3152</v>
      </c>
    </row>
    <row r="634" spans="1:4" x14ac:dyDescent="0.25">
      <c r="A634" s="2" t="s">
        <v>5449</v>
      </c>
      <c r="B634" s="2" t="s">
        <v>2921</v>
      </c>
      <c r="C634" s="2" t="str">
        <f t="shared" si="9"/>
        <v>TX0022152_001</v>
      </c>
      <c r="D634" s="2" t="s">
        <v>3153</v>
      </c>
    </row>
    <row r="635" spans="1:4" x14ac:dyDescent="0.25">
      <c r="A635" s="2" t="s">
        <v>5450</v>
      </c>
      <c r="B635" s="2" t="s">
        <v>2921</v>
      </c>
      <c r="C635" s="2" t="str">
        <f t="shared" si="9"/>
        <v>TX0022217_001</v>
      </c>
      <c r="D635" s="2" t="s">
        <v>3154</v>
      </c>
    </row>
    <row r="636" spans="1:4" x14ac:dyDescent="0.25">
      <c r="A636" s="2" t="s">
        <v>5451</v>
      </c>
      <c r="B636" s="2" t="s">
        <v>2921</v>
      </c>
      <c r="C636" s="2" t="str">
        <f t="shared" si="9"/>
        <v>TX0022241_001</v>
      </c>
      <c r="D636" s="2" t="s">
        <v>3155</v>
      </c>
    </row>
    <row r="637" spans="1:4" x14ac:dyDescent="0.25">
      <c r="A637" s="2" t="s">
        <v>5452</v>
      </c>
      <c r="B637" s="2" t="s">
        <v>2921</v>
      </c>
      <c r="C637" s="2" t="str">
        <f t="shared" si="9"/>
        <v>TX0022250_001</v>
      </c>
      <c r="D637" s="2" t="s">
        <v>3156</v>
      </c>
    </row>
    <row r="638" spans="1:4" x14ac:dyDescent="0.25">
      <c r="A638" s="2" t="s">
        <v>5453</v>
      </c>
      <c r="B638" s="2" t="s">
        <v>2921</v>
      </c>
      <c r="C638" s="2" t="str">
        <f t="shared" si="9"/>
        <v>TX0022268_001</v>
      </c>
      <c r="D638" s="2" t="s">
        <v>3157</v>
      </c>
    </row>
    <row r="639" spans="1:4" x14ac:dyDescent="0.25">
      <c r="A639" s="2" t="s">
        <v>5454</v>
      </c>
      <c r="B639" s="2" t="s">
        <v>2921</v>
      </c>
      <c r="C639" s="2" t="str">
        <f t="shared" si="9"/>
        <v>TX0022306_001</v>
      </c>
      <c r="D639" s="2" t="s">
        <v>3158</v>
      </c>
    </row>
    <row r="640" spans="1:4" x14ac:dyDescent="0.25">
      <c r="A640" s="2" t="s">
        <v>5454</v>
      </c>
      <c r="B640" s="2" t="s">
        <v>2923</v>
      </c>
      <c r="C640" s="2" t="str">
        <f t="shared" si="9"/>
        <v>TX0022306_002</v>
      </c>
      <c r="D640" s="2" t="s">
        <v>3158</v>
      </c>
    </row>
    <row r="641" spans="1:4" x14ac:dyDescent="0.25">
      <c r="A641" s="2" t="s">
        <v>5455</v>
      </c>
      <c r="B641" s="2" t="s">
        <v>2921</v>
      </c>
      <c r="C641" s="2" t="str">
        <f t="shared" si="9"/>
        <v>TX0022314_001</v>
      </c>
      <c r="D641" s="2" t="s">
        <v>3158</v>
      </c>
    </row>
    <row r="642" spans="1:4" x14ac:dyDescent="0.25">
      <c r="A642" s="2" t="s">
        <v>5456</v>
      </c>
      <c r="B642" s="2" t="s">
        <v>2921</v>
      </c>
      <c r="C642" s="2" t="str">
        <f t="shared" si="9"/>
        <v>TX0022322_001</v>
      </c>
      <c r="D642" s="2" t="s">
        <v>3159</v>
      </c>
    </row>
    <row r="643" spans="1:4" x14ac:dyDescent="0.25">
      <c r="A643" s="2" t="s">
        <v>5457</v>
      </c>
      <c r="B643" s="2" t="s">
        <v>2921</v>
      </c>
      <c r="C643" s="2" t="str">
        <f t="shared" ref="C643:C706" si="10">A643 &amp; "_" &amp; B643</f>
        <v>TX0022331_001</v>
      </c>
      <c r="D643" s="2" t="s">
        <v>3160</v>
      </c>
    </row>
    <row r="644" spans="1:4" x14ac:dyDescent="0.25">
      <c r="A644" s="2" t="s">
        <v>5458</v>
      </c>
      <c r="B644" s="2" t="s">
        <v>2921</v>
      </c>
      <c r="C644" s="2" t="str">
        <f t="shared" si="10"/>
        <v>TX0022349_001</v>
      </c>
      <c r="D644" s="2" t="s">
        <v>3161</v>
      </c>
    </row>
    <row r="645" spans="1:4" x14ac:dyDescent="0.25">
      <c r="A645" s="2" t="s">
        <v>5459</v>
      </c>
      <c r="B645" s="2" t="s">
        <v>2921</v>
      </c>
      <c r="C645" s="2" t="str">
        <f t="shared" si="10"/>
        <v>TX0022357_001</v>
      </c>
      <c r="D645" s="2" t="s">
        <v>3162</v>
      </c>
    </row>
    <row r="646" spans="1:4" x14ac:dyDescent="0.25">
      <c r="A646" s="2" t="s">
        <v>5460</v>
      </c>
      <c r="B646" s="2" t="s">
        <v>2921</v>
      </c>
      <c r="C646" s="2" t="str">
        <f t="shared" si="10"/>
        <v>TX0022365_001</v>
      </c>
      <c r="D646" s="2" t="s">
        <v>3163</v>
      </c>
    </row>
    <row r="647" spans="1:4" x14ac:dyDescent="0.25">
      <c r="A647" s="2" t="s">
        <v>5461</v>
      </c>
      <c r="B647" s="2" t="s">
        <v>2921</v>
      </c>
      <c r="C647" s="2" t="str">
        <f t="shared" si="10"/>
        <v>TX0022373_001</v>
      </c>
      <c r="D647" s="2" t="s">
        <v>3164</v>
      </c>
    </row>
    <row r="648" spans="1:4" x14ac:dyDescent="0.25">
      <c r="A648" s="2" t="s">
        <v>5462</v>
      </c>
      <c r="B648" s="2" t="s">
        <v>2921</v>
      </c>
      <c r="C648" s="2" t="str">
        <f t="shared" si="10"/>
        <v>TX0022381_001</v>
      </c>
      <c r="D648" s="2" t="s">
        <v>3165</v>
      </c>
    </row>
    <row r="649" spans="1:4" x14ac:dyDescent="0.25">
      <c r="A649" s="2" t="s">
        <v>5463</v>
      </c>
      <c r="B649" s="2" t="s">
        <v>2921</v>
      </c>
      <c r="C649" s="2" t="str">
        <f t="shared" si="10"/>
        <v>TX0022390_001</v>
      </c>
      <c r="D649" s="2" t="s">
        <v>3166</v>
      </c>
    </row>
    <row r="650" spans="1:4" x14ac:dyDescent="0.25">
      <c r="A650" s="2" t="s">
        <v>5464</v>
      </c>
      <c r="B650" s="2" t="s">
        <v>2921</v>
      </c>
      <c r="C650" s="2" t="str">
        <f t="shared" si="10"/>
        <v>TX0022403_001</v>
      </c>
      <c r="D650" s="2" t="s">
        <v>3167</v>
      </c>
    </row>
    <row r="651" spans="1:4" x14ac:dyDescent="0.25">
      <c r="A651" s="2" t="s">
        <v>5465</v>
      </c>
      <c r="B651" s="2" t="s">
        <v>2921</v>
      </c>
      <c r="C651" s="2" t="str">
        <f t="shared" si="10"/>
        <v>TX0022411_001</v>
      </c>
      <c r="D651" s="2" t="s">
        <v>3168</v>
      </c>
    </row>
    <row r="652" spans="1:4" x14ac:dyDescent="0.25">
      <c r="A652" s="2" t="s">
        <v>5466</v>
      </c>
      <c r="B652" s="2" t="s">
        <v>2921</v>
      </c>
      <c r="C652" s="2" t="str">
        <f t="shared" si="10"/>
        <v>TX0022420_001</v>
      </c>
      <c r="D652" s="2" t="s">
        <v>3169</v>
      </c>
    </row>
    <row r="653" spans="1:4" x14ac:dyDescent="0.25">
      <c r="A653" s="2" t="s">
        <v>5467</v>
      </c>
      <c r="B653" s="2" t="s">
        <v>2921</v>
      </c>
      <c r="C653" s="2" t="str">
        <f t="shared" si="10"/>
        <v>TX0022438_001</v>
      </c>
      <c r="D653" s="2" t="s">
        <v>2957</v>
      </c>
    </row>
    <row r="654" spans="1:4" x14ac:dyDescent="0.25">
      <c r="A654" s="2" t="s">
        <v>5468</v>
      </c>
      <c r="B654" s="2" t="s">
        <v>2921</v>
      </c>
      <c r="C654" s="2" t="str">
        <f t="shared" si="10"/>
        <v>TX0022454_001</v>
      </c>
      <c r="D654" s="2" t="s">
        <v>3170</v>
      </c>
    </row>
    <row r="655" spans="1:4" x14ac:dyDescent="0.25">
      <c r="A655" s="2" t="s">
        <v>5469</v>
      </c>
      <c r="B655" s="2" t="s">
        <v>2921</v>
      </c>
      <c r="C655" s="2" t="str">
        <f t="shared" si="10"/>
        <v>TX0022462_001</v>
      </c>
      <c r="D655" s="2" t="s">
        <v>3171</v>
      </c>
    </row>
    <row r="656" spans="1:4" x14ac:dyDescent="0.25">
      <c r="A656" s="2" t="s">
        <v>5470</v>
      </c>
      <c r="B656" s="2" t="s">
        <v>2921</v>
      </c>
      <c r="C656" s="2" t="str">
        <f t="shared" si="10"/>
        <v>TX0022471_001</v>
      </c>
      <c r="D656" s="2" t="s">
        <v>3172</v>
      </c>
    </row>
    <row r="657" spans="1:4" x14ac:dyDescent="0.25">
      <c r="A657" s="2" t="s">
        <v>5471</v>
      </c>
      <c r="B657" s="2" t="s">
        <v>2921</v>
      </c>
      <c r="C657" s="2" t="str">
        <f t="shared" si="10"/>
        <v>TX0022489_001</v>
      </c>
      <c r="D657" s="2" t="s">
        <v>3173</v>
      </c>
    </row>
    <row r="658" spans="1:4" x14ac:dyDescent="0.25">
      <c r="A658" s="2" t="s">
        <v>5472</v>
      </c>
      <c r="B658" s="2" t="s">
        <v>2921</v>
      </c>
      <c r="C658" s="2" t="str">
        <f t="shared" si="10"/>
        <v>TX0022501_001</v>
      </c>
      <c r="D658" s="2" t="s">
        <v>3174</v>
      </c>
    </row>
    <row r="659" spans="1:4" x14ac:dyDescent="0.25">
      <c r="A659" s="2" t="s">
        <v>5473</v>
      </c>
      <c r="B659" s="2" t="s">
        <v>2921</v>
      </c>
      <c r="C659" s="2" t="str">
        <f t="shared" si="10"/>
        <v>TX0022527_001</v>
      </c>
      <c r="D659" s="2" t="s">
        <v>3175</v>
      </c>
    </row>
    <row r="660" spans="1:4" x14ac:dyDescent="0.25">
      <c r="A660" s="2" t="s">
        <v>5474</v>
      </c>
      <c r="B660" s="2" t="s">
        <v>2921</v>
      </c>
      <c r="C660" s="2" t="str">
        <f t="shared" si="10"/>
        <v>TX0022543_001</v>
      </c>
      <c r="D660" s="2" t="s">
        <v>3176</v>
      </c>
    </row>
    <row r="661" spans="1:4" x14ac:dyDescent="0.25">
      <c r="A661" s="2" t="s">
        <v>5474</v>
      </c>
      <c r="B661" s="2" t="s">
        <v>2923</v>
      </c>
      <c r="C661" s="2" t="str">
        <f t="shared" si="10"/>
        <v>TX0022543_002</v>
      </c>
      <c r="D661" s="2" t="s">
        <v>3176</v>
      </c>
    </row>
    <row r="662" spans="1:4" x14ac:dyDescent="0.25">
      <c r="A662" s="2" t="s">
        <v>5474</v>
      </c>
      <c r="B662" s="2" t="s">
        <v>2924</v>
      </c>
      <c r="C662" s="2" t="str">
        <f t="shared" si="10"/>
        <v>TX0022543_003</v>
      </c>
      <c r="D662" s="2" t="s">
        <v>3176</v>
      </c>
    </row>
    <row r="663" spans="1:4" x14ac:dyDescent="0.25">
      <c r="A663" s="2" t="s">
        <v>5475</v>
      </c>
      <c r="B663" s="2" t="s">
        <v>2921</v>
      </c>
      <c r="C663" s="2" t="str">
        <f t="shared" si="10"/>
        <v>TX0022551_001</v>
      </c>
      <c r="D663" s="2" t="s">
        <v>3177</v>
      </c>
    </row>
    <row r="664" spans="1:4" x14ac:dyDescent="0.25">
      <c r="A664" s="2" t="s">
        <v>5476</v>
      </c>
      <c r="B664" s="2" t="s">
        <v>2921</v>
      </c>
      <c r="C664" s="2" t="str">
        <f t="shared" si="10"/>
        <v>TX0022578_001</v>
      </c>
      <c r="D664" s="2" t="s">
        <v>3178</v>
      </c>
    </row>
    <row r="665" spans="1:4" x14ac:dyDescent="0.25">
      <c r="A665" s="2" t="s">
        <v>5477</v>
      </c>
      <c r="B665" s="2" t="s">
        <v>2921</v>
      </c>
      <c r="C665" s="2" t="str">
        <f t="shared" si="10"/>
        <v>TX0022586_001</v>
      </c>
      <c r="D665" s="2" t="s">
        <v>3179</v>
      </c>
    </row>
    <row r="666" spans="1:4" x14ac:dyDescent="0.25">
      <c r="A666" s="2" t="s">
        <v>5477</v>
      </c>
      <c r="B666" s="2" t="s">
        <v>2921</v>
      </c>
      <c r="C666" s="2" t="str">
        <f t="shared" si="10"/>
        <v>TX0022586_001</v>
      </c>
      <c r="D666" s="2" t="s">
        <v>3179</v>
      </c>
    </row>
    <row r="667" spans="1:4" x14ac:dyDescent="0.25">
      <c r="A667" s="2" t="s">
        <v>5478</v>
      </c>
      <c r="B667" s="2" t="s">
        <v>2923</v>
      </c>
      <c r="C667" s="2" t="str">
        <f t="shared" si="10"/>
        <v>TX0022594_002</v>
      </c>
      <c r="D667" s="2" t="s">
        <v>3180</v>
      </c>
    </row>
    <row r="668" spans="1:4" x14ac:dyDescent="0.25">
      <c r="A668" s="2" t="s">
        <v>5478</v>
      </c>
      <c r="B668" s="2" t="s">
        <v>2924</v>
      </c>
      <c r="C668" s="2" t="str">
        <f t="shared" si="10"/>
        <v>TX0022594_003</v>
      </c>
      <c r="D668" s="2" t="s">
        <v>3180</v>
      </c>
    </row>
    <row r="669" spans="1:4" x14ac:dyDescent="0.25">
      <c r="A669" s="2" t="s">
        <v>5478</v>
      </c>
      <c r="B669" s="2" t="s">
        <v>2921</v>
      </c>
      <c r="C669" s="2" t="str">
        <f t="shared" si="10"/>
        <v>TX0022594_001</v>
      </c>
      <c r="D669" s="2" t="s">
        <v>3180</v>
      </c>
    </row>
    <row r="670" spans="1:4" x14ac:dyDescent="0.25">
      <c r="A670" s="2" t="s">
        <v>5479</v>
      </c>
      <c r="B670" s="2" t="s">
        <v>2921</v>
      </c>
      <c r="C670" s="2" t="str">
        <f t="shared" si="10"/>
        <v>TX0022608_001</v>
      </c>
      <c r="D670" s="2" t="s">
        <v>3181</v>
      </c>
    </row>
    <row r="671" spans="1:4" x14ac:dyDescent="0.25">
      <c r="A671" s="2" t="s">
        <v>5480</v>
      </c>
      <c r="B671" s="2" t="s">
        <v>2921</v>
      </c>
      <c r="C671" s="2" t="str">
        <f t="shared" si="10"/>
        <v>TX0022616_001</v>
      </c>
      <c r="D671" s="2" t="s">
        <v>3182</v>
      </c>
    </row>
    <row r="672" spans="1:4" x14ac:dyDescent="0.25">
      <c r="A672" s="2" t="s">
        <v>5481</v>
      </c>
      <c r="B672" s="2" t="s">
        <v>2921</v>
      </c>
      <c r="C672" s="2" t="str">
        <f t="shared" si="10"/>
        <v>TX0022632_001</v>
      </c>
      <c r="D672" s="2" t="s">
        <v>3183</v>
      </c>
    </row>
    <row r="673" spans="1:4" x14ac:dyDescent="0.25">
      <c r="A673" s="2" t="s">
        <v>5482</v>
      </c>
      <c r="B673" s="2" t="s">
        <v>2921</v>
      </c>
      <c r="C673" s="2" t="str">
        <f t="shared" si="10"/>
        <v>TX0022659_001</v>
      </c>
      <c r="D673" s="2" t="s">
        <v>3184</v>
      </c>
    </row>
    <row r="674" spans="1:4" x14ac:dyDescent="0.25">
      <c r="A674" s="2" t="s">
        <v>5483</v>
      </c>
      <c r="B674" s="2" t="s">
        <v>2921</v>
      </c>
      <c r="C674" s="2" t="str">
        <f t="shared" si="10"/>
        <v>TX0022667_001</v>
      </c>
      <c r="D674" s="2" t="s">
        <v>3185</v>
      </c>
    </row>
    <row r="675" spans="1:4" x14ac:dyDescent="0.25">
      <c r="A675" s="2" t="s">
        <v>5484</v>
      </c>
      <c r="B675" s="2" t="s">
        <v>2921</v>
      </c>
      <c r="C675" s="2" t="str">
        <f t="shared" si="10"/>
        <v>TX0022675_001</v>
      </c>
      <c r="D675" s="2" t="s">
        <v>3186</v>
      </c>
    </row>
    <row r="676" spans="1:4" x14ac:dyDescent="0.25">
      <c r="A676" s="2" t="s">
        <v>5485</v>
      </c>
      <c r="B676" s="2" t="s">
        <v>2921</v>
      </c>
      <c r="C676" s="2" t="str">
        <f t="shared" si="10"/>
        <v>TX0022705_001</v>
      </c>
      <c r="D676" s="2" t="s">
        <v>3187</v>
      </c>
    </row>
    <row r="677" spans="1:4" x14ac:dyDescent="0.25">
      <c r="A677" s="2" t="s">
        <v>5486</v>
      </c>
      <c r="B677" s="2" t="s">
        <v>2921</v>
      </c>
      <c r="C677" s="2" t="str">
        <f t="shared" si="10"/>
        <v>TX0022730_001</v>
      </c>
      <c r="D677" s="2" t="s">
        <v>3188</v>
      </c>
    </row>
    <row r="678" spans="1:4" x14ac:dyDescent="0.25">
      <c r="A678" s="2" t="s">
        <v>5487</v>
      </c>
      <c r="B678" s="2" t="s">
        <v>2921</v>
      </c>
      <c r="C678" s="2" t="str">
        <f t="shared" si="10"/>
        <v>TX0022748_001</v>
      </c>
      <c r="D678" s="2" t="s">
        <v>3189</v>
      </c>
    </row>
    <row r="679" spans="1:4" x14ac:dyDescent="0.25">
      <c r="A679" s="2" t="s">
        <v>5488</v>
      </c>
      <c r="B679" s="2" t="s">
        <v>2921</v>
      </c>
      <c r="C679" s="2" t="str">
        <f t="shared" si="10"/>
        <v>TX0022756_001</v>
      </c>
      <c r="D679" s="2" t="s">
        <v>3190</v>
      </c>
    </row>
    <row r="680" spans="1:4" x14ac:dyDescent="0.25">
      <c r="A680" s="2" t="s">
        <v>5489</v>
      </c>
      <c r="B680" s="2" t="s">
        <v>2921</v>
      </c>
      <c r="C680" s="2" t="str">
        <f t="shared" si="10"/>
        <v>TX0022764_001</v>
      </c>
      <c r="D680" s="2" t="s">
        <v>3191</v>
      </c>
    </row>
    <row r="681" spans="1:4" x14ac:dyDescent="0.25">
      <c r="A681" s="2" t="s">
        <v>5490</v>
      </c>
      <c r="B681" s="2" t="s">
        <v>2921</v>
      </c>
      <c r="C681" s="2" t="str">
        <f t="shared" si="10"/>
        <v>TX0022772_001</v>
      </c>
      <c r="D681" s="2" t="s">
        <v>3191</v>
      </c>
    </row>
    <row r="682" spans="1:4" x14ac:dyDescent="0.25">
      <c r="A682" s="2" t="s">
        <v>5491</v>
      </c>
      <c r="B682" s="2" t="s">
        <v>2921</v>
      </c>
      <c r="C682" s="2" t="str">
        <f t="shared" si="10"/>
        <v>TX0022799_001</v>
      </c>
      <c r="D682" s="2" t="s">
        <v>3192</v>
      </c>
    </row>
    <row r="683" spans="1:4" x14ac:dyDescent="0.25">
      <c r="A683" s="2" t="s">
        <v>5492</v>
      </c>
      <c r="B683" s="2" t="s">
        <v>2923</v>
      </c>
      <c r="C683" s="2" t="str">
        <f t="shared" si="10"/>
        <v>TX0022802_002</v>
      </c>
      <c r="D683" s="2" t="s">
        <v>3193</v>
      </c>
    </row>
    <row r="684" spans="1:4" x14ac:dyDescent="0.25">
      <c r="A684" s="2" t="s">
        <v>5492</v>
      </c>
      <c r="B684" s="2" t="s">
        <v>2921</v>
      </c>
      <c r="C684" s="2" t="str">
        <f t="shared" si="10"/>
        <v>TX0022802_001</v>
      </c>
      <c r="D684" s="2" t="s">
        <v>3193</v>
      </c>
    </row>
    <row r="685" spans="1:4" x14ac:dyDescent="0.25">
      <c r="A685" s="2" t="s">
        <v>5492</v>
      </c>
      <c r="B685" s="2" t="s">
        <v>2924</v>
      </c>
      <c r="C685" s="2" t="str">
        <f t="shared" si="10"/>
        <v>TX0022802_003</v>
      </c>
      <c r="D685" s="2" t="s">
        <v>3193</v>
      </c>
    </row>
    <row r="686" spans="1:4" x14ac:dyDescent="0.25">
      <c r="A686" s="2" t="s">
        <v>5493</v>
      </c>
      <c r="B686" s="2" t="s">
        <v>2921</v>
      </c>
      <c r="C686" s="2" t="str">
        <f t="shared" si="10"/>
        <v>TX0022811_001</v>
      </c>
      <c r="D686" s="2" t="s">
        <v>3193</v>
      </c>
    </row>
    <row r="687" spans="1:4" x14ac:dyDescent="0.25">
      <c r="A687" s="2" t="s">
        <v>5494</v>
      </c>
      <c r="B687" s="2" t="s">
        <v>2921</v>
      </c>
      <c r="C687" s="2" t="str">
        <f t="shared" si="10"/>
        <v>TX0022845_001</v>
      </c>
      <c r="D687" s="2" t="s">
        <v>3194</v>
      </c>
    </row>
    <row r="688" spans="1:4" x14ac:dyDescent="0.25">
      <c r="A688" s="2" t="s">
        <v>5495</v>
      </c>
      <c r="B688" s="2" t="s">
        <v>2921</v>
      </c>
      <c r="C688" s="2" t="str">
        <f t="shared" si="10"/>
        <v>TX0022853_001</v>
      </c>
      <c r="D688" s="2" t="s">
        <v>3195</v>
      </c>
    </row>
    <row r="689" spans="1:4" x14ac:dyDescent="0.25">
      <c r="A689" s="2" t="s">
        <v>5496</v>
      </c>
      <c r="B689" s="2" t="s">
        <v>2921</v>
      </c>
      <c r="C689" s="2" t="str">
        <f t="shared" si="10"/>
        <v>TX0022900_001</v>
      </c>
      <c r="D689" s="2" t="s">
        <v>3196</v>
      </c>
    </row>
    <row r="690" spans="1:4" x14ac:dyDescent="0.25">
      <c r="A690" s="2" t="s">
        <v>5497</v>
      </c>
      <c r="B690" s="2" t="s">
        <v>2921</v>
      </c>
      <c r="C690" s="2" t="str">
        <f t="shared" si="10"/>
        <v>TX0022926_001</v>
      </c>
      <c r="D690" s="2" t="s">
        <v>3197</v>
      </c>
    </row>
    <row r="691" spans="1:4" x14ac:dyDescent="0.25">
      <c r="A691" s="2" t="s">
        <v>5498</v>
      </c>
      <c r="B691" s="2" t="s">
        <v>2921</v>
      </c>
      <c r="C691" s="2" t="str">
        <f t="shared" si="10"/>
        <v>TX0022942_001</v>
      </c>
      <c r="D691" s="2" t="s">
        <v>3198</v>
      </c>
    </row>
    <row r="692" spans="1:4" x14ac:dyDescent="0.25">
      <c r="A692" s="2" t="s">
        <v>5499</v>
      </c>
      <c r="B692" s="2" t="s">
        <v>2921</v>
      </c>
      <c r="C692" s="2" t="str">
        <f t="shared" si="10"/>
        <v>TX0022951_001</v>
      </c>
      <c r="D692" s="2" t="s">
        <v>3199</v>
      </c>
    </row>
    <row r="693" spans="1:4" x14ac:dyDescent="0.25">
      <c r="A693" s="2" t="s">
        <v>5500</v>
      </c>
      <c r="B693" s="2" t="s">
        <v>2921</v>
      </c>
      <c r="C693" s="2" t="str">
        <f t="shared" si="10"/>
        <v>TX0022969_001</v>
      </c>
      <c r="D693" s="2" t="s">
        <v>3200</v>
      </c>
    </row>
    <row r="694" spans="1:4" x14ac:dyDescent="0.25">
      <c r="A694" s="2" t="s">
        <v>5501</v>
      </c>
      <c r="B694" s="2" t="s">
        <v>2921</v>
      </c>
      <c r="C694" s="2" t="str">
        <f t="shared" si="10"/>
        <v>TX0022985_001</v>
      </c>
      <c r="D694" s="2" t="s">
        <v>3201</v>
      </c>
    </row>
    <row r="695" spans="1:4" x14ac:dyDescent="0.25">
      <c r="A695" s="2" t="s">
        <v>5502</v>
      </c>
      <c r="B695" s="2" t="s">
        <v>2921</v>
      </c>
      <c r="C695" s="2" t="str">
        <f t="shared" si="10"/>
        <v>TX0023001_001</v>
      </c>
      <c r="D695" s="2" t="s">
        <v>3202</v>
      </c>
    </row>
    <row r="696" spans="1:4" x14ac:dyDescent="0.25">
      <c r="A696" s="2" t="s">
        <v>5503</v>
      </c>
      <c r="B696" s="2" t="s">
        <v>2921</v>
      </c>
      <c r="C696" s="2" t="str">
        <f t="shared" si="10"/>
        <v>TX0023019_001</v>
      </c>
      <c r="D696" s="2" t="s">
        <v>3203</v>
      </c>
    </row>
    <row r="697" spans="1:4" x14ac:dyDescent="0.25">
      <c r="A697" s="2" t="s">
        <v>5504</v>
      </c>
      <c r="B697" s="2" t="s">
        <v>2921</v>
      </c>
      <c r="C697" s="2" t="str">
        <f t="shared" si="10"/>
        <v>TX0023027_001</v>
      </c>
      <c r="D697" s="2" t="s">
        <v>3204</v>
      </c>
    </row>
    <row r="698" spans="1:4" x14ac:dyDescent="0.25">
      <c r="A698" s="2" t="s">
        <v>5505</v>
      </c>
      <c r="B698" s="2" t="s">
        <v>2921</v>
      </c>
      <c r="C698" s="2" t="str">
        <f t="shared" si="10"/>
        <v>TX0023035_001</v>
      </c>
      <c r="D698" s="2" t="s">
        <v>3205</v>
      </c>
    </row>
    <row r="699" spans="1:4" x14ac:dyDescent="0.25">
      <c r="A699" s="2" t="s">
        <v>5506</v>
      </c>
      <c r="B699" s="2" t="s">
        <v>2921</v>
      </c>
      <c r="C699" s="2" t="str">
        <f t="shared" si="10"/>
        <v>TX0023051_001</v>
      </c>
      <c r="D699" s="2" t="s">
        <v>3206</v>
      </c>
    </row>
    <row r="700" spans="1:4" x14ac:dyDescent="0.25">
      <c r="A700" s="2" t="s">
        <v>5507</v>
      </c>
      <c r="B700" s="2" t="s">
        <v>2923</v>
      </c>
      <c r="C700" s="2" t="str">
        <f t="shared" si="10"/>
        <v>TX0023078_002</v>
      </c>
      <c r="D700" s="2" t="s">
        <v>3207</v>
      </c>
    </row>
    <row r="701" spans="1:4" x14ac:dyDescent="0.25">
      <c r="A701" s="2" t="s">
        <v>5507</v>
      </c>
      <c r="B701" s="2" t="s">
        <v>2921</v>
      </c>
      <c r="C701" s="2" t="str">
        <f t="shared" si="10"/>
        <v>TX0023078_001</v>
      </c>
      <c r="D701" s="2" t="s">
        <v>3207</v>
      </c>
    </row>
    <row r="702" spans="1:4" x14ac:dyDescent="0.25">
      <c r="A702" s="2" t="s">
        <v>5508</v>
      </c>
      <c r="B702" s="2" t="s">
        <v>2921</v>
      </c>
      <c r="C702" s="2" t="str">
        <f t="shared" si="10"/>
        <v>TX0023094_001</v>
      </c>
      <c r="D702" s="2" t="s">
        <v>3208</v>
      </c>
    </row>
    <row r="703" spans="1:4" x14ac:dyDescent="0.25">
      <c r="A703" s="2" t="s">
        <v>5508</v>
      </c>
      <c r="B703" s="2" t="s">
        <v>2923</v>
      </c>
      <c r="C703" s="2" t="str">
        <f t="shared" si="10"/>
        <v>TX0023094_002</v>
      </c>
      <c r="D703" s="2" t="s">
        <v>3208</v>
      </c>
    </row>
    <row r="704" spans="1:4" x14ac:dyDescent="0.25">
      <c r="A704" s="2" t="s">
        <v>5508</v>
      </c>
      <c r="B704" s="2" t="s">
        <v>2924</v>
      </c>
      <c r="C704" s="2" t="str">
        <f t="shared" si="10"/>
        <v>TX0023094_003</v>
      </c>
      <c r="D704" s="2" t="s">
        <v>3208</v>
      </c>
    </row>
    <row r="705" spans="1:4" x14ac:dyDescent="0.25">
      <c r="A705" s="2" t="s">
        <v>5509</v>
      </c>
      <c r="B705" s="2" t="s">
        <v>2921</v>
      </c>
      <c r="C705" s="2" t="str">
        <f t="shared" si="10"/>
        <v>TX0023108_001</v>
      </c>
      <c r="D705" s="2" t="s">
        <v>3209</v>
      </c>
    </row>
    <row r="706" spans="1:4" x14ac:dyDescent="0.25">
      <c r="A706" s="2" t="s">
        <v>5510</v>
      </c>
      <c r="B706" s="2" t="s">
        <v>2936</v>
      </c>
      <c r="C706" s="2" t="str">
        <f t="shared" si="10"/>
        <v>TX0023116_004</v>
      </c>
      <c r="D706" s="2" t="s">
        <v>3210</v>
      </c>
    </row>
    <row r="707" spans="1:4" x14ac:dyDescent="0.25">
      <c r="A707" s="2" t="s">
        <v>5510</v>
      </c>
      <c r="B707" s="2" t="s">
        <v>2924</v>
      </c>
      <c r="C707" s="2" t="str">
        <f t="shared" ref="C707:C770" si="11">A707 &amp; "_" &amp; B707</f>
        <v>TX0023116_003</v>
      </c>
      <c r="D707" s="2" t="s">
        <v>3210</v>
      </c>
    </row>
    <row r="708" spans="1:4" x14ac:dyDescent="0.25">
      <c r="A708" s="2" t="s">
        <v>5511</v>
      </c>
      <c r="B708" s="2" t="s">
        <v>2921</v>
      </c>
      <c r="C708" s="2" t="str">
        <f t="shared" si="11"/>
        <v>TX0023159_001</v>
      </c>
      <c r="D708" s="2" t="s">
        <v>3211</v>
      </c>
    </row>
    <row r="709" spans="1:4" x14ac:dyDescent="0.25">
      <c r="A709" s="2" t="s">
        <v>5512</v>
      </c>
      <c r="B709" s="2" t="s">
        <v>2921</v>
      </c>
      <c r="C709" s="2" t="str">
        <f t="shared" si="11"/>
        <v>TX0023167_001</v>
      </c>
      <c r="D709" s="2" t="s">
        <v>3212</v>
      </c>
    </row>
    <row r="710" spans="1:4" x14ac:dyDescent="0.25">
      <c r="A710" s="2" t="s">
        <v>5513</v>
      </c>
      <c r="B710" s="2" t="s">
        <v>2921</v>
      </c>
      <c r="C710" s="2" t="str">
        <f t="shared" si="11"/>
        <v>TX0023175_001</v>
      </c>
      <c r="D710" s="2" t="s">
        <v>3213</v>
      </c>
    </row>
    <row r="711" spans="1:4" x14ac:dyDescent="0.25">
      <c r="A711" s="2" t="s">
        <v>5514</v>
      </c>
      <c r="B711" s="2" t="s">
        <v>2921</v>
      </c>
      <c r="C711" s="2" t="str">
        <f t="shared" si="11"/>
        <v>TX0023183_001</v>
      </c>
      <c r="D711" s="2" t="s">
        <v>3214</v>
      </c>
    </row>
    <row r="712" spans="1:4" x14ac:dyDescent="0.25">
      <c r="A712" s="2" t="s">
        <v>5515</v>
      </c>
      <c r="B712" s="2" t="s">
        <v>2921</v>
      </c>
      <c r="C712" s="2" t="str">
        <f t="shared" si="11"/>
        <v>TX0023191_001</v>
      </c>
      <c r="D712" s="2" t="s">
        <v>3215</v>
      </c>
    </row>
    <row r="713" spans="1:4" x14ac:dyDescent="0.25">
      <c r="A713" s="2" t="s">
        <v>5516</v>
      </c>
      <c r="B713" s="2" t="s">
        <v>2921</v>
      </c>
      <c r="C713" s="2" t="str">
        <f t="shared" si="11"/>
        <v>TX0023213_001</v>
      </c>
      <c r="D713" s="2" t="s">
        <v>3216</v>
      </c>
    </row>
    <row r="714" spans="1:4" x14ac:dyDescent="0.25">
      <c r="A714" s="2" t="s">
        <v>5517</v>
      </c>
      <c r="B714" s="2" t="s">
        <v>2921</v>
      </c>
      <c r="C714" s="2" t="str">
        <f t="shared" si="11"/>
        <v>TX0023230_001</v>
      </c>
      <c r="D714" s="2" t="s">
        <v>3217</v>
      </c>
    </row>
    <row r="715" spans="1:4" x14ac:dyDescent="0.25">
      <c r="A715" s="2" t="s">
        <v>5518</v>
      </c>
      <c r="B715" s="2" t="s">
        <v>2921</v>
      </c>
      <c r="C715" s="2" t="str">
        <f t="shared" si="11"/>
        <v>TX0023272_001</v>
      </c>
      <c r="D715" s="2" t="s">
        <v>3218</v>
      </c>
    </row>
    <row r="716" spans="1:4" x14ac:dyDescent="0.25">
      <c r="A716" s="2" t="s">
        <v>5519</v>
      </c>
      <c r="B716" s="2" t="s">
        <v>2921</v>
      </c>
      <c r="C716" s="2" t="str">
        <f t="shared" si="11"/>
        <v>TX0023299_001</v>
      </c>
      <c r="D716" s="2" t="s">
        <v>3219</v>
      </c>
    </row>
    <row r="717" spans="1:4" x14ac:dyDescent="0.25">
      <c r="A717" s="2" t="s">
        <v>5520</v>
      </c>
      <c r="B717" s="2" t="s">
        <v>2921</v>
      </c>
      <c r="C717" s="2" t="str">
        <f t="shared" si="11"/>
        <v>TX0023311_001</v>
      </c>
      <c r="D717" s="2" t="s">
        <v>3220</v>
      </c>
    </row>
    <row r="718" spans="1:4" x14ac:dyDescent="0.25">
      <c r="A718" s="2" t="s">
        <v>5521</v>
      </c>
      <c r="B718" s="2" t="s">
        <v>2921</v>
      </c>
      <c r="C718" s="2" t="str">
        <f t="shared" si="11"/>
        <v>TX0023329_001</v>
      </c>
      <c r="D718" s="2" t="s">
        <v>3221</v>
      </c>
    </row>
    <row r="719" spans="1:4" x14ac:dyDescent="0.25">
      <c r="A719" s="2" t="s">
        <v>5522</v>
      </c>
      <c r="B719" s="2" t="s">
        <v>2921</v>
      </c>
      <c r="C719" s="2" t="str">
        <f t="shared" si="11"/>
        <v>TX0023337_001</v>
      </c>
      <c r="D719" s="2" t="s">
        <v>3222</v>
      </c>
    </row>
    <row r="720" spans="1:4" x14ac:dyDescent="0.25">
      <c r="A720" s="2" t="s">
        <v>5523</v>
      </c>
      <c r="B720" s="2" t="s">
        <v>2921</v>
      </c>
      <c r="C720" s="2" t="str">
        <f t="shared" si="11"/>
        <v>TX0023361_001</v>
      </c>
      <c r="D720" s="2" t="s">
        <v>3223</v>
      </c>
    </row>
    <row r="721" spans="1:4" x14ac:dyDescent="0.25">
      <c r="A721" s="2" t="s">
        <v>5524</v>
      </c>
      <c r="B721" s="2" t="s">
        <v>2921</v>
      </c>
      <c r="C721" s="2" t="str">
        <f t="shared" si="11"/>
        <v>TX0023370_001</v>
      </c>
      <c r="D721" s="2" t="s">
        <v>3224</v>
      </c>
    </row>
    <row r="722" spans="1:4" x14ac:dyDescent="0.25">
      <c r="A722" s="2" t="s">
        <v>5525</v>
      </c>
      <c r="B722" s="2" t="s">
        <v>2921</v>
      </c>
      <c r="C722" s="2" t="str">
        <f t="shared" si="11"/>
        <v>TX0023396_001</v>
      </c>
      <c r="D722" s="2" t="s">
        <v>3225</v>
      </c>
    </row>
    <row r="723" spans="1:4" x14ac:dyDescent="0.25">
      <c r="A723" s="2" t="s">
        <v>5526</v>
      </c>
      <c r="B723" s="2" t="s">
        <v>2921</v>
      </c>
      <c r="C723" s="2" t="str">
        <f t="shared" si="11"/>
        <v>TX0023418_001</v>
      </c>
      <c r="D723" s="2" t="s">
        <v>3226</v>
      </c>
    </row>
    <row r="724" spans="1:4" x14ac:dyDescent="0.25">
      <c r="A724" s="2" t="s">
        <v>5527</v>
      </c>
      <c r="B724" s="2" t="s">
        <v>2921</v>
      </c>
      <c r="C724" s="2" t="str">
        <f t="shared" si="11"/>
        <v>TX0023442_001</v>
      </c>
      <c r="D724" s="2" t="s">
        <v>3227</v>
      </c>
    </row>
    <row r="725" spans="1:4" x14ac:dyDescent="0.25">
      <c r="A725" s="2" t="s">
        <v>5528</v>
      </c>
      <c r="B725" s="2" t="s">
        <v>2921</v>
      </c>
      <c r="C725" s="2" t="str">
        <f t="shared" si="11"/>
        <v>TX0023477_001</v>
      </c>
      <c r="D725" s="2" t="s">
        <v>3228</v>
      </c>
    </row>
    <row r="726" spans="1:4" x14ac:dyDescent="0.25">
      <c r="A726" s="2" t="s">
        <v>5529</v>
      </c>
      <c r="B726" s="2" t="s">
        <v>2921</v>
      </c>
      <c r="C726" s="2" t="str">
        <f t="shared" si="11"/>
        <v>TX0023515_001</v>
      </c>
      <c r="D726" s="2" t="s">
        <v>3229</v>
      </c>
    </row>
    <row r="727" spans="1:4" x14ac:dyDescent="0.25">
      <c r="A727" s="2" t="s">
        <v>5530</v>
      </c>
      <c r="B727" s="2" t="s">
        <v>2921</v>
      </c>
      <c r="C727" s="2" t="str">
        <f t="shared" si="11"/>
        <v>TX0023558_001</v>
      </c>
      <c r="D727" s="2" t="s">
        <v>3230</v>
      </c>
    </row>
    <row r="728" spans="1:4" x14ac:dyDescent="0.25">
      <c r="A728" s="2" t="s">
        <v>5531</v>
      </c>
      <c r="B728" s="2" t="s">
        <v>2921</v>
      </c>
      <c r="C728" s="2" t="str">
        <f t="shared" si="11"/>
        <v>TX0023566_001</v>
      </c>
      <c r="D728" s="2" t="s">
        <v>3231</v>
      </c>
    </row>
    <row r="729" spans="1:4" x14ac:dyDescent="0.25">
      <c r="A729" s="2" t="s">
        <v>5532</v>
      </c>
      <c r="B729" s="2" t="s">
        <v>2921</v>
      </c>
      <c r="C729" s="2" t="str">
        <f t="shared" si="11"/>
        <v>TX0023574_001</v>
      </c>
      <c r="D729" s="2" t="s">
        <v>3232</v>
      </c>
    </row>
    <row r="730" spans="1:4" x14ac:dyDescent="0.25">
      <c r="A730" s="2" t="s">
        <v>5533</v>
      </c>
      <c r="B730" s="2" t="s">
        <v>2921</v>
      </c>
      <c r="C730" s="2" t="str">
        <f t="shared" si="11"/>
        <v>TX0023604_001</v>
      </c>
      <c r="D730" s="2" t="s">
        <v>3233</v>
      </c>
    </row>
    <row r="731" spans="1:4" x14ac:dyDescent="0.25">
      <c r="A731" s="2" t="s">
        <v>5534</v>
      </c>
      <c r="B731" s="2" t="s">
        <v>2921</v>
      </c>
      <c r="C731" s="2" t="str">
        <f t="shared" si="11"/>
        <v>TX0023612_001</v>
      </c>
      <c r="D731" s="2" t="s">
        <v>3234</v>
      </c>
    </row>
    <row r="732" spans="1:4" x14ac:dyDescent="0.25">
      <c r="A732" s="2" t="s">
        <v>5535</v>
      </c>
      <c r="B732" s="2" t="s">
        <v>2921</v>
      </c>
      <c r="C732" s="2" t="str">
        <f t="shared" si="11"/>
        <v>TX0023621_001</v>
      </c>
      <c r="D732" s="2" t="s">
        <v>3235</v>
      </c>
    </row>
    <row r="733" spans="1:4" x14ac:dyDescent="0.25">
      <c r="A733" s="2" t="s">
        <v>5536</v>
      </c>
      <c r="B733" s="2" t="s">
        <v>2921</v>
      </c>
      <c r="C733" s="2" t="str">
        <f t="shared" si="11"/>
        <v>TX0023639_001</v>
      </c>
      <c r="D733" s="2" t="s">
        <v>3235</v>
      </c>
    </row>
    <row r="734" spans="1:4" x14ac:dyDescent="0.25">
      <c r="A734" s="2" t="s">
        <v>5537</v>
      </c>
      <c r="B734" s="2" t="s">
        <v>2921</v>
      </c>
      <c r="C734" s="2" t="str">
        <f t="shared" si="11"/>
        <v>TX0023647_001</v>
      </c>
      <c r="D734" s="2" t="s">
        <v>3235</v>
      </c>
    </row>
    <row r="735" spans="1:4" x14ac:dyDescent="0.25">
      <c r="A735" s="2" t="s">
        <v>5538</v>
      </c>
      <c r="B735" s="2" t="s">
        <v>2921</v>
      </c>
      <c r="C735" s="2" t="str">
        <f t="shared" si="11"/>
        <v>TX0023655_001</v>
      </c>
      <c r="D735" s="2" t="s">
        <v>3236</v>
      </c>
    </row>
    <row r="736" spans="1:4" x14ac:dyDescent="0.25">
      <c r="A736" s="2" t="s">
        <v>5539</v>
      </c>
      <c r="B736" s="2" t="s">
        <v>2921</v>
      </c>
      <c r="C736" s="2" t="str">
        <f t="shared" si="11"/>
        <v>TX0023671_001</v>
      </c>
      <c r="D736" s="2" t="s">
        <v>3237</v>
      </c>
    </row>
    <row r="737" spans="1:4" x14ac:dyDescent="0.25">
      <c r="A737" s="2" t="s">
        <v>5540</v>
      </c>
      <c r="B737" s="2" t="s">
        <v>2921</v>
      </c>
      <c r="C737" s="2" t="str">
        <f t="shared" si="11"/>
        <v>TX0023701_001</v>
      </c>
      <c r="D737" s="2" t="s">
        <v>3238</v>
      </c>
    </row>
    <row r="738" spans="1:4" x14ac:dyDescent="0.25">
      <c r="A738" s="2" t="s">
        <v>5541</v>
      </c>
      <c r="B738" s="2" t="s">
        <v>2921</v>
      </c>
      <c r="C738" s="2" t="str">
        <f t="shared" si="11"/>
        <v>TX0023710_001</v>
      </c>
      <c r="D738" s="2" t="s">
        <v>3239</v>
      </c>
    </row>
    <row r="739" spans="1:4" x14ac:dyDescent="0.25">
      <c r="A739" s="2" t="s">
        <v>5542</v>
      </c>
      <c r="B739" s="2" t="s">
        <v>2921</v>
      </c>
      <c r="C739" s="2" t="str">
        <f t="shared" si="11"/>
        <v>TX0023728_001</v>
      </c>
      <c r="D739" s="2" t="s">
        <v>3240</v>
      </c>
    </row>
    <row r="740" spans="1:4" x14ac:dyDescent="0.25">
      <c r="A740" s="2" t="s">
        <v>5543</v>
      </c>
      <c r="B740" s="2" t="s">
        <v>2921</v>
      </c>
      <c r="C740" s="2" t="str">
        <f t="shared" si="11"/>
        <v>TX0023736_001</v>
      </c>
      <c r="D740" s="2" t="s">
        <v>3240</v>
      </c>
    </row>
    <row r="741" spans="1:4" x14ac:dyDescent="0.25">
      <c r="A741" s="2" t="s">
        <v>5544</v>
      </c>
      <c r="B741" s="2" t="s">
        <v>2921</v>
      </c>
      <c r="C741" s="2" t="str">
        <f t="shared" si="11"/>
        <v>TX0023779_001</v>
      </c>
      <c r="D741" s="2" t="s">
        <v>3241</v>
      </c>
    </row>
    <row r="742" spans="1:4" x14ac:dyDescent="0.25">
      <c r="A742" s="2" t="s">
        <v>5545</v>
      </c>
      <c r="B742" s="2" t="s">
        <v>2921</v>
      </c>
      <c r="C742" s="2" t="str">
        <f t="shared" si="11"/>
        <v>TX0023787_001</v>
      </c>
      <c r="D742" s="2" t="s">
        <v>3242</v>
      </c>
    </row>
    <row r="743" spans="1:4" x14ac:dyDescent="0.25">
      <c r="A743" s="2" t="s">
        <v>5546</v>
      </c>
      <c r="B743" s="2" t="s">
        <v>2921</v>
      </c>
      <c r="C743" s="2" t="str">
        <f t="shared" si="11"/>
        <v>TX0023795_001</v>
      </c>
      <c r="D743" s="2" t="s">
        <v>3243</v>
      </c>
    </row>
    <row r="744" spans="1:4" x14ac:dyDescent="0.25">
      <c r="A744" s="2" t="s">
        <v>5547</v>
      </c>
      <c r="B744" s="2" t="s">
        <v>2921</v>
      </c>
      <c r="C744" s="2" t="str">
        <f t="shared" si="11"/>
        <v>TX0023809_001</v>
      </c>
      <c r="D744" s="2" t="s">
        <v>3244</v>
      </c>
    </row>
    <row r="745" spans="1:4" x14ac:dyDescent="0.25">
      <c r="A745" s="2" t="s">
        <v>5547</v>
      </c>
      <c r="B745" s="2" t="s">
        <v>2921</v>
      </c>
      <c r="C745" s="2" t="str">
        <f t="shared" si="11"/>
        <v>TX0023809_001</v>
      </c>
      <c r="D745" s="2" t="s">
        <v>3244</v>
      </c>
    </row>
    <row r="746" spans="1:4" x14ac:dyDescent="0.25">
      <c r="A746" s="2" t="s">
        <v>5548</v>
      </c>
      <c r="B746" s="2" t="s">
        <v>2921</v>
      </c>
      <c r="C746" s="2" t="str">
        <f t="shared" si="11"/>
        <v>TX0023825_001</v>
      </c>
      <c r="D746" s="2" t="s">
        <v>3245</v>
      </c>
    </row>
    <row r="747" spans="1:4" x14ac:dyDescent="0.25">
      <c r="A747" s="2" t="s">
        <v>5549</v>
      </c>
      <c r="B747" s="2" t="s">
        <v>2921</v>
      </c>
      <c r="C747" s="2" t="str">
        <f t="shared" si="11"/>
        <v>TX0023833_001</v>
      </c>
      <c r="D747" s="2" t="s">
        <v>3246</v>
      </c>
    </row>
    <row r="748" spans="1:4" x14ac:dyDescent="0.25">
      <c r="A748" s="2" t="s">
        <v>5550</v>
      </c>
      <c r="B748" s="2" t="s">
        <v>2921</v>
      </c>
      <c r="C748" s="2" t="str">
        <f t="shared" si="11"/>
        <v>TX0023841_001</v>
      </c>
      <c r="D748" s="2" t="s">
        <v>3247</v>
      </c>
    </row>
    <row r="749" spans="1:4" x14ac:dyDescent="0.25">
      <c r="A749" s="2" t="s">
        <v>5551</v>
      </c>
      <c r="B749" s="2" t="s">
        <v>2921</v>
      </c>
      <c r="C749" s="2" t="str">
        <f t="shared" si="11"/>
        <v>TX0023868_001</v>
      </c>
      <c r="D749" s="2" t="s">
        <v>3248</v>
      </c>
    </row>
    <row r="750" spans="1:4" x14ac:dyDescent="0.25">
      <c r="A750" s="2" t="s">
        <v>5552</v>
      </c>
      <c r="B750" s="2" t="s">
        <v>2921</v>
      </c>
      <c r="C750" s="2" t="str">
        <f t="shared" si="11"/>
        <v>TX0023876_001</v>
      </c>
      <c r="D750" s="2" t="s">
        <v>3249</v>
      </c>
    </row>
    <row r="751" spans="1:4" x14ac:dyDescent="0.25">
      <c r="A751" s="2" t="s">
        <v>5553</v>
      </c>
      <c r="B751" s="2" t="s">
        <v>2921</v>
      </c>
      <c r="C751" s="2" t="str">
        <f t="shared" si="11"/>
        <v>TX0023892_001</v>
      </c>
      <c r="D751" s="2" t="s">
        <v>3250</v>
      </c>
    </row>
    <row r="752" spans="1:4" x14ac:dyDescent="0.25">
      <c r="A752" s="2" t="s">
        <v>5554</v>
      </c>
      <c r="B752" s="2" t="s">
        <v>2921</v>
      </c>
      <c r="C752" s="2" t="str">
        <f t="shared" si="11"/>
        <v>TX0023914_001</v>
      </c>
      <c r="D752" s="2" t="s">
        <v>3251</v>
      </c>
    </row>
    <row r="753" spans="1:4" x14ac:dyDescent="0.25">
      <c r="A753" s="2" t="s">
        <v>5555</v>
      </c>
      <c r="B753" s="2" t="s">
        <v>2921</v>
      </c>
      <c r="C753" s="2" t="str">
        <f t="shared" si="11"/>
        <v>TX0023931_001</v>
      </c>
      <c r="D753" s="2" t="s">
        <v>3155</v>
      </c>
    </row>
    <row r="754" spans="1:4" x14ac:dyDescent="0.25">
      <c r="A754" s="2" t="s">
        <v>5556</v>
      </c>
      <c r="B754" s="2" t="s">
        <v>2921</v>
      </c>
      <c r="C754" s="2" t="str">
        <f t="shared" si="11"/>
        <v>TX0023949_001</v>
      </c>
      <c r="D754" s="2" t="s">
        <v>3252</v>
      </c>
    </row>
    <row r="755" spans="1:4" x14ac:dyDescent="0.25">
      <c r="A755" s="2" t="s">
        <v>5557</v>
      </c>
      <c r="B755" s="2" t="s">
        <v>2921</v>
      </c>
      <c r="C755" s="2" t="str">
        <f t="shared" si="11"/>
        <v>TX0023973_001</v>
      </c>
      <c r="D755" s="2" t="s">
        <v>3253</v>
      </c>
    </row>
    <row r="756" spans="1:4" x14ac:dyDescent="0.25">
      <c r="A756" s="2" t="s">
        <v>5557</v>
      </c>
      <c r="B756" s="2" t="s">
        <v>2923</v>
      </c>
      <c r="C756" s="2" t="str">
        <f t="shared" si="11"/>
        <v>TX0023973_002</v>
      </c>
      <c r="D756" s="2" t="s">
        <v>3253</v>
      </c>
    </row>
    <row r="757" spans="1:4" x14ac:dyDescent="0.25">
      <c r="A757" s="2" t="s">
        <v>5557</v>
      </c>
      <c r="B757" s="2" t="s">
        <v>2924</v>
      </c>
      <c r="C757" s="2" t="str">
        <f t="shared" si="11"/>
        <v>TX0023973_003</v>
      </c>
      <c r="D757" s="2" t="s">
        <v>3253</v>
      </c>
    </row>
    <row r="758" spans="1:4" x14ac:dyDescent="0.25">
      <c r="A758" s="2" t="s">
        <v>5558</v>
      </c>
      <c r="B758" s="2" t="s">
        <v>2921</v>
      </c>
      <c r="C758" s="2" t="str">
        <f t="shared" si="11"/>
        <v>TX0023981_001</v>
      </c>
      <c r="D758" s="2" t="s">
        <v>3254</v>
      </c>
    </row>
    <row r="759" spans="1:4" x14ac:dyDescent="0.25">
      <c r="A759" s="2" t="s">
        <v>5559</v>
      </c>
      <c r="B759" s="2" t="s">
        <v>2921</v>
      </c>
      <c r="C759" s="2" t="str">
        <f t="shared" si="11"/>
        <v>TX0024007_001</v>
      </c>
      <c r="D759" s="2" t="s">
        <v>3255</v>
      </c>
    </row>
    <row r="760" spans="1:4" x14ac:dyDescent="0.25">
      <c r="A760" s="2" t="s">
        <v>5560</v>
      </c>
      <c r="B760" s="2" t="s">
        <v>2921</v>
      </c>
      <c r="C760" s="2" t="str">
        <f t="shared" si="11"/>
        <v>TX0024066_001</v>
      </c>
      <c r="D760" s="2" t="s">
        <v>3256</v>
      </c>
    </row>
    <row r="761" spans="1:4" x14ac:dyDescent="0.25">
      <c r="A761" s="2" t="s">
        <v>5561</v>
      </c>
      <c r="B761" s="2" t="s">
        <v>2921</v>
      </c>
      <c r="C761" s="2" t="str">
        <f t="shared" si="11"/>
        <v>TX0024082_001</v>
      </c>
      <c r="D761" s="2" t="s">
        <v>3257</v>
      </c>
    </row>
    <row r="762" spans="1:4" x14ac:dyDescent="0.25">
      <c r="A762" s="2" t="s">
        <v>5562</v>
      </c>
      <c r="B762" s="2" t="s">
        <v>2921</v>
      </c>
      <c r="C762" s="2" t="str">
        <f t="shared" si="11"/>
        <v>TX0024112_001</v>
      </c>
      <c r="D762" s="2" t="s">
        <v>3258</v>
      </c>
    </row>
    <row r="763" spans="1:4" x14ac:dyDescent="0.25">
      <c r="A763" s="2" t="s">
        <v>5563</v>
      </c>
      <c r="B763" s="2" t="s">
        <v>2921</v>
      </c>
      <c r="C763" s="2" t="str">
        <f t="shared" si="11"/>
        <v>TX0024139_001</v>
      </c>
      <c r="D763" s="2" t="s">
        <v>3259</v>
      </c>
    </row>
    <row r="764" spans="1:4" x14ac:dyDescent="0.25">
      <c r="A764" s="2" t="s">
        <v>5564</v>
      </c>
      <c r="B764" s="2" t="s">
        <v>2921</v>
      </c>
      <c r="C764" s="2" t="str">
        <f t="shared" si="11"/>
        <v>TX0024155_001</v>
      </c>
      <c r="D764" s="2" t="s">
        <v>3260</v>
      </c>
    </row>
    <row r="765" spans="1:4" x14ac:dyDescent="0.25">
      <c r="A765" s="2" t="s">
        <v>5565</v>
      </c>
      <c r="B765" s="2" t="s">
        <v>2921</v>
      </c>
      <c r="C765" s="2" t="str">
        <f t="shared" si="11"/>
        <v>TX0024163_001</v>
      </c>
      <c r="D765" s="2" t="s">
        <v>3261</v>
      </c>
    </row>
    <row r="766" spans="1:4" x14ac:dyDescent="0.25">
      <c r="A766" s="2" t="s">
        <v>5566</v>
      </c>
      <c r="B766" s="2" t="s">
        <v>2921</v>
      </c>
      <c r="C766" s="2" t="str">
        <f t="shared" si="11"/>
        <v>TX0024171_001</v>
      </c>
      <c r="D766" s="2" t="s">
        <v>3262</v>
      </c>
    </row>
    <row r="767" spans="1:4" x14ac:dyDescent="0.25">
      <c r="A767" s="2" t="s">
        <v>5567</v>
      </c>
      <c r="B767" s="2" t="s">
        <v>2921</v>
      </c>
      <c r="C767" s="2" t="str">
        <f t="shared" si="11"/>
        <v>TX0024180_001</v>
      </c>
      <c r="D767" s="2" t="s">
        <v>3263</v>
      </c>
    </row>
    <row r="768" spans="1:4" x14ac:dyDescent="0.25">
      <c r="A768" s="2" t="s">
        <v>5568</v>
      </c>
      <c r="B768" s="2" t="s">
        <v>2921</v>
      </c>
      <c r="C768" s="2" t="str">
        <f t="shared" si="11"/>
        <v>TX0024198_001</v>
      </c>
      <c r="D768" s="2" t="s">
        <v>3264</v>
      </c>
    </row>
    <row r="769" spans="1:4" x14ac:dyDescent="0.25">
      <c r="A769" s="2" t="s">
        <v>5569</v>
      </c>
      <c r="B769" s="2" t="s">
        <v>2921</v>
      </c>
      <c r="C769" s="2" t="str">
        <f t="shared" si="11"/>
        <v>TX0024201_001</v>
      </c>
      <c r="D769" s="2" t="s">
        <v>3265</v>
      </c>
    </row>
    <row r="770" spans="1:4" x14ac:dyDescent="0.25">
      <c r="A770" s="2" t="s">
        <v>5570</v>
      </c>
      <c r="B770" s="2" t="s">
        <v>2921</v>
      </c>
      <c r="C770" s="2" t="str">
        <f t="shared" si="11"/>
        <v>TX0024228_001</v>
      </c>
      <c r="D770" s="2" t="s">
        <v>3266</v>
      </c>
    </row>
    <row r="771" spans="1:4" x14ac:dyDescent="0.25">
      <c r="A771" s="2" t="s">
        <v>5570</v>
      </c>
      <c r="B771" s="2" t="s">
        <v>2923</v>
      </c>
      <c r="C771" s="2" t="str">
        <f t="shared" ref="C771:C834" si="12">A771 &amp; "_" &amp; B771</f>
        <v>TX0024228_002</v>
      </c>
      <c r="D771" s="2" t="s">
        <v>3266</v>
      </c>
    </row>
    <row r="772" spans="1:4" x14ac:dyDescent="0.25">
      <c r="A772" s="2" t="s">
        <v>5571</v>
      </c>
      <c r="B772" s="2" t="s">
        <v>2921</v>
      </c>
      <c r="C772" s="2" t="str">
        <f t="shared" si="12"/>
        <v>TX0024236_001</v>
      </c>
      <c r="D772" s="2" t="s">
        <v>3267</v>
      </c>
    </row>
    <row r="773" spans="1:4" x14ac:dyDescent="0.25">
      <c r="A773" s="2" t="s">
        <v>5572</v>
      </c>
      <c r="B773" s="2" t="s">
        <v>2921</v>
      </c>
      <c r="C773" s="2" t="str">
        <f t="shared" si="12"/>
        <v>TX0024244_001</v>
      </c>
      <c r="D773" s="2" t="s">
        <v>3268</v>
      </c>
    </row>
    <row r="774" spans="1:4" x14ac:dyDescent="0.25">
      <c r="A774" s="2" t="s">
        <v>5573</v>
      </c>
      <c r="B774" s="2" t="s">
        <v>2921</v>
      </c>
      <c r="C774" s="2" t="str">
        <f t="shared" si="12"/>
        <v>TX0024252_001</v>
      </c>
      <c r="D774" s="2" t="s">
        <v>3269</v>
      </c>
    </row>
    <row r="775" spans="1:4" x14ac:dyDescent="0.25">
      <c r="A775" s="2" t="s">
        <v>5574</v>
      </c>
      <c r="B775" s="2" t="s">
        <v>2921</v>
      </c>
      <c r="C775" s="2" t="str">
        <f t="shared" si="12"/>
        <v>TX0024261_001</v>
      </c>
      <c r="D775" s="2" t="s">
        <v>3270</v>
      </c>
    </row>
    <row r="776" spans="1:4" x14ac:dyDescent="0.25">
      <c r="A776" s="2" t="s">
        <v>5574</v>
      </c>
      <c r="B776" s="2" t="s">
        <v>2923</v>
      </c>
      <c r="C776" s="2" t="str">
        <f t="shared" si="12"/>
        <v>TX0024261_002</v>
      </c>
      <c r="D776" s="2" t="s">
        <v>3270</v>
      </c>
    </row>
    <row r="777" spans="1:4" x14ac:dyDescent="0.25">
      <c r="A777" s="2" t="s">
        <v>5575</v>
      </c>
      <c r="B777" s="2" t="s">
        <v>2921</v>
      </c>
      <c r="C777" s="2" t="str">
        <f t="shared" si="12"/>
        <v>TX0024287_001</v>
      </c>
      <c r="D777" s="2" t="s">
        <v>3271</v>
      </c>
    </row>
    <row r="778" spans="1:4" x14ac:dyDescent="0.25">
      <c r="A778" s="2" t="s">
        <v>5576</v>
      </c>
      <c r="B778" s="2" t="s">
        <v>2921</v>
      </c>
      <c r="C778" s="2" t="str">
        <f t="shared" si="12"/>
        <v>TX0024309_001</v>
      </c>
      <c r="D778" s="2" t="s">
        <v>3272</v>
      </c>
    </row>
    <row r="779" spans="1:4" x14ac:dyDescent="0.25">
      <c r="A779" s="2" t="s">
        <v>5577</v>
      </c>
      <c r="B779" s="2" t="s">
        <v>2921</v>
      </c>
      <c r="C779" s="2" t="str">
        <f t="shared" si="12"/>
        <v>TX0024325_001</v>
      </c>
      <c r="D779" s="2" t="s">
        <v>3273</v>
      </c>
    </row>
    <row r="780" spans="1:4" x14ac:dyDescent="0.25">
      <c r="A780" s="2" t="s">
        <v>5578</v>
      </c>
      <c r="B780" s="2" t="s">
        <v>2921</v>
      </c>
      <c r="C780" s="2" t="str">
        <f t="shared" si="12"/>
        <v>TX0024368_001</v>
      </c>
      <c r="D780" s="2" t="s">
        <v>3274</v>
      </c>
    </row>
    <row r="781" spans="1:4" x14ac:dyDescent="0.25">
      <c r="A781" s="2" t="s">
        <v>5579</v>
      </c>
      <c r="B781" s="2" t="s">
        <v>2921</v>
      </c>
      <c r="C781" s="2" t="str">
        <f t="shared" si="12"/>
        <v>TX0024414_001</v>
      </c>
      <c r="D781" s="2" t="s">
        <v>3275</v>
      </c>
    </row>
    <row r="782" spans="1:4" x14ac:dyDescent="0.25">
      <c r="A782" s="2" t="s">
        <v>5580</v>
      </c>
      <c r="B782" s="2" t="s">
        <v>2921</v>
      </c>
      <c r="C782" s="2" t="str">
        <f t="shared" si="12"/>
        <v>TX0024422_001</v>
      </c>
      <c r="D782" s="2" t="s">
        <v>3275</v>
      </c>
    </row>
    <row r="783" spans="1:4" x14ac:dyDescent="0.25">
      <c r="A783" s="2" t="s">
        <v>5581</v>
      </c>
      <c r="B783" s="2" t="s">
        <v>2921</v>
      </c>
      <c r="C783" s="2" t="str">
        <f t="shared" si="12"/>
        <v>TX0024457_001</v>
      </c>
      <c r="D783" s="2" t="s">
        <v>3276</v>
      </c>
    </row>
    <row r="784" spans="1:4" x14ac:dyDescent="0.25">
      <c r="A784" s="2" t="s">
        <v>5582</v>
      </c>
      <c r="B784" s="2" t="s">
        <v>2921</v>
      </c>
      <c r="C784" s="2" t="str">
        <f t="shared" si="12"/>
        <v>TX0024465_001</v>
      </c>
      <c r="D784" s="2" t="s">
        <v>3277</v>
      </c>
    </row>
    <row r="785" spans="1:4" x14ac:dyDescent="0.25">
      <c r="A785" s="2" t="s">
        <v>5583</v>
      </c>
      <c r="B785" s="2" t="s">
        <v>2921</v>
      </c>
      <c r="C785" s="2" t="str">
        <f t="shared" si="12"/>
        <v>TX0024473_001</v>
      </c>
      <c r="D785" s="2" t="s">
        <v>3278</v>
      </c>
    </row>
    <row r="786" spans="1:4" x14ac:dyDescent="0.25">
      <c r="A786" s="2" t="s">
        <v>5584</v>
      </c>
      <c r="B786" s="2" t="s">
        <v>2921</v>
      </c>
      <c r="C786" s="2" t="str">
        <f t="shared" si="12"/>
        <v>TX0024490_001</v>
      </c>
      <c r="D786" s="2" t="s">
        <v>3279</v>
      </c>
    </row>
    <row r="787" spans="1:4" x14ac:dyDescent="0.25">
      <c r="A787" s="2" t="s">
        <v>5585</v>
      </c>
      <c r="B787" s="2" t="s">
        <v>2921</v>
      </c>
      <c r="C787" s="2" t="str">
        <f t="shared" si="12"/>
        <v>TX0024503_001</v>
      </c>
      <c r="D787" s="2" t="s">
        <v>3280</v>
      </c>
    </row>
    <row r="788" spans="1:4" x14ac:dyDescent="0.25">
      <c r="A788" s="2" t="s">
        <v>5586</v>
      </c>
      <c r="B788" s="2" t="s">
        <v>2921</v>
      </c>
      <c r="C788" s="2" t="str">
        <f t="shared" si="12"/>
        <v>TX0024511_001</v>
      </c>
      <c r="D788" s="2" t="s">
        <v>3281</v>
      </c>
    </row>
    <row r="789" spans="1:4" x14ac:dyDescent="0.25">
      <c r="A789" s="2" t="s">
        <v>5587</v>
      </c>
      <c r="B789" s="2" t="s">
        <v>2921</v>
      </c>
      <c r="C789" s="2" t="str">
        <f t="shared" si="12"/>
        <v>TX0024546_001</v>
      </c>
      <c r="D789" s="2" t="s">
        <v>3282</v>
      </c>
    </row>
    <row r="790" spans="1:4" x14ac:dyDescent="0.25">
      <c r="A790" s="2" t="s">
        <v>5588</v>
      </c>
      <c r="B790" s="2" t="s">
        <v>2921</v>
      </c>
      <c r="C790" s="2" t="str">
        <f t="shared" si="12"/>
        <v>TX0024554_001</v>
      </c>
      <c r="D790" s="2" t="s">
        <v>3283</v>
      </c>
    </row>
    <row r="791" spans="1:4" x14ac:dyDescent="0.25">
      <c r="A791" s="2" t="s">
        <v>5589</v>
      </c>
      <c r="B791" s="2" t="s">
        <v>2921</v>
      </c>
      <c r="C791" s="2" t="str">
        <f t="shared" si="12"/>
        <v>TX0024562_001</v>
      </c>
      <c r="D791" s="2" t="s">
        <v>3284</v>
      </c>
    </row>
    <row r="792" spans="1:4" x14ac:dyDescent="0.25">
      <c r="A792" s="2" t="s">
        <v>5590</v>
      </c>
      <c r="B792" s="2" t="s">
        <v>2921</v>
      </c>
      <c r="C792" s="2" t="str">
        <f t="shared" si="12"/>
        <v>TX0024589_001</v>
      </c>
      <c r="D792" s="2" t="s">
        <v>3285</v>
      </c>
    </row>
    <row r="793" spans="1:4" x14ac:dyDescent="0.25">
      <c r="A793" s="2" t="s">
        <v>5591</v>
      </c>
      <c r="B793" s="2" t="s">
        <v>2921</v>
      </c>
      <c r="C793" s="2" t="str">
        <f t="shared" si="12"/>
        <v>TX0024597_001</v>
      </c>
      <c r="D793" s="2" t="s">
        <v>2962</v>
      </c>
    </row>
    <row r="794" spans="1:4" x14ac:dyDescent="0.25">
      <c r="A794" s="2" t="s">
        <v>5592</v>
      </c>
      <c r="B794" s="2" t="s">
        <v>2921</v>
      </c>
      <c r="C794" s="2" t="str">
        <f t="shared" si="12"/>
        <v>TX0024601_001</v>
      </c>
      <c r="D794" s="2" t="s">
        <v>3286</v>
      </c>
    </row>
    <row r="795" spans="1:4" x14ac:dyDescent="0.25">
      <c r="A795" s="2" t="s">
        <v>5593</v>
      </c>
      <c r="B795" s="2" t="s">
        <v>2921</v>
      </c>
      <c r="C795" s="2" t="str">
        <f t="shared" si="12"/>
        <v>TX0024635_001</v>
      </c>
      <c r="D795" s="2" t="s">
        <v>3287</v>
      </c>
    </row>
    <row r="796" spans="1:4" x14ac:dyDescent="0.25">
      <c r="A796" s="2" t="s">
        <v>5594</v>
      </c>
      <c r="B796" s="2" t="s">
        <v>2921</v>
      </c>
      <c r="C796" s="2" t="str">
        <f t="shared" si="12"/>
        <v>TX0024678_001</v>
      </c>
      <c r="D796" s="2" t="s">
        <v>2954</v>
      </c>
    </row>
    <row r="797" spans="1:4" x14ac:dyDescent="0.25">
      <c r="A797" s="2" t="s">
        <v>5595</v>
      </c>
      <c r="B797" s="2" t="s">
        <v>2921</v>
      </c>
      <c r="C797" s="2" t="str">
        <f t="shared" si="12"/>
        <v>TX0024686_001</v>
      </c>
      <c r="D797" s="2" t="s">
        <v>2954</v>
      </c>
    </row>
    <row r="798" spans="1:4" x14ac:dyDescent="0.25">
      <c r="A798" s="2" t="s">
        <v>5596</v>
      </c>
      <c r="B798" s="2" t="s">
        <v>2921</v>
      </c>
      <c r="C798" s="2" t="str">
        <f t="shared" si="12"/>
        <v>TX0024759_001</v>
      </c>
      <c r="D798" s="2" t="s">
        <v>3288</v>
      </c>
    </row>
    <row r="799" spans="1:4" x14ac:dyDescent="0.25">
      <c r="A799" s="2" t="s">
        <v>5597</v>
      </c>
      <c r="B799" s="2" t="s">
        <v>2921</v>
      </c>
      <c r="C799" s="2" t="str">
        <f t="shared" si="12"/>
        <v>TX0024775_001</v>
      </c>
      <c r="D799" s="2" t="s">
        <v>3193</v>
      </c>
    </row>
    <row r="800" spans="1:4" x14ac:dyDescent="0.25">
      <c r="A800" s="2" t="s">
        <v>5598</v>
      </c>
      <c r="B800" s="2" t="s">
        <v>2921</v>
      </c>
      <c r="C800" s="2" t="str">
        <f t="shared" si="12"/>
        <v>TX0024783_001</v>
      </c>
      <c r="D800" s="2" t="s">
        <v>3289</v>
      </c>
    </row>
    <row r="801" spans="1:4" x14ac:dyDescent="0.25">
      <c r="A801" s="2" t="s">
        <v>5599</v>
      </c>
      <c r="B801" s="2" t="s">
        <v>2921</v>
      </c>
      <c r="C801" s="2" t="str">
        <f t="shared" si="12"/>
        <v>TX0024821_001</v>
      </c>
      <c r="D801" s="2" t="s">
        <v>3290</v>
      </c>
    </row>
    <row r="802" spans="1:4" x14ac:dyDescent="0.25">
      <c r="A802" s="2" t="s">
        <v>5600</v>
      </c>
      <c r="B802" s="2" t="s">
        <v>2921</v>
      </c>
      <c r="C802" s="2" t="str">
        <f t="shared" si="12"/>
        <v>TX0024848_001</v>
      </c>
      <c r="D802" s="2" t="s">
        <v>3291</v>
      </c>
    </row>
    <row r="803" spans="1:4" x14ac:dyDescent="0.25">
      <c r="A803" s="2" t="s">
        <v>5601</v>
      </c>
      <c r="B803" s="2" t="s">
        <v>2921</v>
      </c>
      <c r="C803" s="2" t="str">
        <f t="shared" si="12"/>
        <v>TX0024856_001</v>
      </c>
      <c r="D803" s="2" t="s">
        <v>3292</v>
      </c>
    </row>
    <row r="804" spans="1:4" x14ac:dyDescent="0.25">
      <c r="A804" s="2" t="s">
        <v>5602</v>
      </c>
      <c r="B804" s="2" t="s">
        <v>2921</v>
      </c>
      <c r="C804" s="2" t="str">
        <f t="shared" si="12"/>
        <v>TX0024872_001</v>
      </c>
      <c r="D804" s="2" t="s">
        <v>3293</v>
      </c>
    </row>
    <row r="805" spans="1:4" x14ac:dyDescent="0.25">
      <c r="A805" s="2" t="s">
        <v>5603</v>
      </c>
      <c r="B805" s="2" t="s">
        <v>2921</v>
      </c>
      <c r="C805" s="2" t="str">
        <f t="shared" si="12"/>
        <v>TX0024902_001</v>
      </c>
      <c r="D805" s="2" t="s">
        <v>3294</v>
      </c>
    </row>
    <row r="806" spans="1:4" x14ac:dyDescent="0.25">
      <c r="A806" s="2" t="s">
        <v>5604</v>
      </c>
      <c r="B806" s="2" t="s">
        <v>2921</v>
      </c>
      <c r="C806" s="2" t="str">
        <f t="shared" si="12"/>
        <v>TX0024911_001</v>
      </c>
      <c r="D806" s="2" t="s">
        <v>3295</v>
      </c>
    </row>
    <row r="807" spans="1:4" x14ac:dyDescent="0.25">
      <c r="A807" s="2" t="s">
        <v>5605</v>
      </c>
      <c r="B807" s="2" t="s">
        <v>2921</v>
      </c>
      <c r="C807" s="2" t="str">
        <f t="shared" si="12"/>
        <v>TX0024929_001</v>
      </c>
      <c r="D807" s="2" t="s">
        <v>3296</v>
      </c>
    </row>
    <row r="808" spans="1:4" x14ac:dyDescent="0.25">
      <c r="A808" s="2" t="s">
        <v>5606</v>
      </c>
      <c r="B808" s="2" t="s">
        <v>2921</v>
      </c>
      <c r="C808" s="2" t="str">
        <f t="shared" si="12"/>
        <v>TX0024953_001</v>
      </c>
      <c r="D808" s="2" t="s">
        <v>3297</v>
      </c>
    </row>
    <row r="809" spans="1:4" x14ac:dyDescent="0.25">
      <c r="A809" s="2" t="s">
        <v>5607</v>
      </c>
      <c r="B809" s="2" t="s">
        <v>2921</v>
      </c>
      <c r="C809" s="2" t="str">
        <f t="shared" si="12"/>
        <v>TX0024988_001</v>
      </c>
      <c r="D809" s="2" t="s">
        <v>3298</v>
      </c>
    </row>
    <row r="810" spans="1:4" x14ac:dyDescent="0.25">
      <c r="A810" s="2" t="s">
        <v>5608</v>
      </c>
      <c r="B810" s="2" t="s">
        <v>2921</v>
      </c>
      <c r="C810" s="2" t="str">
        <f t="shared" si="12"/>
        <v>TX0025011_001</v>
      </c>
      <c r="D810" s="2" t="s">
        <v>3193</v>
      </c>
    </row>
    <row r="811" spans="1:4" x14ac:dyDescent="0.25">
      <c r="A811" s="2" t="s">
        <v>5608</v>
      </c>
      <c r="B811" s="2" t="s">
        <v>2923</v>
      </c>
      <c r="C811" s="2" t="str">
        <f t="shared" si="12"/>
        <v>TX0025011_002</v>
      </c>
      <c r="D811" s="2" t="s">
        <v>3193</v>
      </c>
    </row>
    <row r="812" spans="1:4" x14ac:dyDescent="0.25">
      <c r="A812" s="2" t="s">
        <v>5609</v>
      </c>
      <c r="B812" s="2" t="s">
        <v>2921</v>
      </c>
      <c r="C812" s="2" t="str">
        <f t="shared" si="12"/>
        <v>TX0025020_001</v>
      </c>
      <c r="D812" s="2" t="s">
        <v>3299</v>
      </c>
    </row>
    <row r="813" spans="1:4" x14ac:dyDescent="0.25">
      <c r="A813" s="2" t="s">
        <v>5610</v>
      </c>
      <c r="B813" s="2" t="s">
        <v>2921</v>
      </c>
      <c r="C813" s="2" t="str">
        <f t="shared" si="12"/>
        <v>TX0025046_001</v>
      </c>
      <c r="D813" s="2" t="s">
        <v>3300</v>
      </c>
    </row>
    <row r="814" spans="1:4" x14ac:dyDescent="0.25">
      <c r="A814" s="2" t="s">
        <v>5611</v>
      </c>
      <c r="B814" s="2" t="s">
        <v>2921</v>
      </c>
      <c r="C814" s="2" t="str">
        <f t="shared" si="12"/>
        <v>TX0025054_001</v>
      </c>
      <c r="D814" s="2" t="s">
        <v>3301</v>
      </c>
    </row>
    <row r="815" spans="1:4" x14ac:dyDescent="0.25">
      <c r="A815" s="2" t="s">
        <v>5612</v>
      </c>
      <c r="B815" s="2" t="s">
        <v>2921</v>
      </c>
      <c r="C815" s="2" t="str">
        <f t="shared" si="12"/>
        <v>TX0025062_001</v>
      </c>
      <c r="D815" s="2" t="s">
        <v>3302</v>
      </c>
    </row>
    <row r="816" spans="1:4" x14ac:dyDescent="0.25">
      <c r="A816" s="2" t="s">
        <v>5613</v>
      </c>
      <c r="B816" s="2" t="s">
        <v>2921</v>
      </c>
      <c r="C816" s="2" t="str">
        <f t="shared" si="12"/>
        <v>TX0025071_001</v>
      </c>
      <c r="D816" s="2" t="s">
        <v>3182</v>
      </c>
    </row>
    <row r="817" spans="1:4" x14ac:dyDescent="0.25">
      <c r="A817" s="2" t="s">
        <v>5614</v>
      </c>
      <c r="B817" s="2" t="s">
        <v>2921</v>
      </c>
      <c r="C817" s="2" t="str">
        <f t="shared" si="12"/>
        <v>TX0025097_001</v>
      </c>
      <c r="D817" s="2" t="s">
        <v>3303</v>
      </c>
    </row>
    <row r="818" spans="1:4" x14ac:dyDescent="0.25">
      <c r="A818" s="2" t="s">
        <v>5615</v>
      </c>
      <c r="B818" s="2" t="s">
        <v>2921</v>
      </c>
      <c r="C818" s="2" t="str">
        <f t="shared" si="12"/>
        <v>TX0025101_001</v>
      </c>
      <c r="D818" s="2" t="s">
        <v>3304</v>
      </c>
    </row>
    <row r="819" spans="1:4" x14ac:dyDescent="0.25">
      <c r="A819" s="2" t="s">
        <v>5615</v>
      </c>
      <c r="B819" s="2" t="s">
        <v>3085</v>
      </c>
      <c r="C819" s="2" t="str">
        <f t="shared" si="12"/>
        <v>TX0025101_019</v>
      </c>
      <c r="D819" s="2" t="s">
        <v>3304</v>
      </c>
    </row>
    <row r="820" spans="1:4" x14ac:dyDescent="0.25">
      <c r="A820" s="2" t="s">
        <v>5615</v>
      </c>
      <c r="B820" s="2" t="s">
        <v>3003</v>
      </c>
      <c r="C820" s="2" t="str">
        <f t="shared" si="12"/>
        <v>TX0025101_020</v>
      </c>
      <c r="D820" s="2" t="s">
        <v>3304</v>
      </c>
    </row>
    <row r="821" spans="1:4" x14ac:dyDescent="0.25">
      <c r="A821" s="2" t="s">
        <v>5615</v>
      </c>
      <c r="B821" s="2" t="s">
        <v>3305</v>
      </c>
      <c r="C821" s="2" t="str">
        <f t="shared" si="12"/>
        <v>TX0025101_023</v>
      </c>
      <c r="D821" s="2" t="s">
        <v>3304</v>
      </c>
    </row>
    <row r="822" spans="1:4" x14ac:dyDescent="0.25">
      <c r="A822" s="2" t="s">
        <v>5615</v>
      </c>
      <c r="B822" s="2" t="s">
        <v>3306</v>
      </c>
      <c r="C822" s="2" t="str">
        <f t="shared" si="12"/>
        <v>TX0025101_059</v>
      </c>
      <c r="D822" s="2" t="s">
        <v>3304</v>
      </c>
    </row>
    <row r="823" spans="1:4" x14ac:dyDescent="0.25">
      <c r="A823" s="2" t="s">
        <v>5616</v>
      </c>
      <c r="B823" s="2" t="s">
        <v>2921</v>
      </c>
      <c r="C823" s="2" t="str">
        <f t="shared" si="12"/>
        <v>TX0025151_001</v>
      </c>
      <c r="D823" s="2" t="s">
        <v>3307</v>
      </c>
    </row>
    <row r="824" spans="1:4" x14ac:dyDescent="0.25">
      <c r="A824" s="2" t="s">
        <v>5617</v>
      </c>
      <c r="B824" s="2" t="s">
        <v>2921</v>
      </c>
      <c r="C824" s="2" t="str">
        <f t="shared" si="12"/>
        <v>TX0025186_001</v>
      </c>
      <c r="D824" s="2" t="s">
        <v>3308</v>
      </c>
    </row>
    <row r="825" spans="1:4" x14ac:dyDescent="0.25">
      <c r="A825" s="2" t="s">
        <v>5618</v>
      </c>
      <c r="B825" s="2" t="s">
        <v>2923</v>
      </c>
      <c r="C825" s="2" t="str">
        <f t="shared" si="12"/>
        <v>TX0025208_002</v>
      </c>
      <c r="D825" s="2" t="s">
        <v>3309</v>
      </c>
    </row>
    <row r="826" spans="1:4" x14ac:dyDescent="0.25">
      <c r="A826" s="2" t="s">
        <v>5618</v>
      </c>
      <c r="B826" s="2" t="s">
        <v>2921</v>
      </c>
      <c r="C826" s="2" t="str">
        <f t="shared" si="12"/>
        <v>TX0025208_001</v>
      </c>
      <c r="D826" s="2" t="s">
        <v>3309</v>
      </c>
    </row>
    <row r="827" spans="1:4" x14ac:dyDescent="0.25">
      <c r="A827" s="2" t="s">
        <v>5619</v>
      </c>
      <c r="B827" s="2" t="s">
        <v>2921</v>
      </c>
      <c r="C827" s="2" t="str">
        <f t="shared" si="12"/>
        <v>TX0025224_001</v>
      </c>
      <c r="D827" s="2" t="s">
        <v>3309</v>
      </c>
    </row>
    <row r="828" spans="1:4" x14ac:dyDescent="0.25">
      <c r="A828" s="2" t="s">
        <v>5620</v>
      </c>
      <c r="B828" s="2" t="s">
        <v>2921</v>
      </c>
      <c r="C828" s="2" t="str">
        <f t="shared" si="12"/>
        <v>TX0025232_001</v>
      </c>
      <c r="D828" s="2" t="s">
        <v>3310</v>
      </c>
    </row>
    <row r="829" spans="1:4" x14ac:dyDescent="0.25">
      <c r="A829" s="2" t="s">
        <v>5621</v>
      </c>
      <c r="B829" s="2" t="s">
        <v>2921</v>
      </c>
      <c r="C829" s="2" t="str">
        <f t="shared" si="12"/>
        <v>TX0025283_001</v>
      </c>
      <c r="D829" s="2" t="s">
        <v>3311</v>
      </c>
    </row>
    <row r="830" spans="1:4" x14ac:dyDescent="0.25">
      <c r="A830" s="2" t="s">
        <v>5622</v>
      </c>
      <c r="B830" s="2" t="s">
        <v>2921</v>
      </c>
      <c r="C830" s="2" t="str">
        <f t="shared" si="12"/>
        <v>TX0025291_001</v>
      </c>
      <c r="D830" s="2" t="s">
        <v>3110</v>
      </c>
    </row>
    <row r="831" spans="1:4" x14ac:dyDescent="0.25">
      <c r="A831" s="2" t="s">
        <v>5623</v>
      </c>
      <c r="B831" s="2" t="s">
        <v>2921</v>
      </c>
      <c r="C831" s="2" t="str">
        <f t="shared" si="12"/>
        <v>TX0025321_001</v>
      </c>
      <c r="D831" s="2" t="s">
        <v>3312</v>
      </c>
    </row>
    <row r="832" spans="1:4" x14ac:dyDescent="0.25">
      <c r="A832" s="2" t="s">
        <v>5624</v>
      </c>
      <c r="B832" s="2" t="s">
        <v>2921</v>
      </c>
      <c r="C832" s="2" t="str">
        <f t="shared" si="12"/>
        <v>TX0025364_001</v>
      </c>
      <c r="D832" s="2" t="s">
        <v>3313</v>
      </c>
    </row>
    <row r="833" spans="1:4" x14ac:dyDescent="0.25">
      <c r="A833" s="2" t="s">
        <v>5625</v>
      </c>
      <c r="B833" s="2" t="s">
        <v>2921</v>
      </c>
      <c r="C833" s="2" t="str">
        <f t="shared" si="12"/>
        <v>TX0025372_001</v>
      </c>
      <c r="D833" s="2" t="s">
        <v>3313</v>
      </c>
    </row>
    <row r="834" spans="1:4" x14ac:dyDescent="0.25">
      <c r="A834" s="2" t="s">
        <v>5626</v>
      </c>
      <c r="B834" s="2" t="s">
        <v>2921</v>
      </c>
      <c r="C834" s="2" t="str">
        <f t="shared" si="12"/>
        <v>TX0025399_001</v>
      </c>
      <c r="D834" s="2" t="s">
        <v>3314</v>
      </c>
    </row>
    <row r="835" spans="1:4" x14ac:dyDescent="0.25">
      <c r="A835" s="2" t="s">
        <v>5627</v>
      </c>
      <c r="B835" s="2" t="s">
        <v>2921</v>
      </c>
      <c r="C835" s="2" t="str">
        <f t="shared" ref="C835:C898" si="13">A835 &amp; "_" &amp; B835</f>
        <v>TX0025402_001</v>
      </c>
      <c r="D835" s="2" t="s">
        <v>3315</v>
      </c>
    </row>
    <row r="836" spans="1:4" x14ac:dyDescent="0.25">
      <c r="A836" s="2" t="s">
        <v>5628</v>
      </c>
      <c r="B836" s="2" t="s">
        <v>2921</v>
      </c>
      <c r="C836" s="2" t="str">
        <f t="shared" si="13"/>
        <v>TX0025411_001</v>
      </c>
      <c r="D836" s="2" t="s">
        <v>3316</v>
      </c>
    </row>
    <row r="837" spans="1:4" x14ac:dyDescent="0.25">
      <c r="A837" s="2" t="s">
        <v>5629</v>
      </c>
      <c r="B837" s="2" t="s">
        <v>2921</v>
      </c>
      <c r="C837" s="2" t="str">
        <f t="shared" si="13"/>
        <v>TX0025437_001</v>
      </c>
      <c r="D837" s="2" t="s">
        <v>3317</v>
      </c>
    </row>
    <row r="838" spans="1:4" x14ac:dyDescent="0.25">
      <c r="A838" s="2" t="s">
        <v>5630</v>
      </c>
      <c r="B838" s="2" t="s">
        <v>2921</v>
      </c>
      <c r="C838" s="2" t="str">
        <f t="shared" si="13"/>
        <v>TX0025445_001</v>
      </c>
      <c r="D838" s="2" t="s">
        <v>3317</v>
      </c>
    </row>
    <row r="839" spans="1:4" x14ac:dyDescent="0.25">
      <c r="A839" s="2" t="s">
        <v>5631</v>
      </c>
      <c r="B839" s="2" t="s">
        <v>2921</v>
      </c>
      <c r="C839" s="2" t="str">
        <f t="shared" si="13"/>
        <v>TX0025453_001</v>
      </c>
      <c r="D839" s="2" t="s">
        <v>3318</v>
      </c>
    </row>
    <row r="840" spans="1:4" x14ac:dyDescent="0.25">
      <c r="A840" s="2" t="s">
        <v>5632</v>
      </c>
      <c r="B840" s="2" t="s">
        <v>2921</v>
      </c>
      <c r="C840" s="2" t="str">
        <f t="shared" si="13"/>
        <v>TX0025461_001</v>
      </c>
      <c r="D840" s="2" t="s">
        <v>2963</v>
      </c>
    </row>
    <row r="841" spans="1:4" x14ac:dyDescent="0.25">
      <c r="A841" s="2" t="s">
        <v>5633</v>
      </c>
      <c r="B841" s="2" t="s">
        <v>2921</v>
      </c>
      <c r="C841" s="2" t="str">
        <f t="shared" si="13"/>
        <v>TX0025470_001</v>
      </c>
      <c r="D841" s="2" t="s">
        <v>3319</v>
      </c>
    </row>
    <row r="842" spans="1:4" x14ac:dyDescent="0.25">
      <c r="A842" s="2" t="s">
        <v>5634</v>
      </c>
      <c r="B842" s="2" t="s">
        <v>2921</v>
      </c>
      <c r="C842" s="2" t="str">
        <f t="shared" si="13"/>
        <v>TX0025500_001</v>
      </c>
      <c r="D842" s="2" t="s">
        <v>3320</v>
      </c>
    </row>
    <row r="843" spans="1:4" x14ac:dyDescent="0.25">
      <c r="A843" s="2" t="s">
        <v>5635</v>
      </c>
      <c r="B843" s="2" t="s">
        <v>2921</v>
      </c>
      <c r="C843" s="2" t="str">
        <f t="shared" si="13"/>
        <v>TX0025569_001</v>
      </c>
      <c r="D843" s="2" t="s">
        <v>3321</v>
      </c>
    </row>
    <row r="844" spans="1:4" x14ac:dyDescent="0.25">
      <c r="A844" s="2" t="s">
        <v>5636</v>
      </c>
      <c r="B844" s="2" t="s">
        <v>2921</v>
      </c>
      <c r="C844" s="2" t="str">
        <f t="shared" si="13"/>
        <v>TX0025577_001</v>
      </c>
      <c r="D844" s="2" t="s">
        <v>3322</v>
      </c>
    </row>
    <row r="845" spans="1:4" x14ac:dyDescent="0.25">
      <c r="A845" s="2" t="s">
        <v>5637</v>
      </c>
      <c r="B845" s="2" t="s">
        <v>2921</v>
      </c>
      <c r="C845" s="2" t="str">
        <f t="shared" si="13"/>
        <v>TX0025615_001</v>
      </c>
      <c r="D845" s="2" t="s">
        <v>3323</v>
      </c>
    </row>
    <row r="846" spans="1:4" x14ac:dyDescent="0.25">
      <c r="A846" s="2" t="s">
        <v>5638</v>
      </c>
      <c r="B846" s="2" t="s">
        <v>2921</v>
      </c>
      <c r="C846" s="2" t="str">
        <f t="shared" si="13"/>
        <v>TX0025623_001</v>
      </c>
      <c r="D846" s="2" t="s">
        <v>3324</v>
      </c>
    </row>
    <row r="847" spans="1:4" x14ac:dyDescent="0.25">
      <c r="A847" s="2" t="s">
        <v>5639</v>
      </c>
      <c r="B847" s="2" t="s">
        <v>2921</v>
      </c>
      <c r="C847" s="2" t="str">
        <f t="shared" si="13"/>
        <v>TX0025674_001</v>
      </c>
      <c r="D847" s="2" t="s">
        <v>3325</v>
      </c>
    </row>
    <row r="848" spans="1:4" x14ac:dyDescent="0.25">
      <c r="A848" s="2" t="s">
        <v>5640</v>
      </c>
      <c r="B848" s="2" t="s">
        <v>2923</v>
      </c>
      <c r="C848" s="2" t="str">
        <f t="shared" si="13"/>
        <v>TX0025682_002</v>
      </c>
      <c r="D848" s="2" t="s">
        <v>3326</v>
      </c>
    </row>
    <row r="849" spans="1:4" x14ac:dyDescent="0.25">
      <c r="A849" s="2" t="s">
        <v>5640</v>
      </c>
      <c r="B849" s="2" t="s">
        <v>2921</v>
      </c>
      <c r="C849" s="2" t="str">
        <f t="shared" si="13"/>
        <v>TX0025682_001</v>
      </c>
      <c r="D849" s="2" t="s">
        <v>3326</v>
      </c>
    </row>
    <row r="850" spans="1:4" x14ac:dyDescent="0.25">
      <c r="A850" s="2" t="s">
        <v>5641</v>
      </c>
      <c r="B850" s="2" t="s">
        <v>2921</v>
      </c>
      <c r="C850" s="2" t="str">
        <f t="shared" si="13"/>
        <v>TX0025712_001</v>
      </c>
      <c r="D850" s="2" t="s">
        <v>3327</v>
      </c>
    </row>
    <row r="851" spans="1:4" x14ac:dyDescent="0.25">
      <c r="A851" s="2" t="s">
        <v>5642</v>
      </c>
      <c r="B851" s="2" t="s">
        <v>2921</v>
      </c>
      <c r="C851" s="2" t="str">
        <f t="shared" si="13"/>
        <v>TX0025747_001</v>
      </c>
      <c r="D851" s="2" t="s">
        <v>3328</v>
      </c>
    </row>
    <row r="852" spans="1:4" x14ac:dyDescent="0.25">
      <c r="A852" s="2" t="s">
        <v>5643</v>
      </c>
      <c r="B852" s="2" t="s">
        <v>2921</v>
      </c>
      <c r="C852" s="2" t="str">
        <f t="shared" si="13"/>
        <v>TX0025755_001</v>
      </c>
      <c r="D852" s="2" t="s">
        <v>3329</v>
      </c>
    </row>
    <row r="853" spans="1:4" x14ac:dyDescent="0.25">
      <c r="A853" s="2" t="s">
        <v>5644</v>
      </c>
      <c r="B853" s="2" t="s">
        <v>2921</v>
      </c>
      <c r="C853" s="2" t="str">
        <f t="shared" si="13"/>
        <v>TX0025798_001</v>
      </c>
      <c r="D853" s="2" t="s">
        <v>3330</v>
      </c>
    </row>
    <row r="854" spans="1:4" x14ac:dyDescent="0.25">
      <c r="A854" s="2" t="s">
        <v>5645</v>
      </c>
      <c r="B854" s="2" t="s">
        <v>2921</v>
      </c>
      <c r="C854" s="2" t="str">
        <f t="shared" si="13"/>
        <v>TX0025801_001</v>
      </c>
      <c r="D854" s="2" t="s">
        <v>3331</v>
      </c>
    </row>
    <row r="855" spans="1:4" x14ac:dyDescent="0.25">
      <c r="A855" s="2" t="s">
        <v>5646</v>
      </c>
      <c r="B855" s="2" t="s">
        <v>2921</v>
      </c>
      <c r="C855" s="2" t="str">
        <f t="shared" si="13"/>
        <v>TX0025810_001</v>
      </c>
      <c r="D855" s="2" t="s">
        <v>3331</v>
      </c>
    </row>
    <row r="856" spans="1:4" x14ac:dyDescent="0.25">
      <c r="A856" s="2" t="s">
        <v>5646</v>
      </c>
      <c r="B856" s="2" t="s">
        <v>2923</v>
      </c>
      <c r="C856" s="2" t="str">
        <f t="shared" si="13"/>
        <v>TX0025810_002</v>
      </c>
      <c r="D856" s="2" t="s">
        <v>3331</v>
      </c>
    </row>
    <row r="857" spans="1:4" x14ac:dyDescent="0.25">
      <c r="A857" s="2" t="s">
        <v>5647</v>
      </c>
      <c r="B857" s="2" t="s">
        <v>2921</v>
      </c>
      <c r="C857" s="2" t="str">
        <f t="shared" si="13"/>
        <v>TX0025828_001</v>
      </c>
      <c r="D857" s="2" t="s">
        <v>3332</v>
      </c>
    </row>
    <row r="858" spans="1:4" x14ac:dyDescent="0.25">
      <c r="A858" s="2" t="s">
        <v>5648</v>
      </c>
      <c r="B858" s="2" t="s">
        <v>2921</v>
      </c>
      <c r="C858" s="2" t="str">
        <f t="shared" si="13"/>
        <v>TX0025852_001</v>
      </c>
      <c r="D858" s="2" t="s">
        <v>3333</v>
      </c>
    </row>
    <row r="859" spans="1:4" x14ac:dyDescent="0.25">
      <c r="A859" s="2" t="s">
        <v>5649</v>
      </c>
      <c r="B859" s="2" t="s">
        <v>2921</v>
      </c>
      <c r="C859" s="2" t="str">
        <f t="shared" si="13"/>
        <v>TX0025879_001</v>
      </c>
      <c r="D859" s="2" t="s">
        <v>3334</v>
      </c>
    </row>
    <row r="860" spans="1:4" x14ac:dyDescent="0.25">
      <c r="A860" s="2" t="s">
        <v>5650</v>
      </c>
      <c r="B860" s="2" t="s">
        <v>2921</v>
      </c>
      <c r="C860" s="2" t="str">
        <f t="shared" si="13"/>
        <v>TX0025895_001</v>
      </c>
      <c r="D860" s="2" t="s">
        <v>3335</v>
      </c>
    </row>
    <row r="861" spans="1:4" x14ac:dyDescent="0.25">
      <c r="A861" s="2" t="s">
        <v>5651</v>
      </c>
      <c r="B861" s="2" t="s">
        <v>2921</v>
      </c>
      <c r="C861" s="2" t="str">
        <f t="shared" si="13"/>
        <v>TX0025917_001</v>
      </c>
      <c r="D861" s="2" t="s">
        <v>3336</v>
      </c>
    </row>
    <row r="862" spans="1:4" x14ac:dyDescent="0.25">
      <c r="A862" s="2" t="s">
        <v>5652</v>
      </c>
      <c r="B862" s="2" t="s">
        <v>2921</v>
      </c>
      <c r="C862" s="2" t="str">
        <f t="shared" si="13"/>
        <v>TX0025950_001</v>
      </c>
      <c r="D862" s="2" t="s">
        <v>3155</v>
      </c>
    </row>
    <row r="863" spans="1:4" x14ac:dyDescent="0.25">
      <c r="A863" s="2" t="s">
        <v>5653</v>
      </c>
      <c r="B863" s="2" t="s">
        <v>2921</v>
      </c>
      <c r="C863" s="2" t="str">
        <f t="shared" si="13"/>
        <v>TX0025968_001</v>
      </c>
      <c r="D863" s="2" t="s">
        <v>3337</v>
      </c>
    </row>
    <row r="864" spans="1:4" x14ac:dyDescent="0.25">
      <c r="A864" s="2" t="s">
        <v>5654</v>
      </c>
      <c r="B864" s="2" t="s">
        <v>2921</v>
      </c>
      <c r="C864" s="2" t="str">
        <f t="shared" si="13"/>
        <v>TX0025976_001</v>
      </c>
      <c r="D864" s="2" t="s">
        <v>3338</v>
      </c>
    </row>
    <row r="865" spans="1:4" x14ac:dyDescent="0.25">
      <c r="A865" s="2" t="s">
        <v>5655</v>
      </c>
      <c r="B865" s="2" t="s">
        <v>2921</v>
      </c>
      <c r="C865" s="2" t="str">
        <f t="shared" si="13"/>
        <v>TX0026018_001</v>
      </c>
      <c r="D865" s="2" t="s">
        <v>3339</v>
      </c>
    </row>
    <row r="866" spans="1:4" x14ac:dyDescent="0.25">
      <c r="A866" s="2" t="s">
        <v>5656</v>
      </c>
      <c r="B866" s="2" t="s">
        <v>2921</v>
      </c>
      <c r="C866" s="2" t="str">
        <f t="shared" si="13"/>
        <v>TX0026026_001</v>
      </c>
      <c r="D866" s="2" t="s">
        <v>3340</v>
      </c>
    </row>
    <row r="867" spans="1:4" x14ac:dyDescent="0.25">
      <c r="A867" s="2" t="s">
        <v>5657</v>
      </c>
      <c r="B867" s="2" t="s">
        <v>2921</v>
      </c>
      <c r="C867" s="2" t="str">
        <f t="shared" si="13"/>
        <v>TX0026034_001</v>
      </c>
      <c r="D867" s="2" t="s">
        <v>3341</v>
      </c>
    </row>
    <row r="868" spans="1:4" x14ac:dyDescent="0.25">
      <c r="A868" s="2" t="s">
        <v>5658</v>
      </c>
      <c r="B868" s="2" t="s">
        <v>2921</v>
      </c>
      <c r="C868" s="2" t="str">
        <f t="shared" si="13"/>
        <v>TX0026042_001</v>
      </c>
      <c r="D868" s="2" t="s">
        <v>3342</v>
      </c>
    </row>
    <row r="869" spans="1:4" x14ac:dyDescent="0.25">
      <c r="A869" s="2" t="s">
        <v>5659</v>
      </c>
      <c r="B869" s="2" t="s">
        <v>2921</v>
      </c>
      <c r="C869" s="2" t="str">
        <f t="shared" si="13"/>
        <v>TX0026051_001</v>
      </c>
      <c r="D869" s="2" t="s">
        <v>3343</v>
      </c>
    </row>
    <row r="870" spans="1:4" x14ac:dyDescent="0.25">
      <c r="A870" s="2" t="s">
        <v>5660</v>
      </c>
      <c r="B870" s="2" t="s">
        <v>2921</v>
      </c>
      <c r="C870" s="2" t="str">
        <f t="shared" si="13"/>
        <v>TX0026182_001</v>
      </c>
      <c r="D870" s="2" t="s">
        <v>3344</v>
      </c>
    </row>
    <row r="871" spans="1:4" x14ac:dyDescent="0.25">
      <c r="A871" s="2" t="s">
        <v>5661</v>
      </c>
      <c r="B871" s="2" t="s">
        <v>2921</v>
      </c>
      <c r="C871" s="2" t="str">
        <f t="shared" si="13"/>
        <v>TX0026221_001</v>
      </c>
      <c r="D871" s="2" t="s">
        <v>3345</v>
      </c>
    </row>
    <row r="872" spans="1:4" x14ac:dyDescent="0.25">
      <c r="A872" s="2" t="s">
        <v>5662</v>
      </c>
      <c r="B872" s="2" t="s">
        <v>2921</v>
      </c>
      <c r="C872" s="2" t="str">
        <f t="shared" si="13"/>
        <v>TX0026247_001</v>
      </c>
      <c r="D872" s="2" t="s">
        <v>3286</v>
      </c>
    </row>
    <row r="873" spans="1:4" x14ac:dyDescent="0.25">
      <c r="A873" s="2" t="s">
        <v>5663</v>
      </c>
      <c r="B873" s="2" t="s">
        <v>2921</v>
      </c>
      <c r="C873" s="2" t="str">
        <f t="shared" si="13"/>
        <v>TX0026255_001</v>
      </c>
      <c r="D873" s="2" t="s">
        <v>3346</v>
      </c>
    </row>
    <row r="874" spans="1:4" x14ac:dyDescent="0.25">
      <c r="A874" s="2" t="s">
        <v>5664</v>
      </c>
      <c r="B874" s="2" t="s">
        <v>2921</v>
      </c>
      <c r="C874" s="2" t="str">
        <f t="shared" si="13"/>
        <v>TX0026263_001</v>
      </c>
      <c r="D874" s="2" t="s">
        <v>3347</v>
      </c>
    </row>
    <row r="875" spans="1:4" x14ac:dyDescent="0.25">
      <c r="A875" s="2" t="s">
        <v>5665</v>
      </c>
      <c r="B875" s="2" t="s">
        <v>2921</v>
      </c>
      <c r="C875" s="2" t="str">
        <f t="shared" si="13"/>
        <v>TX0026328_001</v>
      </c>
      <c r="D875" s="2" t="s">
        <v>2965</v>
      </c>
    </row>
    <row r="876" spans="1:4" x14ac:dyDescent="0.25">
      <c r="A876" s="2" t="s">
        <v>5666</v>
      </c>
      <c r="B876" s="2" t="s">
        <v>2921</v>
      </c>
      <c r="C876" s="2" t="str">
        <f t="shared" si="13"/>
        <v>TX0026344_001</v>
      </c>
      <c r="D876" s="2" t="s">
        <v>3348</v>
      </c>
    </row>
    <row r="877" spans="1:4" x14ac:dyDescent="0.25">
      <c r="A877" s="2" t="s">
        <v>5667</v>
      </c>
      <c r="B877" s="2" t="s">
        <v>2921</v>
      </c>
      <c r="C877" s="2" t="str">
        <f t="shared" si="13"/>
        <v>TX0026352_001</v>
      </c>
      <c r="D877" s="2" t="s">
        <v>3349</v>
      </c>
    </row>
    <row r="878" spans="1:4" x14ac:dyDescent="0.25">
      <c r="A878" s="2" t="s">
        <v>5668</v>
      </c>
      <c r="B878" s="2" t="s">
        <v>2921</v>
      </c>
      <c r="C878" s="2" t="str">
        <f t="shared" si="13"/>
        <v>TX0026395_001</v>
      </c>
      <c r="D878" s="2" t="s">
        <v>3110</v>
      </c>
    </row>
    <row r="879" spans="1:4" x14ac:dyDescent="0.25">
      <c r="A879" s="2" t="s">
        <v>5669</v>
      </c>
      <c r="B879" s="2" t="s">
        <v>2921</v>
      </c>
      <c r="C879" s="2" t="str">
        <f t="shared" si="13"/>
        <v>TX0026433_001</v>
      </c>
      <c r="D879" s="2" t="s">
        <v>3110</v>
      </c>
    </row>
    <row r="880" spans="1:4" x14ac:dyDescent="0.25">
      <c r="A880" s="2" t="s">
        <v>5670</v>
      </c>
      <c r="B880" s="2" t="s">
        <v>2921</v>
      </c>
      <c r="C880" s="2" t="str">
        <f t="shared" si="13"/>
        <v>TX0026450_001</v>
      </c>
      <c r="D880" s="2" t="s">
        <v>3350</v>
      </c>
    </row>
    <row r="881" spans="1:4" x14ac:dyDescent="0.25">
      <c r="A881" s="2" t="s">
        <v>5671</v>
      </c>
      <c r="B881" s="2" t="s">
        <v>2921</v>
      </c>
      <c r="C881" s="2" t="str">
        <f t="shared" si="13"/>
        <v>TX0026476_001</v>
      </c>
      <c r="D881" s="2" t="s">
        <v>3351</v>
      </c>
    </row>
    <row r="882" spans="1:4" x14ac:dyDescent="0.25">
      <c r="A882" s="2" t="s">
        <v>5672</v>
      </c>
      <c r="B882" s="2" t="s">
        <v>2921</v>
      </c>
      <c r="C882" s="2" t="str">
        <f t="shared" si="13"/>
        <v>TX0026484_001</v>
      </c>
      <c r="D882" s="2" t="s">
        <v>3352</v>
      </c>
    </row>
    <row r="883" spans="1:4" x14ac:dyDescent="0.25">
      <c r="A883" s="2" t="s">
        <v>5673</v>
      </c>
      <c r="B883" s="2" t="s">
        <v>2921</v>
      </c>
      <c r="C883" s="2" t="str">
        <f t="shared" si="13"/>
        <v>TX0026506_001</v>
      </c>
      <c r="D883" s="2" t="s">
        <v>3353</v>
      </c>
    </row>
    <row r="884" spans="1:4" x14ac:dyDescent="0.25">
      <c r="A884" s="2" t="s">
        <v>5674</v>
      </c>
      <c r="B884" s="2" t="s">
        <v>2921</v>
      </c>
      <c r="C884" s="2" t="str">
        <f t="shared" si="13"/>
        <v>TX0026522_001</v>
      </c>
      <c r="D884" s="2" t="s">
        <v>3354</v>
      </c>
    </row>
    <row r="885" spans="1:4" x14ac:dyDescent="0.25">
      <c r="A885" s="2" t="s">
        <v>5675</v>
      </c>
      <c r="B885" s="2" t="s">
        <v>2921</v>
      </c>
      <c r="C885" s="2" t="str">
        <f t="shared" si="13"/>
        <v>TX0026531_001</v>
      </c>
      <c r="D885" s="2" t="s">
        <v>3355</v>
      </c>
    </row>
    <row r="886" spans="1:4" x14ac:dyDescent="0.25">
      <c r="A886" s="2" t="s">
        <v>5676</v>
      </c>
      <c r="B886" s="2" t="s">
        <v>2923</v>
      </c>
      <c r="C886" s="2" t="str">
        <f t="shared" si="13"/>
        <v>TX0026557_002</v>
      </c>
      <c r="D886" s="2" t="s">
        <v>3356</v>
      </c>
    </row>
    <row r="887" spans="1:4" x14ac:dyDescent="0.25">
      <c r="A887" s="2" t="s">
        <v>5677</v>
      </c>
      <c r="B887" s="2" t="s">
        <v>2921</v>
      </c>
      <c r="C887" s="2" t="str">
        <f t="shared" si="13"/>
        <v>TX0026565_001</v>
      </c>
      <c r="D887" s="2" t="s">
        <v>3357</v>
      </c>
    </row>
    <row r="888" spans="1:4" x14ac:dyDescent="0.25">
      <c r="A888" s="2" t="s">
        <v>5678</v>
      </c>
      <c r="B888" s="2" t="s">
        <v>2921</v>
      </c>
      <c r="C888" s="2" t="str">
        <f t="shared" si="13"/>
        <v>TX0026581_001</v>
      </c>
      <c r="D888" s="2" t="s">
        <v>3358</v>
      </c>
    </row>
    <row r="889" spans="1:4" x14ac:dyDescent="0.25">
      <c r="A889" s="2" t="s">
        <v>5679</v>
      </c>
      <c r="B889" s="2" t="s">
        <v>2921</v>
      </c>
      <c r="C889" s="2" t="str">
        <f t="shared" si="13"/>
        <v>TX0026590_001</v>
      </c>
      <c r="D889" s="2" t="s">
        <v>3359</v>
      </c>
    </row>
    <row r="890" spans="1:4" x14ac:dyDescent="0.25">
      <c r="A890" s="2" t="s">
        <v>5680</v>
      </c>
      <c r="B890" s="2" t="s">
        <v>2921</v>
      </c>
      <c r="C890" s="2" t="str">
        <f t="shared" si="13"/>
        <v>TX0026603_001</v>
      </c>
      <c r="D890" s="2" t="s">
        <v>3360</v>
      </c>
    </row>
    <row r="891" spans="1:4" x14ac:dyDescent="0.25">
      <c r="A891" s="2" t="s">
        <v>5681</v>
      </c>
      <c r="B891" s="2" t="s">
        <v>2921</v>
      </c>
      <c r="C891" s="2" t="str">
        <f t="shared" si="13"/>
        <v>TX0026662_001</v>
      </c>
      <c r="D891" s="2" t="s">
        <v>3361</v>
      </c>
    </row>
    <row r="892" spans="1:4" x14ac:dyDescent="0.25">
      <c r="A892" s="2" t="s">
        <v>5682</v>
      </c>
      <c r="B892" s="2" t="s">
        <v>2921</v>
      </c>
      <c r="C892" s="2" t="str">
        <f t="shared" si="13"/>
        <v>TX0026671_001</v>
      </c>
      <c r="D892" s="2" t="s">
        <v>3362</v>
      </c>
    </row>
    <row r="893" spans="1:4" x14ac:dyDescent="0.25">
      <c r="A893" s="2" t="s">
        <v>5683</v>
      </c>
      <c r="B893" s="2" t="s">
        <v>2921</v>
      </c>
      <c r="C893" s="2" t="str">
        <f t="shared" si="13"/>
        <v>TX0026689_001</v>
      </c>
      <c r="D893" s="2" t="s">
        <v>3363</v>
      </c>
    </row>
    <row r="894" spans="1:4" x14ac:dyDescent="0.25">
      <c r="A894" s="2" t="s">
        <v>5684</v>
      </c>
      <c r="B894" s="2" t="s">
        <v>2921</v>
      </c>
      <c r="C894" s="2" t="str">
        <f t="shared" si="13"/>
        <v>TX0026697_001</v>
      </c>
      <c r="D894" s="2" t="s">
        <v>3364</v>
      </c>
    </row>
    <row r="895" spans="1:4" x14ac:dyDescent="0.25">
      <c r="A895" s="2" t="s">
        <v>5685</v>
      </c>
      <c r="B895" s="2" t="s">
        <v>2921</v>
      </c>
      <c r="C895" s="2" t="str">
        <f t="shared" si="13"/>
        <v>TX0026751_001</v>
      </c>
      <c r="D895" s="2" t="s">
        <v>3365</v>
      </c>
    </row>
    <row r="896" spans="1:4" x14ac:dyDescent="0.25">
      <c r="A896" s="2" t="s">
        <v>5685</v>
      </c>
      <c r="B896" s="2" t="s">
        <v>2923</v>
      </c>
      <c r="C896" s="2" t="str">
        <f t="shared" si="13"/>
        <v>TX0026751_002</v>
      </c>
      <c r="D896" s="2" t="s">
        <v>3365</v>
      </c>
    </row>
    <row r="897" spans="1:4" x14ac:dyDescent="0.25">
      <c r="A897" s="2" t="s">
        <v>5686</v>
      </c>
      <c r="B897" s="2" t="s">
        <v>2921</v>
      </c>
      <c r="C897" s="2" t="str">
        <f t="shared" si="13"/>
        <v>TX0026808_001</v>
      </c>
      <c r="D897" s="2" t="s">
        <v>3366</v>
      </c>
    </row>
    <row r="898" spans="1:4" x14ac:dyDescent="0.25">
      <c r="A898" s="2" t="s">
        <v>5687</v>
      </c>
      <c r="B898" s="2" t="s">
        <v>2921</v>
      </c>
      <c r="C898" s="2" t="str">
        <f t="shared" si="13"/>
        <v>TX0026867_001</v>
      </c>
      <c r="D898" s="2" t="s">
        <v>3367</v>
      </c>
    </row>
    <row r="899" spans="1:4" x14ac:dyDescent="0.25">
      <c r="A899" s="2" t="s">
        <v>5688</v>
      </c>
      <c r="B899" s="2" t="s">
        <v>2921</v>
      </c>
      <c r="C899" s="2" t="str">
        <f t="shared" ref="C899:C962" si="14">A899 &amp; "_" &amp; B899</f>
        <v>TX0026875_001</v>
      </c>
      <c r="D899" s="2" t="s">
        <v>3110</v>
      </c>
    </row>
    <row r="900" spans="1:4" x14ac:dyDescent="0.25">
      <c r="A900" s="2" t="s">
        <v>5689</v>
      </c>
      <c r="B900" s="2" t="s">
        <v>2921</v>
      </c>
      <c r="C900" s="2" t="str">
        <f t="shared" si="14"/>
        <v>TX0026883_001</v>
      </c>
      <c r="D900" s="2" t="s">
        <v>3368</v>
      </c>
    </row>
    <row r="901" spans="1:4" x14ac:dyDescent="0.25">
      <c r="A901" s="2" t="s">
        <v>5690</v>
      </c>
      <c r="B901" s="2" t="s">
        <v>2921</v>
      </c>
      <c r="C901" s="2" t="str">
        <f t="shared" si="14"/>
        <v>TX0026891_001</v>
      </c>
      <c r="D901" s="2" t="s">
        <v>3369</v>
      </c>
    </row>
    <row r="902" spans="1:4" x14ac:dyDescent="0.25">
      <c r="A902" s="2" t="s">
        <v>5691</v>
      </c>
      <c r="B902" s="2" t="s">
        <v>2921</v>
      </c>
      <c r="C902" s="2" t="str">
        <f t="shared" si="14"/>
        <v>TX0026921_001</v>
      </c>
      <c r="D902" s="2" t="s">
        <v>3370</v>
      </c>
    </row>
    <row r="903" spans="1:4" x14ac:dyDescent="0.25">
      <c r="A903" s="2" t="s">
        <v>5692</v>
      </c>
      <c r="B903" s="2" t="s">
        <v>2921</v>
      </c>
      <c r="C903" s="2" t="str">
        <f t="shared" si="14"/>
        <v>TX0026956_001</v>
      </c>
      <c r="D903" s="2" t="s">
        <v>3371</v>
      </c>
    </row>
    <row r="904" spans="1:4" x14ac:dyDescent="0.25">
      <c r="A904" s="2" t="s">
        <v>5693</v>
      </c>
      <c r="B904" s="2" t="s">
        <v>2921</v>
      </c>
      <c r="C904" s="2" t="str">
        <f t="shared" si="14"/>
        <v>TX0026964_001</v>
      </c>
      <c r="D904" s="2" t="s">
        <v>3372</v>
      </c>
    </row>
    <row r="905" spans="1:4" x14ac:dyDescent="0.25">
      <c r="A905" s="2" t="s">
        <v>5694</v>
      </c>
      <c r="B905" s="2" t="s">
        <v>2921</v>
      </c>
      <c r="C905" s="2" t="str">
        <f t="shared" si="14"/>
        <v>TX0026972_001</v>
      </c>
      <c r="D905" s="2" t="s">
        <v>3373</v>
      </c>
    </row>
    <row r="906" spans="1:4" x14ac:dyDescent="0.25">
      <c r="A906" s="2" t="s">
        <v>5695</v>
      </c>
      <c r="B906" s="2" t="s">
        <v>2921</v>
      </c>
      <c r="C906" s="2" t="str">
        <f t="shared" si="14"/>
        <v>TX0027006_001</v>
      </c>
      <c r="D906" s="2" t="s">
        <v>3374</v>
      </c>
    </row>
    <row r="907" spans="1:4" x14ac:dyDescent="0.25">
      <c r="A907" s="2" t="s">
        <v>5696</v>
      </c>
      <c r="B907" s="2" t="s">
        <v>2921</v>
      </c>
      <c r="C907" s="2" t="str">
        <f t="shared" si="14"/>
        <v>TX0027031_001</v>
      </c>
      <c r="D907" s="2" t="s">
        <v>3375</v>
      </c>
    </row>
    <row r="908" spans="1:4" x14ac:dyDescent="0.25">
      <c r="A908" s="2" t="s">
        <v>5697</v>
      </c>
      <c r="B908" s="2" t="s">
        <v>2921</v>
      </c>
      <c r="C908" s="2" t="str">
        <f t="shared" si="14"/>
        <v>TX0027049_001</v>
      </c>
      <c r="D908" s="2" t="s">
        <v>3376</v>
      </c>
    </row>
    <row r="909" spans="1:4" x14ac:dyDescent="0.25">
      <c r="A909" s="2" t="s">
        <v>5698</v>
      </c>
      <c r="B909" s="2" t="s">
        <v>2921</v>
      </c>
      <c r="C909" s="2" t="str">
        <f t="shared" si="14"/>
        <v>TX0027103_001</v>
      </c>
      <c r="D909" s="2" t="s">
        <v>3377</v>
      </c>
    </row>
    <row r="910" spans="1:4" x14ac:dyDescent="0.25">
      <c r="A910" s="2" t="s">
        <v>5699</v>
      </c>
      <c r="B910" s="2" t="s">
        <v>2921</v>
      </c>
      <c r="C910" s="2" t="str">
        <f t="shared" si="14"/>
        <v>TX0027111_001</v>
      </c>
      <c r="D910" s="2" t="s">
        <v>3378</v>
      </c>
    </row>
    <row r="911" spans="1:4" x14ac:dyDescent="0.25">
      <c r="A911" s="2" t="s">
        <v>5700</v>
      </c>
      <c r="B911" s="2" t="s">
        <v>2921</v>
      </c>
      <c r="C911" s="2" t="str">
        <f t="shared" si="14"/>
        <v>TX0027120_001</v>
      </c>
      <c r="D911" s="2" t="s">
        <v>3379</v>
      </c>
    </row>
    <row r="912" spans="1:4" x14ac:dyDescent="0.25">
      <c r="A912" s="2" t="s">
        <v>5701</v>
      </c>
      <c r="B912" s="2" t="s">
        <v>2921</v>
      </c>
      <c r="C912" s="2" t="str">
        <f t="shared" si="14"/>
        <v>TX0027138_001</v>
      </c>
      <c r="D912" s="2" t="s">
        <v>3380</v>
      </c>
    </row>
    <row r="913" spans="1:4" x14ac:dyDescent="0.25">
      <c r="A913" s="2" t="s">
        <v>5702</v>
      </c>
      <c r="B913" s="2" t="s">
        <v>2921</v>
      </c>
      <c r="C913" s="2" t="str">
        <f t="shared" si="14"/>
        <v>TX0027146_001</v>
      </c>
      <c r="D913" s="2" t="s">
        <v>3381</v>
      </c>
    </row>
    <row r="914" spans="1:4" x14ac:dyDescent="0.25">
      <c r="A914" s="2" t="s">
        <v>5703</v>
      </c>
      <c r="B914" s="2" t="s">
        <v>2921</v>
      </c>
      <c r="C914" s="2" t="str">
        <f t="shared" si="14"/>
        <v>TX0027154_001</v>
      </c>
      <c r="D914" s="2" t="s">
        <v>3382</v>
      </c>
    </row>
    <row r="915" spans="1:4" x14ac:dyDescent="0.25">
      <c r="A915" s="2" t="s">
        <v>5704</v>
      </c>
      <c r="B915" s="2" t="s">
        <v>2921</v>
      </c>
      <c r="C915" s="2" t="str">
        <f t="shared" si="14"/>
        <v>TX0027171_001</v>
      </c>
      <c r="D915" s="2" t="s">
        <v>3383</v>
      </c>
    </row>
    <row r="916" spans="1:4" x14ac:dyDescent="0.25">
      <c r="A916" s="2" t="s">
        <v>5705</v>
      </c>
      <c r="B916" s="2" t="s">
        <v>2921</v>
      </c>
      <c r="C916" s="2" t="str">
        <f t="shared" si="14"/>
        <v>TX0027197_001</v>
      </c>
      <c r="D916" s="2" t="s">
        <v>3384</v>
      </c>
    </row>
    <row r="917" spans="1:4" x14ac:dyDescent="0.25">
      <c r="A917" s="2" t="s">
        <v>5706</v>
      </c>
      <c r="B917" s="2" t="s">
        <v>2921</v>
      </c>
      <c r="C917" s="2" t="str">
        <f t="shared" si="14"/>
        <v>TX0027201_001</v>
      </c>
      <c r="D917" s="2" t="s">
        <v>3110</v>
      </c>
    </row>
    <row r="918" spans="1:4" x14ac:dyDescent="0.25">
      <c r="A918" s="2" t="s">
        <v>5707</v>
      </c>
      <c r="B918" s="2" t="s">
        <v>2921</v>
      </c>
      <c r="C918" s="2" t="str">
        <f t="shared" si="14"/>
        <v>TX0027227_001</v>
      </c>
      <c r="D918" s="2" t="s">
        <v>3385</v>
      </c>
    </row>
    <row r="919" spans="1:4" x14ac:dyDescent="0.25">
      <c r="A919" s="2" t="s">
        <v>5708</v>
      </c>
      <c r="B919" s="2" t="s">
        <v>2921</v>
      </c>
      <c r="C919" s="2" t="str">
        <f t="shared" si="14"/>
        <v>TX0027243_001</v>
      </c>
      <c r="D919" s="2" t="s">
        <v>3386</v>
      </c>
    </row>
    <row r="920" spans="1:4" x14ac:dyDescent="0.25">
      <c r="A920" s="2" t="s">
        <v>5709</v>
      </c>
      <c r="B920" s="2" t="s">
        <v>2921</v>
      </c>
      <c r="C920" s="2" t="str">
        <f t="shared" si="14"/>
        <v>TX0027260_001</v>
      </c>
      <c r="D920" s="2" t="s">
        <v>3387</v>
      </c>
    </row>
    <row r="921" spans="1:4" x14ac:dyDescent="0.25">
      <c r="A921" s="2" t="s">
        <v>5710</v>
      </c>
      <c r="B921" s="2" t="s">
        <v>2921</v>
      </c>
      <c r="C921" s="2" t="str">
        <f t="shared" si="14"/>
        <v>TX0027308_001</v>
      </c>
      <c r="D921" s="2" t="s">
        <v>3388</v>
      </c>
    </row>
    <row r="922" spans="1:4" x14ac:dyDescent="0.25">
      <c r="A922" s="2" t="s">
        <v>5711</v>
      </c>
      <c r="B922" s="2" t="s">
        <v>2921</v>
      </c>
      <c r="C922" s="2" t="str">
        <f t="shared" si="14"/>
        <v>TX0027324_001</v>
      </c>
      <c r="D922" s="2" t="s">
        <v>3389</v>
      </c>
    </row>
    <row r="923" spans="1:4" x14ac:dyDescent="0.25">
      <c r="A923" s="2" t="s">
        <v>5712</v>
      </c>
      <c r="B923" s="2" t="s">
        <v>2921</v>
      </c>
      <c r="C923" s="2" t="str">
        <f t="shared" si="14"/>
        <v>TX0027391_001</v>
      </c>
      <c r="D923" s="2" t="s">
        <v>3286</v>
      </c>
    </row>
    <row r="924" spans="1:4" x14ac:dyDescent="0.25">
      <c r="A924" s="2" t="s">
        <v>5713</v>
      </c>
      <c r="B924" s="2" t="s">
        <v>2921</v>
      </c>
      <c r="C924" s="2" t="str">
        <f t="shared" si="14"/>
        <v>TX0027448_001</v>
      </c>
      <c r="D924" s="2" t="s">
        <v>3390</v>
      </c>
    </row>
    <row r="925" spans="1:4" x14ac:dyDescent="0.25">
      <c r="A925" s="2" t="s">
        <v>5714</v>
      </c>
      <c r="B925" s="2" t="s">
        <v>2921</v>
      </c>
      <c r="C925" s="2" t="str">
        <f t="shared" si="14"/>
        <v>TX0027456_001</v>
      </c>
      <c r="D925" s="2" t="s">
        <v>3391</v>
      </c>
    </row>
    <row r="926" spans="1:4" x14ac:dyDescent="0.25">
      <c r="A926" s="2" t="s">
        <v>5715</v>
      </c>
      <c r="B926" s="2" t="s">
        <v>2921</v>
      </c>
      <c r="C926" s="2" t="str">
        <f t="shared" si="14"/>
        <v>TX0027472_001</v>
      </c>
      <c r="D926" s="2" t="s">
        <v>3392</v>
      </c>
    </row>
    <row r="927" spans="1:4" x14ac:dyDescent="0.25">
      <c r="A927" s="2" t="s">
        <v>5716</v>
      </c>
      <c r="B927" s="2" t="s">
        <v>2921</v>
      </c>
      <c r="C927" s="2" t="str">
        <f t="shared" si="14"/>
        <v>TX0027481_001</v>
      </c>
      <c r="D927" s="2" t="s">
        <v>3393</v>
      </c>
    </row>
    <row r="928" spans="1:4" x14ac:dyDescent="0.25">
      <c r="A928" s="2" t="s">
        <v>5717</v>
      </c>
      <c r="B928" s="2" t="s">
        <v>2921</v>
      </c>
      <c r="C928" s="2" t="str">
        <f t="shared" si="14"/>
        <v>TX0027499_001</v>
      </c>
      <c r="D928" s="2" t="s">
        <v>3394</v>
      </c>
    </row>
    <row r="929" spans="1:4" x14ac:dyDescent="0.25">
      <c r="A929" s="2" t="s">
        <v>5718</v>
      </c>
      <c r="B929" s="2" t="s">
        <v>2921</v>
      </c>
      <c r="C929" s="2" t="str">
        <f t="shared" si="14"/>
        <v>TX0027502_001</v>
      </c>
      <c r="D929" s="2" t="s">
        <v>3395</v>
      </c>
    </row>
    <row r="930" spans="1:4" x14ac:dyDescent="0.25">
      <c r="A930" s="2" t="s">
        <v>5719</v>
      </c>
      <c r="B930" s="2" t="s">
        <v>2921</v>
      </c>
      <c r="C930" s="2" t="str">
        <f t="shared" si="14"/>
        <v>TX0027537_001</v>
      </c>
      <c r="D930" s="2" t="s">
        <v>3396</v>
      </c>
    </row>
    <row r="931" spans="1:4" x14ac:dyDescent="0.25">
      <c r="A931" s="2" t="s">
        <v>5720</v>
      </c>
      <c r="B931" s="2" t="s">
        <v>2921</v>
      </c>
      <c r="C931" s="2" t="str">
        <f t="shared" si="14"/>
        <v>TX0027545_001</v>
      </c>
      <c r="D931" s="2" t="s">
        <v>3397</v>
      </c>
    </row>
    <row r="932" spans="1:4" x14ac:dyDescent="0.25">
      <c r="A932" s="2" t="s">
        <v>5721</v>
      </c>
      <c r="B932" s="2" t="s">
        <v>2921</v>
      </c>
      <c r="C932" s="2" t="str">
        <f t="shared" si="14"/>
        <v>TX0027618_001</v>
      </c>
      <c r="D932" s="2" t="s">
        <v>3398</v>
      </c>
    </row>
    <row r="933" spans="1:4" x14ac:dyDescent="0.25">
      <c r="A933" s="2" t="s">
        <v>5722</v>
      </c>
      <c r="B933" s="2" t="s">
        <v>2921</v>
      </c>
      <c r="C933" s="2" t="str">
        <f t="shared" si="14"/>
        <v>TX0027634_001</v>
      </c>
      <c r="D933" s="2" t="s">
        <v>3399</v>
      </c>
    </row>
    <row r="934" spans="1:4" x14ac:dyDescent="0.25">
      <c r="A934" s="2" t="s">
        <v>5723</v>
      </c>
      <c r="B934" s="2" t="s">
        <v>2921</v>
      </c>
      <c r="C934" s="2" t="str">
        <f t="shared" si="14"/>
        <v>TX0027669_001</v>
      </c>
      <c r="D934" s="2" t="s">
        <v>3400</v>
      </c>
    </row>
    <row r="935" spans="1:4" x14ac:dyDescent="0.25">
      <c r="A935" s="2" t="s">
        <v>5724</v>
      </c>
      <c r="B935" s="2" t="s">
        <v>2921</v>
      </c>
      <c r="C935" s="2" t="str">
        <f t="shared" si="14"/>
        <v>TX0027677_001</v>
      </c>
      <c r="D935" s="2" t="s">
        <v>3401</v>
      </c>
    </row>
    <row r="936" spans="1:4" x14ac:dyDescent="0.25">
      <c r="A936" s="2" t="s">
        <v>5724</v>
      </c>
      <c r="B936" s="2" t="s">
        <v>2923</v>
      </c>
      <c r="C936" s="2" t="str">
        <f t="shared" si="14"/>
        <v>TX0027677_002</v>
      </c>
      <c r="D936" s="2" t="s">
        <v>3401</v>
      </c>
    </row>
    <row r="937" spans="1:4" x14ac:dyDescent="0.25">
      <c r="A937" s="2" t="s">
        <v>5725</v>
      </c>
      <c r="B937" s="2" t="s">
        <v>2921</v>
      </c>
      <c r="C937" s="2" t="str">
        <f t="shared" si="14"/>
        <v>TX0027685_001</v>
      </c>
      <c r="D937" s="2" t="s">
        <v>3402</v>
      </c>
    </row>
    <row r="938" spans="1:4" x14ac:dyDescent="0.25">
      <c r="A938" s="2" t="s">
        <v>5726</v>
      </c>
      <c r="B938" s="2" t="s">
        <v>2921</v>
      </c>
      <c r="C938" s="2" t="str">
        <f t="shared" si="14"/>
        <v>TX0027693_001</v>
      </c>
      <c r="D938" s="2" t="s">
        <v>3403</v>
      </c>
    </row>
    <row r="939" spans="1:4" x14ac:dyDescent="0.25">
      <c r="A939" s="2" t="s">
        <v>5727</v>
      </c>
      <c r="B939" s="2" t="s">
        <v>2921</v>
      </c>
      <c r="C939" s="2" t="str">
        <f t="shared" si="14"/>
        <v>TX0027707_001</v>
      </c>
      <c r="D939" s="2" t="s">
        <v>3404</v>
      </c>
    </row>
    <row r="940" spans="1:4" x14ac:dyDescent="0.25">
      <c r="A940" s="2" t="s">
        <v>5728</v>
      </c>
      <c r="B940" s="2" t="s">
        <v>2921</v>
      </c>
      <c r="C940" s="2" t="str">
        <f t="shared" si="14"/>
        <v>TX0027723_001</v>
      </c>
      <c r="D940" s="2" t="s">
        <v>3405</v>
      </c>
    </row>
    <row r="941" spans="1:4" x14ac:dyDescent="0.25">
      <c r="A941" s="2" t="s">
        <v>5729</v>
      </c>
      <c r="B941" s="2" t="s">
        <v>2921</v>
      </c>
      <c r="C941" s="2" t="str">
        <f t="shared" si="14"/>
        <v>TX0027740_001</v>
      </c>
      <c r="D941" s="2" t="s">
        <v>3406</v>
      </c>
    </row>
    <row r="942" spans="1:4" x14ac:dyDescent="0.25">
      <c r="A942" s="2" t="s">
        <v>5730</v>
      </c>
      <c r="B942" s="2" t="s">
        <v>2921</v>
      </c>
      <c r="C942" s="2" t="str">
        <f t="shared" si="14"/>
        <v>TX0027758_001</v>
      </c>
      <c r="D942" s="2" t="s">
        <v>3407</v>
      </c>
    </row>
    <row r="943" spans="1:4" x14ac:dyDescent="0.25">
      <c r="A943" s="2" t="s">
        <v>5731</v>
      </c>
      <c r="B943" s="2" t="s">
        <v>2921</v>
      </c>
      <c r="C943" s="2" t="str">
        <f t="shared" si="14"/>
        <v>TX0027774_001</v>
      </c>
      <c r="D943" s="2" t="s">
        <v>3408</v>
      </c>
    </row>
    <row r="944" spans="1:4" x14ac:dyDescent="0.25">
      <c r="A944" s="2" t="s">
        <v>5732</v>
      </c>
      <c r="B944" s="2" t="s">
        <v>2921</v>
      </c>
      <c r="C944" s="2" t="str">
        <f t="shared" si="14"/>
        <v>TX0027782_001</v>
      </c>
      <c r="D944" s="2" t="s">
        <v>3409</v>
      </c>
    </row>
    <row r="945" spans="1:4" x14ac:dyDescent="0.25">
      <c r="A945" s="2" t="s">
        <v>5733</v>
      </c>
      <c r="B945" s="2" t="s">
        <v>2921</v>
      </c>
      <c r="C945" s="2" t="str">
        <f t="shared" si="14"/>
        <v>TX0027791_001</v>
      </c>
      <c r="D945" s="2" t="s">
        <v>3410</v>
      </c>
    </row>
    <row r="946" spans="1:4" x14ac:dyDescent="0.25">
      <c r="A946" s="2" t="s">
        <v>5734</v>
      </c>
      <c r="B946" s="2" t="s">
        <v>2921</v>
      </c>
      <c r="C946" s="2" t="str">
        <f t="shared" si="14"/>
        <v>TX0027910_001</v>
      </c>
      <c r="D946" s="2" t="s">
        <v>3411</v>
      </c>
    </row>
    <row r="947" spans="1:4" x14ac:dyDescent="0.25">
      <c r="A947" s="2" t="s">
        <v>5735</v>
      </c>
      <c r="B947" s="2" t="s">
        <v>2921</v>
      </c>
      <c r="C947" s="2" t="str">
        <f t="shared" si="14"/>
        <v>TX0027928_001</v>
      </c>
      <c r="D947" s="2" t="s">
        <v>3412</v>
      </c>
    </row>
    <row r="948" spans="1:4" x14ac:dyDescent="0.25">
      <c r="A948" s="2" t="s">
        <v>5736</v>
      </c>
      <c r="B948" s="2" t="s">
        <v>2921</v>
      </c>
      <c r="C948" s="2" t="str">
        <f t="shared" si="14"/>
        <v>TX0027936_001</v>
      </c>
      <c r="D948" s="2" t="s">
        <v>3413</v>
      </c>
    </row>
    <row r="949" spans="1:4" x14ac:dyDescent="0.25">
      <c r="A949" s="2" t="s">
        <v>5737</v>
      </c>
      <c r="B949" s="2" t="s">
        <v>2921</v>
      </c>
      <c r="C949" s="2" t="str">
        <f t="shared" si="14"/>
        <v>TX0027944_001</v>
      </c>
      <c r="D949" s="2" t="s">
        <v>3414</v>
      </c>
    </row>
    <row r="950" spans="1:4" x14ac:dyDescent="0.25">
      <c r="A950" s="2" t="s">
        <v>5738</v>
      </c>
      <c r="B950" s="2" t="s">
        <v>2921</v>
      </c>
      <c r="C950" s="2" t="str">
        <f t="shared" si="14"/>
        <v>TX0028169_001</v>
      </c>
      <c r="D950" s="2" t="s">
        <v>3415</v>
      </c>
    </row>
    <row r="951" spans="1:4" x14ac:dyDescent="0.25">
      <c r="A951" s="2" t="s">
        <v>5739</v>
      </c>
      <c r="B951" s="2" t="s">
        <v>2936</v>
      </c>
      <c r="C951" s="2" t="str">
        <f t="shared" si="14"/>
        <v>TX0029564_004</v>
      </c>
      <c r="D951" s="2" t="s">
        <v>3416</v>
      </c>
    </row>
    <row r="952" spans="1:4" x14ac:dyDescent="0.25">
      <c r="A952" s="2" t="s">
        <v>5740</v>
      </c>
      <c r="B952" s="2" t="s">
        <v>2921</v>
      </c>
      <c r="C952" s="2" t="str">
        <f t="shared" si="14"/>
        <v>TX0029777_001</v>
      </c>
      <c r="D952" s="2" t="s">
        <v>3417</v>
      </c>
    </row>
    <row r="953" spans="1:4" x14ac:dyDescent="0.25">
      <c r="A953" s="2" t="s">
        <v>5741</v>
      </c>
      <c r="B953" s="2" t="s">
        <v>2921</v>
      </c>
      <c r="C953" s="2" t="str">
        <f t="shared" si="14"/>
        <v>TX0030040_001</v>
      </c>
      <c r="D953" s="2" t="s">
        <v>3418</v>
      </c>
    </row>
    <row r="954" spans="1:4" x14ac:dyDescent="0.25">
      <c r="A954" s="2" t="s">
        <v>5741</v>
      </c>
      <c r="B954" s="2" t="s">
        <v>2923</v>
      </c>
      <c r="C954" s="2" t="str">
        <f t="shared" si="14"/>
        <v>TX0030040_002</v>
      </c>
      <c r="D954" s="2" t="s">
        <v>3418</v>
      </c>
    </row>
    <row r="955" spans="1:4" x14ac:dyDescent="0.25">
      <c r="A955" s="2" t="s">
        <v>5742</v>
      </c>
      <c r="B955" s="2" t="s">
        <v>2921</v>
      </c>
      <c r="C955" s="2" t="str">
        <f t="shared" si="14"/>
        <v>TX0030180_001</v>
      </c>
      <c r="D955" s="2" t="s">
        <v>3419</v>
      </c>
    </row>
    <row r="956" spans="1:4" x14ac:dyDescent="0.25">
      <c r="A956" s="2" t="s">
        <v>5742</v>
      </c>
      <c r="B956" s="2" t="s">
        <v>2923</v>
      </c>
      <c r="C956" s="2" t="str">
        <f t="shared" si="14"/>
        <v>TX0030180_002</v>
      </c>
      <c r="D956" s="2" t="s">
        <v>3419</v>
      </c>
    </row>
    <row r="957" spans="1:4" x14ac:dyDescent="0.25">
      <c r="A957" s="2" t="s">
        <v>5743</v>
      </c>
      <c r="B957" s="2" t="s">
        <v>2921</v>
      </c>
      <c r="C957" s="2" t="str">
        <f t="shared" si="14"/>
        <v>TX0030228_001</v>
      </c>
      <c r="D957" s="2" t="s">
        <v>3420</v>
      </c>
    </row>
    <row r="958" spans="1:4" x14ac:dyDescent="0.25">
      <c r="A958" s="2" t="s">
        <v>5743</v>
      </c>
      <c r="B958" s="2" t="s">
        <v>2923</v>
      </c>
      <c r="C958" s="2" t="str">
        <f t="shared" si="14"/>
        <v>TX0030228_002</v>
      </c>
      <c r="D958" s="2" t="s">
        <v>3420</v>
      </c>
    </row>
    <row r="959" spans="1:4" x14ac:dyDescent="0.25">
      <c r="A959" s="2" t="s">
        <v>5743</v>
      </c>
      <c r="B959" s="2" t="s">
        <v>2924</v>
      </c>
      <c r="C959" s="2" t="str">
        <f t="shared" si="14"/>
        <v>TX0030228_003</v>
      </c>
      <c r="D959" s="2" t="s">
        <v>3420</v>
      </c>
    </row>
    <row r="960" spans="1:4" x14ac:dyDescent="0.25">
      <c r="A960" s="2" t="s">
        <v>5744</v>
      </c>
      <c r="B960" s="2" t="s">
        <v>2921</v>
      </c>
      <c r="C960" s="2" t="str">
        <f t="shared" si="14"/>
        <v>TX0030686_001</v>
      </c>
      <c r="D960" s="2" t="s">
        <v>3421</v>
      </c>
    </row>
    <row r="961" spans="1:4" x14ac:dyDescent="0.25">
      <c r="A961" s="2" t="s">
        <v>5745</v>
      </c>
      <c r="B961" s="2" t="s">
        <v>2921</v>
      </c>
      <c r="C961" s="2" t="str">
        <f t="shared" si="14"/>
        <v>TX0030732_001</v>
      </c>
      <c r="D961" s="2" t="s">
        <v>3422</v>
      </c>
    </row>
    <row r="962" spans="1:4" x14ac:dyDescent="0.25">
      <c r="A962" s="2" t="s">
        <v>5746</v>
      </c>
      <c r="B962" s="2" t="s">
        <v>2921</v>
      </c>
      <c r="C962" s="2" t="str">
        <f t="shared" si="14"/>
        <v>TX0030775_001</v>
      </c>
      <c r="D962" s="2" t="s">
        <v>3423</v>
      </c>
    </row>
    <row r="963" spans="1:4" x14ac:dyDescent="0.25">
      <c r="A963" s="2" t="s">
        <v>5747</v>
      </c>
      <c r="B963" s="2" t="s">
        <v>2921</v>
      </c>
      <c r="C963" s="2" t="str">
        <f t="shared" ref="C963:C1026" si="15">A963 &amp; "_" &amp; B963</f>
        <v>TX0030813_001</v>
      </c>
      <c r="D963" s="2" t="s">
        <v>3424</v>
      </c>
    </row>
    <row r="964" spans="1:4" x14ac:dyDescent="0.25">
      <c r="A964" s="2" t="s">
        <v>5748</v>
      </c>
      <c r="B964" s="2" t="s">
        <v>2921</v>
      </c>
      <c r="C964" s="2" t="str">
        <f t="shared" si="15"/>
        <v>TX0030929_001</v>
      </c>
      <c r="D964" s="2" t="s">
        <v>3425</v>
      </c>
    </row>
    <row r="965" spans="1:4" x14ac:dyDescent="0.25">
      <c r="A965" s="2" t="s">
        <v>5748</v>
      </c>
      <c r="B965" s="2" t="s">
        <v>2923</v>
      </c>
      <c r="C965" s="2" t="str">
        <f t="shared" si="15"/>
        <v>TX0030929_002</v>
      </c>
      <c r="D965" s="2" t="s">
        <v>3425</v>
      </c>
    </row>
    <row r="966" spans="1:4" x14ac:dyDescent="0.25">
      <c r="A966" s="2" t="s">
        <v>5749</v>
      </c>
      <c r="B966" s="2" t="s">
        <v>2921</v>
      </c>
      <c r="C966" s="2" t="str">
        <f t="shared" si="15"/>
        <v>TX0030937_001</v>
      </c>
      <c r="D966" s="2" t="s">
        <v>3426</v>
      </c>
    </row>
    <row r="967" spans="1:4" x14ac:dyDescent="0.25">
      <c r="A967" s="2" t="s">
        <v>5750</v>
      </c>
      <c r="B967" s="2" t="s">
        <v>2921</v>
      </c>
      <c r="C967" s="2" t="str">
        <f t="shared" si="15"/>
        <v>TX0030953_001</v>
      </c>
      <c r="D967" s="2" t="s">
        <v>2966</v>
      </c>
    </row>
    <row r="968" spans="1:4" x14ac:dyDescent="0.25">
      <c r="A968" s="2" t="s">
        <v>5751</v>
      </c>
      <c r="B968" s="2" t="s">
        <v>2921</v>
      </c>
      <c r="C968" s="2" t="str">
        <f t="shared" si="15"/>
        <v>TX0030970_001</v>
      </c>
      <c r="D968" s="2" t="s">
        <v>3191</v>
      </c>
    </row>
    <row r="969" spans="1:4" x14ac:dyDescent="0.25">
      <c r="A969" s="2" t="s">
        <v>5752</v>
      </c>
      <c r="B969" s="2" t="s">
        <v>2921</v>
      </c>
      <c r="C969" s="2" t="str">
        <f t="shared" si="15"/>
        <v>TX0030988_001</v>
      </c>
      <c r="D969" s="2" t="s">
        <v>3427</v>
      </c>
    </row>
    <row r="970" spans="1:4" x14ac:dyDescent="0.25">
      <c r="A970" s="2" t="s">
        <v>5753</v>
      </c>
      <c r="B970" s="2" t="s">
        <v>2921</v>
      </c>
      <c r="C970" s="2" t="str">
        <f t="shared" si="15"/>
        <v>TX0031232_001</v>
      </c>
      <c r="D970" s="2" t="s">
        <v>3181</v>
      </c>
    </row>
    <row r="971" spans="1:4" x14ac:dyDescent="0.25">
      <c r="A971" s="2" t="s">
        <v>5754</v>
      </c>
      <c r="B971" s="2" t="s">
        <v>2921</v>
      </c>
      <c r="C971" s="2" t="str">
        <f t="shared" si="15"/>
        <v>TX0031267_001</v>
      </c>
      <c r="D971" s="2" t="s">
        <v>3428</v>
      </c>
    </row>
    <row r="972" spans="1:4" x14ac:dyDescent="0.25">
      <c r="A972" s="2" t="s">
        <v>5755</v>
      </c>
      <c r="B972" s="2" t="s">
        <v>2921</v>
      </c>
      <c r="C972" s="2" t="str">
        <f t="shared" si="15"/>
        <v>TX0031275_001</v>
      </c>
      <c r="D972" s="2" t="s">
        <v>3429</v>
      </c>
    </row>
    <row r="973" spans="1:4" x14ac:dyDescent="0.25">
      <c r="A973" s="2" t="s">
        <v>5756</v>
      </c>
      <c r="B973" s="2" t="s">
        <v>2921</v>
      </c>
      <c r="C973" s="2" t="str">
        <f t="shared" si="15"/>
        <v>TX0031283_001</v>
      </c>
      <c r="D973" s="2" t="s">
        <v>3430</v>
      </c>
    </row>
    <row r="974" spans="1:4" x14ac:dyDescent="0.25">
      <c r="A974" s="2" t="s">
        <v>5757</v>
      </c>
      <c r="B974" s="2" t="s">
        <v>2921</v>
      </c>
      <c r="C974" s="2" t="str">
        <f t="shared" si="15"/>
        <v>TX0031461_001</v>
      </c>
      <c r="D974" s="2" t="s">
        <v>3431</v>
      </c>
    </row>
    <row r="975" spans="1:4" x14ac:dyDescent="0.25">
      <c r="A975" s="2" t="s">
        <v>5758</v>
      </c>
      <c r="B975" s="2" t="s">
        <v>3002</v>
      </c>
      <c r="C975" s="2" t="str">
        <f t="shared" si="15"/>
        <v>TX0031534_021</v>
      </c>
      <c r="D975" s="2" t="s">
        <v>3432</v>
      </c>
    </row>
    <row r="976" spans="1:4" x14ac:dyDescent="0.25">
      <c r="A976" s="2" t="s">
        <v>5758</v>
      </c>
      <c r="B976" s="2" t="s">
        <v>2921</v>
      </c>
      <c r="C976" s="2" t="str">
        <f t="shared" si="15"/>
        <v>TX0031534_001</v>
      </c>
      <c r="D976" s="2" t="s">
        <v>3432</v>
      </c>
    </row>
    <row r="977" spans="1:4" x14ac:dyDescent="0.25">
      <c r="A977" s="2" t="s">
        <v>5759</v>
      </c>
      <c r="B977" s="2" t="s">
        <v>2921</v>
      </c>
      <c r="C977" s="2" t="str">
        <f t="shared" si="15"/>
        <v>TX0031569_001</v>
      </c>
      <c r="D977" s="2" t="s">
        <v>3433</v>
      </c>
    </row>
    <row r="978" spans="1:4" x14ac:dyDescent="0.25">
      <c r="A978" s="2" t="s">
        <v>5760</v>
      </c>
      <c r="B978" s="2" t="s">
        <v>2921</v>
      </c>
      <c r="C978" s="2" t="str">
        <f t="shared" si="15"/>
        <v>TX0031577_001</v>
      </c>
      <c r="D978" s="2" t="s">
        <v>3433</v>
      </c>
    </row>
    <row r="979" spans="1:4" x14ac:dyDescent="0.25">
      <c r="A979" s="2" t="s">
        <v>5761</v>
      </c>
      <c r="B979" s="2" t="s">
        <v>2921</v>
      </c>
      <c r="C979" s="2" t="str">
        <f t="shared" si="15"/>
        <v>TX0031585_001</v>
      </c>
      <c r="D979" s="2" t="s">
        <v>3433</v>
      </c>
    </row>
    <row r="980" spans="1:4" x14ac:dyDescent="0.25">
      <c r="A980" s="2" t="s">
        <v>5762</v>
      </c>
      <c r="B980" s="2" t="s">
        <v>2921</v>
      </c>
      <c r="C980" s="2" t="str">
        <f t="shared" si="15"/>
        <v>TX0031593_001</v>
      </c>
      <c r="D980" s="2" t="s">
        <v>3433</v>
      </c>
    </row>
    <row r="981" spans="1:4" x14ac:dyDescent="0.25">
      <c r="A981" s="2" t="s">
        <v>5763</v>
      </c>
      <c r="B981" s="2" t="s">
        <v>2921</v>
      </c>
      <c r="C981" s="2" t="str">
        <f t="shared" si="15"/>
        <v>TX0031607_001</v>
      </c>
      <c r="D981" s="2" t="s">
        <v>3433</v>
      </c>
    </row>
    <row r="982" spans="1:4" x14ac:dyDescent="0.25">
      <c r="A982" s="2" t="s">
        <v>5764</v>
      </c>
      <c r="B982" s="2" t="s">
        <v>2921</v>
      </c>
      <c r="C982" s="2" t="str">
        <f t="shared" si="15"/>
        <v>TX0031615_001</v>
      </c>
      <c r="D982" s="2" t="s">
        <v>3433</v>
      </c>
    </row>
    <row r="983" spans="1:4" x14ac:dyDescent="0.25">
      <c r="A983" s="2" t="s">
        <v>5765</v>
      </c>
      <c r="B983" s="2" t="s">
        <v>2921</v>
      </c>
      <c r="C983" s="2" t="str">
        <f t="shared" si="15"/>
        <v>TX0031658_001</v>
      </c>
      <c r="D983" s="2" t="s">
        <v>3433</v>
      </c>
    </row>
    <row r="984" spans="1:4" x14ac:dyDescent="0.25">
      <c r="A984" s="2" t="s">
        <v>5766</v>
      </c>
      <c r="B984" s="2" t="s">
        <v>2921</v>
      </c>
      <c r="C984" s="2" t="str">
        <f t="shared" si="15"/>
        <v>TX0031674_001</v>
      </c>
      <c r="D984" s="2" t="s">
        <v>3433</v>
      </c>
    </row>
    <row r="985" spans="1:4" x14ac:dyDescent="0.25">
      <c r="A985" s="2" t="s">
        <v>5767</v>
      </c>
      <c r="B985" s="2" t="s">
        <v>2921</v>
      </c>
      <c r="C985" s="2" t="str">
        <f t="shared" si="15"/>
        <v>TX0032018_001</v>
      </c>
      <c r="D985" s="2" t="s">
        <v>3434</v>
      </c>
    </row>
    <row r="986" spans="1:4" x14ac:dyDescent="0.25">
      <c r="A986" s="2" t="s">
        <v>5768</v>
      </c>
      <c r="B986" s="2" t="s">
        <v>2921</v>
      </c>
      <c r="C986" s="2" t="str">
        <f t="shared" si="15"/>
        <v>TX0032034_001</v>
      </c>
      <c r="D986" s="2" t="s">
        <v>3404</v>
      </c>
    </row>
    <row r="987" spans="1:4" x14ac:dyDescent="0.25">
      <c r="A987" s="2" t="s">
        <v>5769</v>
      </c>
      <c r="B987" s="2" t="s">
        <v>2921</v>
      </c>
      <c r="C987" s="2" t="str">
        <f t="shared" si="15"/>
        <v>TX0032085_001</v>
      </c>
      <c r="D987" s="2" t="s">
        <v>3092</v>
      </c>
    </row>
    <row r="988" spans="1:4" x14ac:dyDescent="0.25">
      <c r="A988" s="2" t="s">
        <v>5770</v>
      </c>
      <c r="B988" s="2" t="s">
        <v>2921</v>
      </c>
      <c r="C988" s="2" t="str">
        <f t="shared" si="15"/>
        <v>TX0032093_001</v>
      </c>
      <c r="D988" s="2" t="s">
        <v>3092</v>
      </c>
    </row>
    <row r="989" spans="1:4" x14ac:dyDescent="0.25">
      <c r="A989" s="2" t="s">
        <v>5771</v>
      </c>
      <c r="B989" s="2" t="s">
        <v>2921</v>
      </c>
      <c r="C989" s="2" t="str">
        <f t="shared" si="15"/>
        <v>TX0032212_001</v>
      </c>
      <c r="D989" s="2" t="s">
        <v>3435</v>
      </c>
    </row>
    <row r="990" spans="1:4" x14ac:dyDescent="0.25">
      <c r="A990" s="2" t="s">
        <v>5772</v>
      </c>
      <c r="B990" s="2" t="s">
        <v>2921</v>
      </c>
      <c r="C990" s="2" t="str">
        <f t="shared" si="15"/>
        <v>TX0032328_001</v>
      </c>
      <c r="D990" s="2" t="s">
        <v>3436</v>
      </c>
    </row>
    <row r="991" spans="1:4" x14ac:dyDescent="0.25">
      <c r="A991" s="2" t="s">
        <v>5773</v>
      </c>
      <c r="B991" s="2" t="s">
        <v>2921</v>
      </c>
      <c r="C991" s="2" t="str">
        <f t="shared" si="15"/>
        <v>TX0032344_001</v>
      </c>
      <c r="D991" s="2" t="s">
        <v>3437</v>
      </c>
    </row>
    <row r="992" spans="1:4" x14ac:dyDescent="0.25">
      <c r="A992" s="2" t="s">
        <v>5774</v>
      </c>
      <c r="B992" s="2" t="s">
        <v>2921</v>
      </c>
      <c r="C992" s="2" t="str">
        <f t="shared" si="15"/>
        <v>TX0032361_001</v>
      </c>
      <c r="D992" s="2" t="s">
        <v>3438</v>
      </c>
    </row>
    <row r="993" spans="1:4" x14ac:dyDescent="0.25">
      <c r="A993" s="2" t="s">
        <v>5775</v>
      </c>
      <c r="B993" s="2" t="s">
        <v>2921</v>
      </c>
      <c r="C993" s="2" t="str">
        <f t="shared" si="15"/>
        <v>TX0032379_001</v>
      </c>
      <c r="D993" s="2" t="s">
        <v>3439</v>
      </c>
    </row>
    <row r="994" spans="1:4" x14ac:dyDescent="0.25">
      <c r="A994" s="2" t="s">
        <v>5776</v>
      </c>
      <c r="B994" s="2" t="s">
        <v>2921</v>
      </c>
      <c r="C994" s="2" t="str">
        <f t="shared" si="15"/>
        <v>TX0032387_001</v>
      </c>
      <c r="D994" s="2" t="s">
        <v>3440</v>
      </c>
    </row>
    <row r="995" spans="1:4" x14ac:dyDescent="0.25">
      <c r="A995" s="2" t="s">
        <v>5777</v>
      </c>
      <c r="B995" s="2" t="s">
        <v>2921</v>
      </c>
      <c r="C995" s="2" t="str">
        <f t="shared" si="15"/>
        <v>TX0032425_001</v>
      </c>
      <c r="D995" s="2" t="s">
        <v>3441</v>
      </c>
    </row>
    <row r="996" spans="1:4" x14ac:dyDescent="0.25">
      <c r="A996" s="2" t="s">
        <v>5778</v>
      </c>
      <c r="B996" s="2" t="s">
        <v>2921</v>
      </c>
      <c r="C996" s="2" t="str">
        <f t="shared" si="15"/>
        <v>TX0032476_001</v>
      </c>
      <c r="D996" s="2" t="s">
        <v>3442</v>
      </c>
    </row>
    <row r="997" spans="1:4" x14ac:dyDescent="0.25">
      <c r="A997" s="2" t="s">
        <v>5779</v>
      </c>
      <c r="B997" s="2" t="s">
        <v>2921</v>
      </c>
      <c r="C997" s="2" t="str">
        <f t="shared" si="15"/>
        <v>TX0032484_001</v>
      </c>
      <c r="D997" s="2" t="s">
        <v>3443</v>
      </c>
    </row>
    <row r="998" spans="1:4" x14ac:dyDescent="0.25">
      <c r="A998" s="2" t="s">
        <v>5780</v>
      </c>
      <c r="B998" s="2" t="s">
        <v>2921</v>
      </c>
      <c r="C998" s="2" t="str">
        <f t="shared" si="15"/>
        <v>TX0032492_001</v>
      </c>
      <c r="D998" s="2" t="s">
        <v>3444</v>
      </c>
    </row>
    <row r="999" spans="1:4" x14ac:dyDescent="0.25">
      <c r="A999" s="2" t="s">
        <v>5781</v>
      </c>
      <c r="B999" s="2" t="s">
        <v>2921</v>
      </c>
      <c r="C999" s="2" t="str">
        <f t="shared" si="15"/>
        <v>TX0032514_001</v>
      </c>
      <c r="D999" s="2" t="s">
        <v>3445</v>
      </c>
    </row>
    <row r="1000" spans="1:4" x14ac:dyDescent="0.25">
      <c r="A1000" s="2" t="s">
        <v>5782</v>
      </c>
      <c r="B1000" s="2" t="s">
        <v>2921</v>
      </c>
      <c r="C1000" s="2" t="str">
        <f t="shared" si="15"/>
        <v>TX0032549_001</v>
      </c>
      <c r="D1000" s="2" t="s">
        <v>3446</v>
      </c>
    </row>
    <row r="1001" spans="1:4" x14ac:dyDescent="0.25">
      <c r="A1001" s="2" t="s">
        <v>5783</v>
      </c>
      <c r="B1001" s="2" t="s">
        <v>2921</v>
      </c>
      <c r="C1001" s="2" t="str">
        <f t="shared" si="15"/>
        <v>TX0032581_001</v>
      </c>
      <c r="D1001" s="2" t="s">
        <v>3446</v>
      </c>
    </row>
    <row r="1002" spans="1:4" x14ac:dyDescent="0.25">
      <c r="A1002" s="2" t="s">
        <v>5784</v>
      </c>
      <c r="B1002" s="2" t="s">
        <v>2921</v>
      </c>
      <c r="C1002" s="2" t="str">
        <f t="shared" si="15"/>
        <v>TX0032638_001</v>
      </c>
      <c r="D1002" s="2" t="s">
        <v>3447</v>
      </c>
    </row>
    <row r="1003" spans="1:4" x14ac:dyDescent="0.25">
      <c r="A1003" s="2" t="s">
        <v>5785</v>
      </c>
      <c r="B1003" s="2" t="s">
        <v>2921</v>
      </c>
      <c r="C1003" s="2" t="str">
        <f t="shared" si="15"/>
        <v>TX0032646_001</v>
      </c>
      <c r="D1003" s="2" t="s">
        <v>3448</v>
      </c>
    </row>
    <row r="1004" spans="1:4" x14ac:dyDescent="0.25">
      <c r="A1004" s="2" t="s">
        <v>5786</v>
      </c>
      <c r="B1004" s="2" t="s">
        <v>2921</v>
      </c>
      <c r="C1004" s="2" t="str">
        <f t="shared" si="15"/>
        <v>TX0032654_001</v>
      </c>
      <c r="D1004" s="2" t="s">
        <v>3449</v>
      </c>
    </row>
    <row r="1005" spans="1:4" x14ac:dyDescent="0.25">
      <c r="A1005" s="2" t="s">
        <v>5787</v>
      </c>
      <c r="B1005" s="2" t="s">
        <v>2921</v>
      </c>
      <c r="C1005" s="2" t="str">
        <f t="shared" si="15"/>
        <v>TX0032671_001</v>
      </c>
      <c r="D1005" s="2" t="s">
        <v>3450</v>
      </c>
    </row>
    <row r="1006" spans="1:4" x14ac:dyDescent="0.25">
      <c r="A1006" s="2" t="s">
        <v>5788</v>
      </c>
      <c r="B1006" s="2" t="s">
        <v>2921</v>
      </c>
      <c r="C1006" s="2" t="str">
        <f t="shared" si="15"/>
        <v>TX0032689_001</v>
      </c>
      <c r="D1006" s="2" t="s">
        <v>3451</v>
      </c>
    </row>
    <row r="1007" spans="1:4" x14ac:dyDescent="0.25">
      <c r="A1007" s="2" t="s">
        <v>5789</v>
      </c>
      <c r="B1007" s="2" t="s">
        <v>2921</v>
      </c>
      <c r="C1007" s="2" t="str">
        <f t="shared" si="15"/>
        <v>TX0032719_001</v>
      </c>
      <c r="D1007" s="2" t="s">
        <v>3452</v>
      </c>
    </row>
    <row r="1008" spans="1:4" x14ac:dyDescent="0.25">
      <c r="A1008" s="2" t="s">
        <v>5790</v>
      </c>
      <c r="B1008" s="2" t="s">
        <v>2921</v>
      </c>
      <c r="C1008" s="2" t="str">
        <f t="shared" si="15"/>
        <v>TX0032735_001</v>
      </c>
      <c r="D1008" s="2" t="s">
        <v>3453</v>
      </c>
    </row>
    <row r="1009" spans="1:4" x14ac:dyDescent="0.25">
      <c r="A1009" s="2" t="s">
        <v>5791</v>
      </c>
      <c r="B1009" s="2" t="s">
        <v>2921</v>
      </c>
      <c r="C1009" s="2" t="str">
        <f t="shared" si="15"/>
        <v>TX0032743_001</v>
      </c>
      <c r="D1009" s="2" t="s">
        <v>3453</v>
      </c>
    </row>
    <row r="1010" spans="1:4" x14ac:dyDescent="0.25">
      <c r="A1010" s="2" t="s">
        <v>5792</v>
      </c>
      <c r="B1010" s="2" t="s">
        <v>2921</v>
      </c>
      <c r="C1010" s="2" t="str">
        <f t="shared" si="15"/>
        <v>TX0032905_001</v>
      </c>
      <c r="D1010" s="2" t="s">
        <v>3454</v>
      </c>
    </row>
    <row r="1011" spans="1:4" x14ac:dyDescent="0.25">
      <c r="A1011" s="2" t="s">
        <v>5793</v>
      </c>
      <c r="B1011" s="2" t="s">
        <v>2921</v>
      </c>
      <c r="C1011" s="2" t="str">
        <f t="shared" si="15"/>
        <v>TX0033090_001</v>
      </c>
      <c r="D1011" s="2" t="s">
        <v>3455</v>
      </c>
    </row>
    <row r="1012" spans="1:4" x14ac:dyDescent="0.25">
      <c r="A1012" s="2" t="s">
        <v>5794</v>
      </c>
      <c r="B1012" s="2" t="s">
        <v>2921</v>
      </c>
      <c r="C1012" s="2" t="str">
        <f t="shared" si="15"/>
        <v>TX0033154_001</v>
      </c>
      <c r="D1012" s="2" t="s">
        <v>3456</v>
      </c>
    </row>
    <row r="1013" spans="1:4" x14ac:dyDescent="0.25">
      <c r="A1013" s="2" t="s">
        <v>5795</v>
      </c>
      <c r="B1013" s="2" t="s">
        <v>2921</v>
      </c>
      <c r="C1013" s="2" t="str">
        <f t="shared" si="15"/>
        <v>TX0033189_001</v>
      </c>
      <c r="D1013" s="2" t="s">
        <v>3457</v>
      </c>
    </row>
    <row r="1014" spans="1:4" x14ac:dyDescent="0.25">
      <c r="A1014" s="2" t="s">
        <v>5796</v>
      </c>
      <c r="B1014" s="2" t="s">
        <v>2921</v>
      </c>
      <c r="C1014" s="2" t="str">
        <f t="shared" si="15"/>
        <v>TX0033197_001</v>
      </c>
      <c r="D1014" s="2" t="s">
        <v>3458</v>
      </c>
    </row>
    <row r="1015" spans="1:4" x14ac:dyDescent="0.25">
      <c r="A1015" s="2" t="s">
        <v>5797</v>
      </c>
      <c r="B1015" s="2" t="s">
        <v>2921</v>
      </c>
      <c r="C1015" s="2" t="str">
        <f t="shared" si="15"/>
        <v>TX0033243_001</v>
      </c>
      <c r="D1015" s="2" t="s">
        <v>3459</v>
      </c>
    </row>
    <row r="1016" spans="1:4" x14ac:dyDescent="0.25">
      <c r="A1016" s="2" t="s">
        <v>5798</v>
      </c>
      <c r="B1016" s="2" t="s">
        <v>2921</v>
      </c>
      <c r="C1016" s="2" t="str">
        <f t="shared" si="15"/>
        <v>TX0033294_001</v>
      </c>
      <c r="D1016" s="2" t="s">
        <v>3460</v>
      </c>
    </row>
    <row r="1017" spans="1:4" x14ac:dyDescent="0.25">
      <c r="A1017" s="2" t="s">
        <v>5799</v>
      </c>
      <c r="B1017" s="2" t="s">
        <v>2921</v>
      </c>
      <c r="C1017" s="2" t="str">
        <f t="shared" si="15"/>
        <v>TX0033308_001</v>
      </c>
      <c r="D1017" s="2" t="s">
        <v>3461</v>
      </c>
    </row>
    <row r="1018" spans="1:4" x14ac:dyDescent="0.25">
      <c r="A1018" s="2" t="s">
        <v>5800</v>
      </c>
      <c r="B1018" s="2" t="s">
        <v>2921</v>
      </c>
      <c r="C1018" s="2" t="str">
        <f t="shared" si="15"/>
        <v>TX0033316_001</v>
      </c>
      <c r="D1018" s="2" t="s">
        <v>3462</v>
      </c>
    </row>
    <row r="1019" spans="1:4" x14ac:dyDescent="0.25">
      <c r="A1019" s="2" t="s">
        <v>5800</v>
      </c>
      <c r="B1019" s="2" t="s">
        <v>2933</v>
      </c>
      <c r="C1019" s="2" t="str">
        <f t="shared" si="15"/>
        <v>TX0033316_001A</v>
      </c>
      <c r="D1019" s="2" t="s">
        <v>3462</v>
      </c>
    </row>
    <row r="1020" spans="1:4" x14ac:dyDescent="0.25">
      <c r="A1020" s="2" t="s">
        <v>5801</v>
      </c>
      <c r="B1020" s="2" t="s">
        <v>2921</v>
      </c>
      <c r="C1020" s="2" t="str">
        <f t="shared" si="15"/>
        <v>TX0033332_001</v>
      </c>
      <c r="D1020" s="2" t="s">
        <v>3463</v>
      </c>
    </row>
    <row r="1021" spans="1:4" x14ac:dyDescent="0.25">
      <c r="A1021" s="2" t="s">
        <v>5802</v>
      </c>
      <c r="B1021" s="2" t="s">
        <v>2921</v>
      </c>
      <c r="C1021" s="2" t="str">
        <f t="shared" si="15"/>
        <v>TX0033341_001</v>
      </c>
      <c r="D1021" s="2" t="s">
        <v>3463</v>
      </c>
    </row>
    <row r="1022" spans="1:4" x14ac:dyDescent="0.25">
      <c r="A1022" s="2" t="s">
        <v>5803</v>
      </c>
      <c r="B1022" s="2" t="s">
        <v>2921</v>
      </c>
      <c r="C1022" s="2" t="str">
        <f t="shared" si="15"/>
        <v>TX0033367_001</v>
      </c>
      <c r="D1022" s="2" t="s">
        <v>3464</v>
      </c>
    </row>
    <row r="1023" spans="1:4" x14ac:dyDescent="0.25">
      <c r="A1023" s="2" t="s">
        <v>5804</v>
      </c>
      <c r="B1023" s="2" t="s">
        <v>2921</v>
      </c>
      <c r="C1023" s="2" t="str">
        <f t="shared" si="15"/>
        <v>TX0033375_001</v>
      </c>
      <c r="D1023" s="2" t="s">
        <v>3465</v>
      </c>
    </row>
    <row r="1024" spans="1:4" x14ac:dyDescent="0.25">
      <c r="A1024" s="2" t="s">
        <v>5805</v>
      </c>
      <c r="B1024" s="2" t="s">
        <v>2921</v>
      </c>
      <c r="C1024" s="2" t="str">
        <f t="shared" si="15"/>
        <v>TX0033456_001</v>
      </c>
      <c r="D1024" s="2" t="s">
        <v>3466</v>
      </c>
    </row>
    <row r="1025" spans="1:4" x14ac:dyDescent="0.25">
      <c r="A1025" s="2" t="s">
        <v>5806</v>
      </c>
      <c r="B1025" s="2" t="s">
        <v>2921</v>
      </c>
      <c r="C1025" s="2" t="str">
        <f t="shared" si="15"/>
        <v>TX0033499_001</v>
      </c>
      <c r="D1025" s="2" t="s">
        <v>3467</v>
      </c>
    </row>
    <row r="1026" spans="1:4" x14ac:dyDescent="0.25">
      <c r="A1026" s="2" t="s">
        <v>5807</v>
      </c>
      <c r="B1026" s="2" t="s">
        <v>2921</v>
      </c>
      <c r="C1026" s="2" t="str">
        <f t="shared" si="15"/>
        <v>TX0033529_001</v>
      </c>
      <c r="D1026" s="2" t="s">
        <v>3468</v>
      </c>
    </row>
    <row r="1027" spans="1:4" x14ac:dyDescent="0.25">
      <c r="A1027" s="2" t="s">
        <v>5808</v>
      </c>
      <c r="B1027" s="2" t="s">
        <v>2921</v>
      </c>
      <c r="C1027" s="2" t="str">
        <f t="shared" ref="C1027:C1090" si="16">A1027 &amp; "_" &amp; B1027</f>
        <v>TX0033910_001</v>
      </c>
      <c r="D1027" s="2" t="s">
        <v>3469</v>
      </c>
    </row>
    <row r="1028" spans="1:4" x14ac:dyDescent="0.25">
      <c r="A1028" s="2" t="s">
        <v>5809</v>
      </c>
      <c r="B1028" s="2" t="s">
        <v>2921</v>
      </c>
      <c r="C1028" s="2" t="str">
        <f t="shared" si="16"/>
        <v>TX0033936_001</v>
      </c>
      <c r="D1028" s="2" t="s">
        <v>3470</v>
      </c>
    </row>
    <row r="1029" spans="1:4" x14ac:dyDescent="0.25">
      <c r="A1029" s="2" t="s">
        <v>5810</v>
      </c>
      <c r="B1029" s="2" t="s">
        <v>2921</v>
      </c>
      <c r="C1029" s="2" t="str">
        <f t="shared" si="16"/>
        <v>TX0033944_001</v>
      </c>
      <c r="D1029" s="2" t="s">
        <v>3471</v>
      </c>
    </row>
    <row r="1030" spans="1:4" x14ac:dyDescent="0.25">
      <c r="A1030" s="2" t="s">
        <v>5811</v>
      </c>
      <c r="B1030" s="2" t="s">
        <v>2921</v>
      </c>
      <c r="C1030" s="2" t="str">
        <f t="shared" si="16"/>
        <v>TX0034002_001</v>
      </c>
      <c r="D1030" s="2" t="s">
        <v>3472</v>
      </c>
    </row>
    <row r="1031" spans="1:4" x14ac:dyDescent="0.25">
      <c r="A1031" s="2" t="s">
        <v>5812</v>
      </c>
      <c r="B1031" s="2" t="s">
        <v>2921</v>
      </c>
      <c r="C1031" s="2" t="str">
        <f t="shared" si="16"/>
        <v>TX0034312_001</v>
      </c>
      <c r="D1031" s="2" t="s">
        <v>3473</v>
      </c>
    </row>
    <row r="1032" spans="1:4" x14ac:dyDescent="0.25">
      <c r="A1032" s="2" t="s">
        <v>5813</v>
      </c>
      <c r="B1032" s="2" t="s">
        <v>2921</v>
      </c>
      <c r="C1032" s="2" t="str">
        <f t="shared" si="16"/>
        <v>TX0034401_001</v>
      </c>
      <c r="D1032" s="2" t="s">
        <v>3474</v>
      </c>
    </row>
    <row r="1033" spans="1:4" x14ac:dyDescent="0.25">
      <c r="A1033" s="2" t="s">
        <v>5814</v>
      </c>
      <c r="B1033" s="2" t="s">
        <v>2921</v>
      </c>
      <c r="C1033" s="2" t="str">
        <f t="shared" si="16"/>
        <v>TX0034410_001</v>
      </c>
      <c r="D1033" s="2" t="s">
        <v>3475</v>
      </c>
    </row>
    <row r="1034" spans="1:4" x14ac:dyDescent="0.25">
      <c r="A1034" s="2" t="s">
        <v>5815</v>
      </c>
      <c r="B1034" s="2" t="s">
        <v>2921</v>
      </c>
      <c r="C1034" s="2" t="str">
        <f t="shared" si="16"/>
        <v>TX0034428_001</v>
      </c>
      <c r="D1034" s="2" t="s">
        <v>3476</v>
      </c>
    </row>
    <row r="1035" spans="1:4" x14ac:dyDescent="0.25">
      <c r="A1035" s="2" t="s">
        <v>5816</v>
      </c>
      <c r="B1035" s="2" t="s">
        <v>2921</v>
      </c>
      <c r="C1035" s="2" t="str">
        <f t="shared" si="16"/>
        <v>TX0034436_001</v>
      </c>
      <c r="D1035" s="2" t="s">
        <v>3477</v>
      </c>
    </row>
    <row r="1036" spans="1:4" x14ac:dyDescent="0.25">
      <c r="A1036" s="2" t="s">
        <v>5817</v>
      </c>
      <c r="B1036" s="2" t="s">
        <v>2921</v>
      </c>
      <c r="C1036" s="2" t="str">
        <f t="shared" si="16"/>
        <v>TX0034452_001</v>
      </c>
      <c r="D1036" s="2" t="s">
        <v>3478</v>
      </c>
    </row>
    <row r="1037" spans="1:4" x14ac:dyDescent="0.25">
      <c r="A1037" s="2" t="s">
        <v>5818</v>
      </c>
      <c r="B1037" s="2" t="s">
        <v>2921</v>
      </c>
      <c r="C1037" s="2" t="str">
        <f t="shared" si="16"/>
        <v>TX0034461_001</v>
      </c>
      <c r="D1037" s="2" t="s">
        <v>3479</v>
      </c>
    </row>
    <row r="1038" spans="1:4" x14ac:dyDescent="0.25">
      <c r="A1038" s="2" t="s">
        <v>5819</v>
      </c>
      <c r="B1038" s="2" t="s">
        <v>2921</v>
      </c>
      <c r="C1038" s="2" t="str">
        <f t="shared" si="16"/>
        <v>TX0034495_001</v>
      </c>
      <c r="D1038" s="2" t="s">
        <v>3480</v>
      </c>
    </row>
    <row r="1039" spans="1:4" x14ac:dyDescent="0.25">
      <c r="A1039" s="2" t="s">
        <v>5820</v>
      </c>
      <c r="B1039" s="2" t="s">
        <v>2921</v>
      </c>
      <c r="C1039" s="2" t="str">
        <f t="shared" si="16"/>
        <v>TX0034509_001</v>
      </c>
      <c r="D1039" s="2" t="s">
        <v>3480</v>
      </c>
    </row>
    <row r="1040" spans="1:4" x14ac:dyDescent="0.25">
      <c r="A1040" s="2" t="s">
        <v>5821</v>
      </c>
      <c r="B1040" s="2" t="s">
        <v>2921</v>
      </c>
      <c r="C1040" s="2" t="str">
        <f t="shared" si="16"/>
        <v>TX0034681_001</v>
      </c>
      <c r="D1040" s="2" t="s">
        <v>3481</v>
      </c>
    </row>
    <row r="1041" spans="1:4" x14ac:dyDescent="0.25">
      <c r="A1041" s="2" t="s">
        <v>5822</v>
      </c>
      <c r="B1041" s="2" t="s">
        <v>2921</v>
      </c>
      <c r="C1041" s="2" t="str">
        <f t="shared" si="16"/>
        <v>TX0034738_001</v>
      </c>
      <c r="D1041" s="2" t="s">
        <v>3482</v>
      </c>
    </row>
    <row r="1042" spans="1:4" x14ac:dyDescent="0.25">
      <c r="A1042" s="2" t="s">
        <v>5822</v>
      </c>
      <c r="B1042" s="2" t="s">
        <v>2923</v>
      </c>
      <c r="C1042" s="2" t="str">
        <f t="shared" si="16"/>
        <v>TX0034738_002</v>
      </c>
      <c r="D1042" s="2" t="s">
        <v>3482</v>
      </c>
    </row>
    <row r="1043" spans="1:4" x14ac:dyDescent="0.25">
      <c r="A1043" s="2" t="s">
        <v>5823</v>
      </c>
      <c r="B1043" s="2" t="s">
        <v>2921</v>
      </c>
      <c r="C1043" s="2" t="str">
        <f t="shared" si="16"/>
        <v>TX0034797_001</v>
      </c>
      <c r="D1043" s="2" t="s">
        <v>3483</v>
      </c>
    </row>
    <row r="1044" spans="1:4" x14ac:dyDescent="0.25">
      <c r="A1044" s="2" t="s">
        <v>5824</v>
      </c>
      <c r="B1044" s="2" t="s">
        <v>2921</v>
      </c>
      <c r="C1044" s="2" t="str">
        <f t="shared" si="16"/>
        <v>TX0034886_001</v>
      </c>
      <c r="D1044" s="2" t="s">
        <v>3110</v>
      </c>
    </row>
    <row r="1045" spans="1:4" x14ac:dyDescent="0.25">
      <c r="A1045" s="2" t="s">
        <v>5825</v>
      </c>
      <c r="B1045" s="2" t="s">
        <v>2921</v>
      </c>
      <c r="C1045" s="2" t="str">
        <f t="shared" si="16"/>
        <v>TX0034916_001</v>
      </c>
      <c r="D1045" s="2" t="s">
        <v>3110</v>
      </c>
    </row>
    <row r="1046" spans="1:4" x14ac:dyDescent="0.25">
      <c r="A1046" s="2" t="s">
        <v>5826</v>
      </c>
      <c r="B1046" s="2" t="s">
        <v>2921</v>
      </c>
      <c r="C1046" s="2" t="str">
        <f t="shared" si="16"/>
        <v>TX0034924_001</v>
      </c>
      <c r="D1046" s="2" t="s">
        <v>3110</v>
      </c>
    </row>
    <row r="1047" spans="1:4" x14ac:dyDescent="0.25">
      <c r="A1047" s="2" t="s">
        <v>5827</v>
      </c>
      <c r="B1047" s="2" t="s">
        <v>2921</v>
      </c>
      <c r="C1047" s="2" t="str">
        <f t="shared" si="16"/>
        <v>TX0035009_001</v>
      </c>
      <c r="D1047" s="2" t="s">
        <v>3110</v>
      </c>
    </row>
    <row r="1048" spans="1:4" x14ac:dyDescent="0.25">
      <c r="A1048" s="2" t="s">
        <v>5828</v>
      </c>
      <c r="B1048" s="2" t="s">
        <v>2921</v>
      </c>
      <c r="C1048" s="2" t="str">
        <f t="shared" si="16"/>
        <v>TX0035017_001</v>
      </c>
      <c r="D1048" s="2" t="s">
        <v>3110</v>
      </c>
    </row>
    <row r="1049" spans="1:4" x14ac:dyDescent="0.25">
      <c r="A1049" s="2" t="s">
        <v>5829</v>
      </c>
      <c r="B1049" s="2" t="s">
        <v>2921</v>
      </c>
      <c r="C1049" s="2" t="str">
        <f t="shared" si="16"/>
        <v>TX0035106_001</v>
      </c>
      <c r="D1049" s="2" t="s">
        <v>3110</v>
      </c>
    </row>
    <row r="1050" spans="1:4" x14ac:dyDescent="0.25">
      <c r="A1050" s="2" t="s">
        <v>5830</v>
      </c>
      <c r="B1050" s="2" t="s">
        <v>2921</v>
      </c>
      <c r="C1050" s="2" t="str">
        <f t="shared" si="16"/>
        <v>TX0035157_001</v>
      </c>
      <c r="D1050" s="2" t="s">
        <v>3484</v>
      </c>
    </row>
    <row r="1051" spans="1:4" x14ac:dyDescent="0.25">
      <c r="A1051" s="2" t="s">
        <v>5831</v>
      </c>
      <c r="B1051" s="2" t="s">
        <v>2921</v>
      </c>
      <c r="C1051" s="2" t="str">
        <f t="shared" si="16"/>
        <v>TX0035211_001</v>
      </c>
      <c r="D1051" s="2" t="s">
        <v>3485</v>
      </c>
    </row>
    <row r="1052" spans="1:4" x14ac:dyDescent="0.25">
      <c r="A1052" s="2" t="s">
        <v>5832</v>
      </c>
      <c r="B1052" s="2" t="s">
        <v>2921</v>
      </c>
      <c r="C1052" s="2" t="str">
        <f t="shared" si="16"/>
        <v>TX0035220_001</v>
      </c>
      <c r="D1052" s="2" t="s">
        <v>3486</v>
      </c>
    </row>
    <row r="1053" spans="1:4" x14ac:dyDescent="0.25">
      <c r="A1053" s="2" t="s">
        <v>5833</v>
      </c>
      <c r="B1053" s="2" t="s">
        <v>2921</v>
      </c>
      <c r="C1053" s="2" t="str">
        <f t="shared" si="16"/>
        <v>TX0035505_001</v>
      </c>
      <c r="D1053" s="2" t="s">
        <v>3487</v>
      </c>
    </row>
    <row r="1054" spans="1:4" x14ac:dyDescent="0.25">
      <c r="A1054" s="2" t="s">
        <v>5834</v>
      </c>
      <c r="B1054" s="2" t="s">
        <v>2921</v>
      </c>
      <c r="C1054" s="2" t="str">
        <f t="shared" si="16"/>
        <v>TX0042081_001</v>
      </c>
      <c r="D1054" s="2" t="s">
        <v>3488</v>
      </c>
    </row>
    <row r="1055" spans="1:4" x14ac:dyDescent="0.25">
      <c r="A1055" s="2" t="s">
        <v>5835</v>
      </c>
      <c r="B1055" s="2" t="s">
        <v>2921</v>
      </c>
      <c r="C1055" s="2" t="str">
        <f t="shared" si="16"/>
        <v>TX0042099_001</v>
      </c>
      <c r="D1055" s="2" t="s">
        <v>3489</v>
      </c>
    </row>
    <row r="1056" spans="1:4" x14ac:dyDescent="0.25">
      <c r="A1056" s="2" t="s">
        <v>5836</v>
      </c>
      <c r="B1056" s="2" t="s">
        <v>2921</v>
      </c>
      <c r="C1056" s="2" t="str">
        <f t="shared" si="16"/>
        <v>TX0042129_001</v>
      </c>
      <c r="D1056" s="2" t="s">
        <v>3490</v>
      </c>
    </row>
    <row r="1057" spans="1:4" x14ac:dyDescent="0.25">
      <c r="A1057" s="2" t="s">
        <v>5836</v>
      </c>
      <c r="B1057" s="2" t="s">
        <v>2923</v>
      </c>
      <c r="C1057" s="2" t="str">
        <f t="shared" si="16"/>
        <v>TX0042129_002</v>
      </c>
      <c r="D1057" s="2" t="s">
        <v>3490</v>
      </c>
    </row>
    <row r="1058" spans="1:4" x14ac:dyDescent="0.25">
      <c r="A1058" s="2" t="s">
        <v>5837</v>
      </c>
      <c r="B1058" s="2" t="s">
        <v>2921</v>
      </c>
      <c r="C1058" s="2" t="str">
        <f t="shared" si="16"/>
        <v>TX0042650_001</v>
      </c>
      <c r="D1058" s="2" t="s">
        <v>3491</v>
      </c>
    </row>
    <row r="1059" spans="1:4" x14ac:dyDescent="0.25">
      <c r="A1059" s="2" t="s">
        <v>5838</v>
      </c>
      <c r="B1059" s="2" t="s">
        <v>2921</v>
      </c>
      <c r="C1059" s="2" t="str">
        <f t="shared" si="16"/>
        <v>TX0042668_001</v>
      </c>
      <c r="D1059" s="2" t="s">
        <v>3491</v>
      </c>
    </row>
    <row r="1060" spans="1:4" x14ac:dyDescent="0.25">
      <c r="A1060" s="2" t="s">
        <v>5839</v>
      </c>
      <c r="B1060" s="2" t="s">
        <v>2921</v>
      </c>
      <c r="C1060" s="2" t="str">
        <f t="shared" si="16"/>
        <v>TX0046400_001</v>
      </c>
      <c r="D1060" s="2" t="s">
        <v>2925</v>
      </c>
    </row>
    <row r="1061" spans="1:4" x14ac:dyDescent="0.25">
      <c r="A1061" s="2" t="s">
        <v>5840</v>
      </c>
      <c r="B1061" s="2" t="s">
        <v>2921</v>
      </c>
      <c r="C1061" s="2" t="str">
        <f t="shared" si="16"/>
        <v>TX0046612_001</v>
      </c>
      <c r="D1061" s="2" t="s">
        <v>3492</v>
      </c>
    </row>
    <row r="1062" spans="1:4" x14ac:dyDescent="0.25">
      <c r="A1062" s="2" t="s">
        <v>5841</v>
      </c>
      <c r="B1062" s="2" t="s">
        <v>2921</v>
      </c>
      <c r="C1062" s="2" t="str">
        <f t="shared" si="16"/>
        <v>TX0046621_001</v>
      </c>
      <c r="D1062" s="2" t="s">
        <v>3493</v>
      </c>
    </row>
    <row r="1063" spans="1:4" x14ac:dyDescent="0.25">
      <c r="A1063" s="2" t="s">
        <v>5842</v>
      </c>
      <c r="B1063" s="2" t="s">
        <v>2921</v>
      </c>
      <c r="C1063" s="2" t="str">
        <f t="shared" si="16"/>
        <v>TX0046639_001</v>
      </c>
      <c r="D1063" s="2" t="s">
        <v>3494</v>
      </c>
    </row>
    <row r="1064" spans="1:4" x14ac:dyDescent="0.25">
      <c r="A1064" s="2" t="s">
        <v>5843</v>
      </c>
      <c r="B1064" s="2" t="s">
        <v>2921</v>
      </c>
      <c r="C1064" s="2" t="str">
        <f t="shared" si="16"/>
        <v>TX0046663_001</v>
      </c>
      <c r="D1064" s="2" t="s">
        <v>3495</v>
      </c>
    </row>
    <row r="1065" spans="1:4" x14ac:dyDescent="0.25">
      <c r="A1065" s="2" t="s">
        <v>5844</v>
      </c>
      <c r="B1065" s="2" t="s">
        <v>2921</v>
      </c>
      <c r="C1065" s="2" t="str">
        <f t="shared" si="16"/>
        <v>TX0046671_001</v>
      </c>
      <c r="D1065" s="2" t="s">
        <v>3496</v>
      </c>
    </row>
    <row r="1066" spans="1:4" x14ac:dyDescent="0.25">
      <c r="A1066" s="2" t="s">
        <v>5845</v>
      </c>
      <c r="B1066" s="2" t="s">
        <v>2921</v>
      </c>
      <c r="C1066" s="2" t="str">
        <f t="shared" si="16"/>
        <v>TX0046680_001</v>
      </c>
      <c r="D1066" s="2" t="s">
        <v>3497</v>
      </c>
    </row>
    <row r="1067" spans="1:4" x14ac:dyDescent="0.25">
      <c r="A1067" s="2" t="s">
        <v>5846</v>
      </c>
      <c r="B1067" s="2" t="s">
        <v>2921</v>
      </c>
      <c r="C1067" s="2" t="str">
        <f t="shared" si="16"/>
        <v>TX0046701_001</v>
      </c>
      <c r="D1067" s="2" t="s">
        <v>3498</v>
      </c>
    </row>
    <row r="1068" spans="1:4" x14ac:dyDescent="0.25">
      <c r="A1068" s="2" t="s">
        <v>5847</v>
      </c>
      <c r="B1068" s="2" t="s">
        <v>2921</v>
      </c>
      <c r="C1068" s="2" t="str">
        <f t="shared" si="16"/>
        <v>TX0046710_001</v>
      </c>
      <c r="D1068" s="2" t="s">
        <v>3499</v>
      </c>
    </row>
    <row r="1069" spans="1:4" x14ac:dyDescent="0.25">
      <c r="A1069" s="2" t="s">
        <v>5848</v>
      </c>
      <c r="B1069" s="2" t="s">
        <v>2921</v>
      </c>
      <c r="C1069" s="2" t="str">
        <f t="shared" si="16"/>
        <v>TX0046728_001</v>
      </c>
      <c r="D1069" s="2" t="s">
        <v>3500</v>
      </c>
    </row>
    <row r="1070" spans="1:4" x14ac:dyDescent="0.25">
      <c r="A1070" s="2" t="s">
        <v>5849</v>
      </c>
      <c r="B1070" s="2" t="s">
        <v>2921</v>
      </c>
      <c r="C1070" s="2" t="str">
        <f t="shared" si="16"/>
        <v>TX0046736_001</v>
      </c>
      <c r="D1070" s="2" t="s">
        <v>3501</v>
      </c>
    </row>
    <row r="1071" spans="1:4" x14ac:dyDescent="0.25">
      <c r="A1071" s="2" t="s">
        <v>5850</v>
      </c>
      <c r="B1071" s="2" t="s">
        <v>2921</v>
      </c>
      <c r="C1071" s="2" t="str">
        <f t="shared" si="16"/>
        <v>TX0046744_001</v>
      </c>
      <c r="D1071" s="2" t="s">
        <v>3286</v>
      </c>
    </row>
    <row r="1072" spans="1:4" x14ac:dyDescent="0.25">
      <c r="A1072" s="2" t="s">
        <v>5851</v>
      </c>
      <c r="B1072" s="2" t="s">
        <v>2921</v>
      </c>
      <c r="C1072" s="2" t="str">
        <f t="shared" si="16"/>
        <v>TX0046761_001</v>
      </c>
      <c r="D1072" s="2" t="s">
        <v>3502</v>
      </c>
    </row>
    <row r="1073" spans="1:4" x14ac:dyDescent="0.25">
      <c r="A1073" s="2" t="s">
        <v>5852</v>
      </c>
      <c r="B1073" s="2" t="s">
        <v>2921</v>
      </c>
      <c r="C1073" s="2" t="str">
        <f t="shared" si="16"/>
        <v>TX0046779_001</v>
      </c>
      <c r="D1073" s="2" t="s">
        <v>3503</v>
      </c>
    </row>
    <row r="1074" spans="1:4" x14ac:dyDescent="0.25">
      <c r="A1074" s="2" t="s">
        <v>5853</v>
      </c>
      <c r="B1074" s="2" t="s">
        <v>2921</v>
      </c>
      <c r="C1074" s="2" t="str">
        <f t="shared" si="16"/>
        <v>TX0046817_001</v>
      </c>
      <c r="D1074" s="2" t="s">
        <v>3504</v>
      </c>
    </row>
    <row r="1075" spans="1:4" x14ac:dyDescent="0.25">
      <c r="A1075" s="2" t="s">
        <v>5854</v>
      </c>
      <c r="B1075" s="2" t="s">
        <v>2921</v>
      </c>
      <c r="C1075" s="2" t="str">
        <f t="shared" si="16"/>
        <v>TX0046833_001</v>
      </c>
      <c r="D1075" s="2" t="s">
        <v>3505</v>
      </c>
    </row>
    <row r="1076" spans="1:4" x14ac:dyDescent="0.25">
      <c r="A1076" s="2" t="s">
        <v>5855</v>
      </c>
      <c r="B1076" s="2" t="s">
        <v>2921</v>
      </c>
      <c r="C1076" s="2" t="str">
        <f t="shared" si="16"/>
        <v>TX0046841_001</v>
      </c>
      <c r="D1076" s="2" t="s">
        <v>3506</v>
      </c>
    </row>
    <row r="1077" spans="1:4" x14ac:dyDescent="0.25">
      <c r="A1077" s="2" t="s">
        <v>5856</v>
      </c>
      <c r="B1077" s="2" t="s">
        <v>2921</v>
      </c>
      <c r="C1077" s="2" t="str">
        <f t="shared" si="16"/>
        <v>TX0046868_001</v>
      </c>
      <c r="D1077" s="2" t="s">
        <v>3507</v>
      </c>
    </row>
    <row r="1078" spans="1:4" x14ac:dyDescent="0.25">
      <c r="A1078" s="2" t="s">
        <v>5857</v>
      </c>
      <c r="B1078" s="2" t="s">
        <v>2921</v>
      </c>
      <c r="C1078" s="2" t="str">
        <f t="shared" si="16"/>
        <v>TX0046892_001</v>
      </c>
      <c r="D1078" s="2" t="s">
        <v>3038</v>
      </c>
    </row>
    <row r="1079" spans="1:4" x14ac:dyDescent="0.25">
      <c r="A1079" s="2" t="s">
        <v>5857</v>
      </c>
      <c r="B1079" s="2" t="s">
        <v>2923</v>
      </c>
      <c r="C1079" s="2" t="str">
        <f t="shared" si="16"/>
        <v>TX0046892_002</v>
      </c>
      <c r="D1079" s="2" t="s">
        <v>3038</v>
      </c>
    </row>
    <row r="1080" spans="1:4" x14ac:dyDescent="0.25">
      <c r="A1080" s="2" t="s">
        <v>5857</v>
      </c>
      <c r="B1080" s="2" t="s">
        <v>2924</v>
      </c>
      <c r="C1080" s="2" t="str">
        <f t="shared" si="16"/>
        <v>TX0046892_003</v>
      </c>
      <c r="D1080" s="2" t="s">
        <v>3038</v>
      </c>
    </row>
    <row r="1081" spans="1:4" x14ac:dyDescent="0.25">
      <c r="A1081" s="2" t="s">
        <v>5857</v>
      </c>
      <c r="B1081" s="2" t="s">
        <v>2940</v>
      </c>
      <c r="C1081" s="2" t="str">
        <f t="shared" si="16"/>
        <v>TX0046892_006</v>
      </c>
      <c r="D1081" s="2" t="s">
        <v>3038</v>
      </c>
    </row>
    <row r="1082" spans="1:4" x14ac:dyDescent="0.25">
      <c r="A1082" s="2" t="s">
        <v>5858</v>
      </c>
      <c r="B1082" s="2" t="s">
        <v>2921</v>
      </c>
      <c r="C1082" s="2" t="str">
        <f t="shared" si="16"/>
        <v>TX0046906_001</v>
      </c>
      <c r="D1082" s="2" t="s">
        <v>3508</v>
      </c>
    </row>
    <row r="1083" spans="1:4" x14ac:dyDescent="0.25">
      <c r="A1083" s="2" t="s">
        <v>5858</v>
      </c>
      <c r="B1083" s="2" t="s">
        <v>2923</v>
      </c>
      <c r="C1083" s="2" t="str">
        <f t="shared" si="16"/>
        <v>TX0046906_002</v>
      </c>
      <c r="D1083" s="2" t="s">
        <v>3508</v>
      </c>
    </row>
    <row r="1084" spans="1:4" x14ac:dyDescent="0.25">
      <c r="A1084" s="2" t="s">
        <v>5859</v>
      </c>
      <c r="B1084" s="2" t="s">
        <v>2921</v>
      </c>
      <c r="C1084" s="2" t="str">
        <f t="shared" si="16"/>
        <v>TX0046981_001</v>
      </c>
      <c r="D1084" s="2" t="s">
        <v>3509</v>
      </c>
    </row>
    <row r="1085" spans="1:4" x14ac:dyDescent="0.25">
      <c r="A1085" s="2" t="s">
        <v>5860</v>
      </c>
      <c r="B1085" s="2" t="s">
        <v>2921</v>
      </c>
      <c r="C1085" s="2" t="str">
        <f t="shared" si="16"/>
        <v>TX0046990_001</v>
      </c>
      <c r="D1085" s="2" t="s">
        <v>3510</v>
      </c>
    </row>
    <row r="1086" spans="1:4" x14ac:dyDescent="0.25">
      <c r="A1086" s="2" t="s">
        <v>5861</v>
      </c>
      <c r="B1086" s="2" t="s">
        <v>2921</v>
      </c>
      <c r="C1086" s="2" t="str">
        <f t="shared" si="16"/>
        <v>TX0047007_001</v>
      </c>
      <c r="D1086" s="2" t="s">
        <v>3511</v>
      </c>
    </row>
    <row r="1087" spans="1:4" x14ac:dyDescent="0.25">
      <c r="A1087" s="2" t="s">
        <v>5862</v>
      </c>
      <c r="B1087" s="2" t="s">
        <v>2921</v>
      </c>
      <c r="C1087" s="2" t="str">
        <f t="shared" si="16"/>
        <v>TX0047023_001</v>
      </c>
      <c r="D1087" s="2" t="s">
        <v>3512</v>
      </c>
    </row>
    <row r="1088" spans="1:4" x14ac:dyDescent="0.25">
      <c r="A1088" s="2" t="s">
        <v>5863</v>
      </c>
      <c r="B1088" s="2" t="s">
        <v>2921</v>
      </c>
      <c r="C1088" s="2" t="str">
        <f t="shared" si="16"/>
        <v>TX0047031_001</v>
      </c>
      <c r="D1088" s="2" t="s">
        <v>3513</v>
      </c>
    </row>
    <row r="1089" spans="1:4" x14ac:dyDescent="0.25">
      <c r="A1089" s="2" t="s">
        <v>5864</v>
      </c>
      <c r="B1089" s="2" t="s">
        <v>2921</v>
      </c>
      <c r="C1089" s="2" t="str">
        <f t="shared" si="16"/>
        <v>TX0047040_001</v>
      </c>
      <c r="D1089" s="2" t="s">
        <v>3514</v>
      </c>
    </row>
    <row r="1090" spans="1:4" x14ac:dyDescent="0.25">
      <c r="A1090" s="2" t="s">
        <v>5865</v>
      </c>
      <c r="B1090" s="2" t="s">
        <v>2921</v>
      </c>
      <c r="C1090" s="2" t="str">
        <f t="shared" si="16"/>
        <v>TX0047058_001</v>
      </c>
      <c r="D1090" s="2" t="s">
        <v>3515</v>
      </c>
    </row>
    <row r="1091" spans="1:4" x14ac:dyDescent="0.25">
      <c r="A1091" s="2" t="s">
        <v>5866</v>
      </c>
      <c r="B1091" s="2" t="s">
        <v>2921</v>
      </c>
      <c r="C1091" s="2" t="str">
        <f t="shared" ref="C1091:C1154" si="17">A1091 &amp; "_" &amp; B1091</f>
        <v>TX0047066_001</v>
      </c>
      <c r="D1091" s="2" t="s">
        <v>3515</v>
      </c>
    </row>
    <row r="1092" spans="1:4" x14ac:dyDescent="0.25">
      <c r="A1092" s="2" t="s">
        <v>5866</v>
      </c>
      <c r="B1092" s="2" t="s">
        <v>2923</v>
      </c>
      <c r="C1092" s="2" t="str">
        <f t="shared" si="17"/>
        <v>TX0047066_002</v>
      </c>
      <c r="D1092" s="2" t="s">
        <v>3515</v>
      </c>
    </row>
    <row r="1093" spans="1:4" x14ac:dyDescent="0.25">
      <c r="A1093" s="2" t="s">
        <v>5867</v>
      </c>
      <c r="B1093" s="2" t="s">
        <v>2921</v>
      </c>
      <c r="C1093" s="2" t="str">
        <f t="shared" si="17"/>
        <v>TX0047074_001</v>
      </c>
      <c r="D1093" s="2" t="s">
        <v>3515</v>
      </c>
    </row>
    <row r="1094" spans="1:4" x14ac:dyDescent="0.25">
      <c r="A1094" s="2" t="s">
        <v>5868</v>
      </c>
      <c r="B1094" s="2" t="s">
        <v>2921</v>
      </c>
      <c r="C1094" s="2" t="str">
        <f t="shared" si="17"/>
        <v>TX0047082_001</v>
      </c>
      <c r="D1094" s="2" t="s">
        <v>3515</v>
      </c>
    </row>
    <row r="1095" spans="1:4" x14ac:dyDescent="0.25">
      <c r="A1095" s="2" t="s">
        <v>5868</v>
      </c>
      <c r="B1095" s="2" t="s">
        <v>2923</v>
      </c>
      <c r="C1095" s="2" t="str">
        <f t="shared" si="17"/>
        <v>TX0047082_002</v>
      </c>
      <c r="D1095" s="2" t="s">
        <v>3515</v>
      </c>
    </row>
    <row r="1096" spans="1:4" x14ac:dyDescent="0.25">
      <c r="A1096" s="2" t="s">
        <v>5869</v>
      </c>
      <c r="B1096" s="2" t="s">
        <v>2921</v>
      </c>
      <c r="C1096" s="2" t="str">
        <f t="shared" si="17"/>
        <v>TX0047104_001</v>
      </c>
      <c r="D1096" s="2" t="s">
        <v>3515</v>
      </c>
    </row>
    <row r="1097" spans="1:4" x14ac:dyDescent="0.25">
      <c r="A1097" s="2" t="s">
        <v>5870</v>
      </c>
      <c r="B1097" s="2" t="s">
        <v>2921</v>
      </c>
      <c r="C1097" s="2" t="str">
        <f t="shared" si="17"/>
        <v>TX0047121_001</v>
      </c>
      <c r="D1097" s="2" t="s">
        <v>3515</v>
      </c>
    </row>
    <row r="1098" spans="1:4" x14ac:dyDescent="0.25">
      <c r="A1098" s="2" t="s">
        <v>5871</v>
      </c>
      <c r="B1098" s="2" t="s">
        <v>2921</v>
      </c>
      <c r="C1098" s="2" t="str">
        <f t="shared" si="17"/>
        <v>TX0047155_001</v>
      </c>
      <c r="D1098" s="2" t="s">
        <v>3516</v>
      </c>
    </row>
    <row r="1099" spans="1:4" x14ac:dyDescent="0.25">
      <c r="A1099" s="2" t="s">
        <v>5871</v>
      </c>
      <c r="B1099" s="2" t="s">
        <v>2923</v>
      </c>
      <c r="C1099" s="2" t="str">
        <f t="shared" si="17"/>
        <v>TX0047155_002</v>
      </c>
      <c r="D1099" s="2" t="s">
        <v>3516</v>
      </c>
    </row>
    <row r="1100" spans="1:4" x14ac:dyDescent="0.25">
      <c r="A1100" s="2" t="s">
        <v>5871</v>
      </c>
      <c r="B1100" s="2" t="s">
        <v>2924</v>
      </c>
      <c r="C1100" s="2" t="str">
        <f t="shared" si="17"/>
        <v>TX0047155_003</v>
      </c>
      <c r="D1100" s="2" t="s">
        <v>3516</v>
      </c>
    </row>
    <row r="1101" spans="1:4" x14ac:dyDescent="0.25">
      <c r="A1101" s="2" t="s">
        <v>5872</v>
      </c>
      <c r="B1101" s="2" t="s">
        <v>2921</v>
      </c>
      <c r="C1101" s="2" t="str">
        <f t="shared" si="17"/>
        <v>TX0047163_001</v>
      </c>
      <c r="D1101" s="2" t="s">
        <v>3517</v>
      </c>
    </row>
    <row r="1102" spans="1:4" x14ac:dyDescent="0.25">
      <c r="A1102" s="2" t="s">
        <v>5873</v>
      </c>
      <c r="B1102" s="2" t="s">
        <v>2921</v>
      </c>
      <c r="C1102" s="2" t="str">
        <f t="shared" si="17"/>
        <v>TX0047180_001</v>
      </c>
      <c r="D1102" s="2" t="s">
        <v>3518</v>
      </c>
    </row>
    <row r="1103" spans="1:4" x14ac:dyDescent="0.25">
      <c r="A1103" s="2" t="s">
        <v>5874</v>
      </c>
      <c r="B1103" s="2" t="s">
        <v>2921</v>
      </c>
      <c r="C1103" s="2" t="str">
        <f t="shared" si="17"/>
        <v>TX0047198_001</v>
      </c>
      <c r="D1103" s="2" t="s">
        <v>3519</v>
      </c>
    </row>
    <row r="1104" spans="1:4" x14ac:dyDescent="0.25">
      <c r="A1104" s="2" t="s">
        <v>5875</v>
      </c>
      <c r="B1104" s="2" t="s">
        <v>2921</v>
      </c>
      <c r="C1104" s="2" t="str">
        <f t="shared" si="17"/>
        <v>TX0047210_001</v>
      </c>
      <c r="D1104" s="2" t="s">
        <v>3520</v>
      </c>
    </row>
    <row r="1105" spans="1:4" x14ac:dyDescent="0.25">
      <c r="A1105" s="2" t="s">
        <v>5876</v>
      </c>
      <c r="B1105" s="2" t="s">
        <v>2921</v>
      </c>
      <c r="C1105" s="2" t="str">
        <f t="shared" si="17"/>
        <v>TX0047228_001</v>
      </c>
      <c r="D1105" s="2" t="s">
        <v>3520</v>
      </c>
    </row>
    <row r="1106" spans="1:4" x14ac:dyDescent="0.25">
      <c r="A1106" s="2" t="s">
        <v>5877</v>
      </c>
      <c r="B1106" s="2" t="s">
        <v>2921</v>
      </c>
      <c r="C1106" s="2" t="str">
        <f t="shared" si="17"/>
        <v>TX0047261_001</v>
      </c>
      <c r="D1106" s="2" t="s">
        <v>3521</v>
      </c>
    </row>
    <row r="1107" spans="1:4" x14ac:dyDescent="0.25">
      <c r="A1107" s="2" t="s">
        <v>5878</v>
      </c>
      <c r="B1107" s="2" t="s">
        <v>2921</v>
      </c>
      <c r="C1107" s="2" t="str">
        <f t="shared" si="17"/>
        <v>TX0047295_001</v>
      </c>
      <c r="D1107" s="2" t="s">
        <v>3522</v>
      </c>
    </row>
    <row r="1108" spans="1:4" x14ac:dyDescent="0.25">
      <c r="A1108" s="2" t="s">
        <v>5879</v>
      </c>
      <c r="B1108" s="2" t="s">
        <v>2921</v>
      </c>
      <c r="C1108" s="2" t="str">
        <f t="shared" si="17"/>
        <v>TX0047309_001</v>
      </c>
      <c r="D1108" s="2" t="s">
        <v>3410</v>
      </c>
    </row>
    <row r="1109" spans="1:4" x14ac:dyDescent="0.25">
      <c r="A1109" s="2" t="s">
        <v>5880</v>
      </c>
      <c r="B1109" s="2" t="s">
        <v>2921</v>
      </c>
      <c r="C1109" s="2" t="str">
        <f t="shared" si="17"/>
        <v>TX0047333_001</v>
      </c>
      <c r="D1109" s="2" t="s">
        <v>3523</v>
      </c>
    </row>
    <row r="1110" spans="1:4" x14ac:dyDescent="0.25">
      <c r="A1110" s="2" t="s">
        <v>5881</v>
      </c>
      <c r="B1110" s="2" t="s">
        <v>2921</v>
      </c>
      <c r="C1110" s="2" t="str">
        <f t="shared" si="17"/>
        <v>TX0047414_001</v>
      </c>
      <c r="D1110" s="2" t="s">
        <v>3241</v>
      </c>
    </row>
    <row r="1111" spans="1:4" x14ac:dyDescent="0.25">
      <c r="A1111" s="2" t="s">
        <v>5882</v>
      </c>
      <c r="B1111" s="2" t="s">
        <v>2921</v>
      </c>
      <c r="C1111" s="2" t="str">
        <f t="shared" si="17"/>
        <v>TX0047431_001</v>
      </c>
      <c r="D1111" s="2" t="s">
        <v>3155</v>
      </c>
    </row>
    <row r="1112" spans="1:4" x14ac:dyDescent="0.25">
      <c r="A1112" s="2" t="s">
        <v>5883</v>
      </c>
      <c r="B1112" s="2" t="s">
        <v>2921</v>
      </c>
      <c r="C1112" s="2" t="str">
        <f t="shared" si="17"/>
        <v>TX0047449_001</v>
      </c>
      <c r="D1112" s="2" t="s">
        <v>3524</v>
      </c>
    </row>
    <row r="1113" spans="1:4" x14ac:dyDescent="0.25">
      <c r="A1113" s="2" t="s">
        <v>5884</v>
      </c>
      <c r="B1113" s="2" t="s">
        <v>2921</v>
      </c>
      <c r="C1113" s="2" t="str">
        <f t="shared" si="17"/>
        <v>TX0047457_001</v>
      </c>
      <c r="D1113" s="2" t="s">
        <v>3525</v>
      </c>
    </row>
    <row r="1114" spans="1:4" x14ac:dyDescent="0.25">
      <c r="A1114" s="2" t="s">
        <v>5885</v>
      </c>
      <c r="B1114" s="2" t="s">
        <v>2921</v>
      </c>
      <c r="C1114" s="2" t="str">
        <f t="shared" si="17"/>
        <v>TX0047511_001</v>
      </c>
      <c r="D1114" s="2" t="s">
        <v>3265</v>
      </c>
    </row>
    <row r="1115" spans="1:4" x14ac:dyDescent="0.25">
      <c r="A1115" s="2" t="s">
        <v>5886</v>
      </c>
      <c r="B1115" s="2" t="s">
        <v>2921</v>
      </c>
      <c r="C1115" s="2" t="str">
        <f t="shared" si="17"/>
        <v>TX0047562_001</v>
      </c>
      <c r="D1115" s="2" t="s">
        <v>3526</v>
      </c>
    </row>
    <row r="1116" spans="1:4" x14ac:dyDescent="0.25">
      <c r="A1116" s="2" t="s">
        <v>5887</v>
      </c>
      <c r="B1116" s="2" t="s">
        <v>2921</v>
      </c>
      <c r="C1116" s="2" t="str">
        <f t="shared" si="17"/>
        <v>TX0047571_001</v>
      </c>
      <c r="D1116" s="2" t="s">
        <v>3527</v>
      </c>
    </row>
    <row r="1117" spans="1:4" x14ac:dyDescent="0.25">
      <c r="A1117" s="2" t="s">
        <v>5888</v>
      </c>
      <c r="B1117" s="2" t="s">
        <v>2921</v>
      </c>
      <c r="C1117" s="2" t="str">
        <f t="shared" si="17"/>
        <v>TX0047589_001</v>
      </c>
      <c r="D1117" s="2" t="s">
        <v>3265</v>
      </c>
    </row>
    <row r="1118" spans="1:4" x14ac:dyDescent="0.25">
      <c r="A1118" s="2" t="s">
        <v>5889</v>
      </c>
      <c r="B1118" s="2" t="s">
        <v>2921</v>
      </c>
      <c r="C1118" s="2" t="str">
        <f t="shared" si="17"/>
        <v>TX0047651_001</v>
      </c>
      <c r="D1118" s="2" t="s">
        <v>3528</v>
      </c>
    </row>
    <row r="1119" spans="1:4" x14ac:dyDescent="0.25">
      <c r="A1119" s="2" t="s">
        <v>5890</v>
      </c>
      <c r="B1119" s="2" t="s">
        <v>2921</v>
      </c>
      <c r="C1119" s="2" t="str">
        <f t="shared" si="17"/>
        <v>TX0047686_001</v>
      </c>
      <c r="D1119" s="2" t="s">
        <v>3529</v>
      </c>
    </row>
    <row r="1120" spans="1:4" x14ac:dyDescent="0.25">
      <c r="A1120" s="2" t="s">
        <v>5890</v>
      </c>
      <c r="B1120" s="2" t="s">
        <v>2923</v>
      </c>
      <c r="C1120" s="2" t="str">
        <f t="shared" si="17"/>
        <v>TX0047686_002</v>
      </c>
      <c r="D1120" s="2" t="s">
        <v>3529</v>
      </c>
    </row>
    <row r="1121" spans="1:4" x14ac:dyDescent="0.25">
      <c r="A1121" s="2" t="s">
        <v>5891</v>
      </c>
      <c r="B1121" s="2" t="s">
        <v>2921</v>
      </c>
      <c r="C1121" s="2" t="str">
        <f t="shared" si="17"/>
        <v>TX0047724_001</v>
      </c>
      <c r="D1121" s="2" t="s">
        <v>3530</v>
      </c>
    </row>
    <row r="1122" spans="1:4" x14ac:dyDescent="0.25">
      <c r="A1122" s="2" t="s">
        <v>5891</v>
      </c>
      <c r="B1122" s="2" t="s">
        <v>2924</v>
      </c>
      <c r="C1122" s="2" t="str">
        <f t="shared" si="17"/>
        <v>TX0047724_003</v>
      </c>
      <c r="D1122" s="2" t="s">
        <v>3530</v>
      </c>
    </row>
    <row r="1123" spans="1:4" x14ac:dyDescent="0.25">
      <c r="A1123" s="2" t="s">
        <v>5891</v>
      </c>
      <c r="B1123" s="2" t="s">
        <v>2923</v>
      </c>
      <c r="C1123" s="2" t="str">
        <f t="shared" si="17"/>
        <v>TX0047724_002</v>
      </c>
      <c r="D1123" s="2" t="s">
        <v>3530</v>
      </c>
    </row>
    <row r="1124" spans="1:4" x14ac:dyDescent="0.25">
      <c r="A1124" s="2" t="s">
        <v>5892</v>
      </c>
      <c r="B1124" s="2" t="s">
        <v>2921</v>
      </c>
      <c r="C1124" s="2" t="str">
        <f t="shared" si="17"/>
        <v>TX0047791_001</v>
      </c>
      <c r="D1124" s="2" t="s">
        <v>3531</v>
      </c>
    </row>
    <row r="1125" spans="1:4" x14ac:dyDescent="0.25">
      <c r="A1125" s="2" t="s">
        <v>5892</v>
      </c>
      <c r="B1125" s="2" t="s">
        <v>2923</v>
      </c>
      <c r="C1125" s="2" t="str">
        <f t="shared" si="17"/>
        <v>TX0047791_002</v>
      </c>
      <c r="D1125" s="2" t="s">
        <v>3531</v>
      </c>
    </row>
    <row r="1126" spans="1:4" x14ac:dyDescent="0.25">
      <c r="A1126" s="2" t="s">
        <v>5893</v>
      </c>
      <c r="B1126" s="2" t="s">
        <v>2921</v>
      </c>
      <c r="C1126" s="2" t="str">
        <f t="shared" si="17"/>
        <v>TX0047830_001</v>
      </c>
      <c r="D1126" s="2" t="s">
        <v>2961</v>
      </c>
    </row>
    <row r="1127" spans="1:4" x14ac:dyDescent="0.25">
      <c r="A1127" s="2" t="s">
        <v>5894</v>
      </c>
      <c r="B1127" s="2" t="s">
        <v>2921</v>
      </c>
      <c r="C1127" s="2" t="str">
        <f t="shared" si="17"/>
        <v>TX0047848_001</v>
      </c>
      <c r="D1127" s="2" t="s">
        <v>2961</v>
      </c>
    </row>
    <row r="1128" spans="1:4" x14ac:dyDescent="0.25">
      <c r="A1128" s="2" t="s">
        <v>5895</v>
      </c>
      <c r="B1128" s="2" t="s">
        <v>2921</v>
      </c>
      <c r="C1128" s="2" t="str">
        <f t="shared" si="17"/>
        <v>TX0047899_001</v>
      </c>
      <c r="D1128" s="2" t="s">
        <v>3532</v>
      </c>
    </row>
    <row r="1129" spans="1:4" x14ac:dyDescent="0.25">
      <c r="A1129" s="2" t="s">
        <v>5896</v>
      </c>
      <c r="B1129" s="2" t="s">
        <v>2921</v>
      </c>
      <c r="C1129" s="2" t="str">
        <f t="shared" si="17"/>
        <v>TX0047911_001</v>
      </c>
      <c r="D1129" s="2" t="s">
        <v>3155</v>
      </c>
    </row>
    <row r="1130" spans="1:4" x14ac:dyDescent="0.25">
      <c r="A1130" s="2" t="s">
        <v>5897</v>
      </c>
      <c r="B1130" s="2" t="s">
        <v>2921</v>
      </c>
      <c r="C1130" s="2" t="str">
        <f t="shared" si="17"/>
        <v>TX0047929_001</v>
      </c>
      <c r="D1130" s="2" t="s">
        <v>3533</v>
      </c>
    </row>
    <row r="1131" spans="1:4" x14ac:dyDescent="0.25">
      <c r="A1131" s="2" t="s">
        <v>5898</v>
      </c>
      <c r="B1131" s="2" t="s">
        <v>2921</v>
      </c>
      <c r="C1131" s="2" t="str">
        <f t="shared" si="17"/>
        <v>TX0047945_001</v>
      </c>
      <c r="D1131" s="2" t="s">
        <v>3534</v>
      </c>
    </row>
    <row r="1132" spans="1:4" x14ac:dyDescent="0.25">
      <c r="A1132" s="2" t="s">
        <v>5899</v>
      </c>
      <c r="B1132" s="2" t="s">
        <v>2921</v>
      </c>
      <c r="C1132" s="2" t="str">
        <f t="shared" si="17"/>
        <v>TX0047988_001</v>
      </c>
      <c r="D1132" s="2" t="s">
        <v>3535</v>
      </c>
    </row>
    <row r="1133" spans="1:4" x14ac:dyDescent="0.25">
      <c r="A1133" s="2" t="s">
        <v>5900</v>
      </c>
      <c r="B1133" s="2" t="s">
        <v>2921</v>
      </c>
      <c r="C1133" s="2" t="str">
        <f t="shared" si="17"/>
        <v>TX0047996_001</v>
      </c>
      <c r="D1133" s="2" t="s">
        <v>3535</v>
      </c>
    </row>
    <row r="1134" spans="1:4" x14ac:dyDescent="0.25">
      <c r="A1134" s="2" t="s">
        <v>5901</v>
      </c>
      <c r="B1134" s="2" t="s">
        <v>2921</v>
      </c>
      <c r="C1134" s="2" t="str">
        <f t="shared" si="17"/>
        <v>TX0048038_001</v>
      </c>
      <c r="D1134" s="2" t="s">
        <v>3536</v>
      </c>
    </row>
    <row r="1135" spans="1:4" x14ac:dyDescent="0.25">
      <c r="A1135" s="2" t="s">
        <v>5902</v>
      </c>
      <c r="B1135" s="2" t="s">
        <v>2923</v>
      </c>
      <c r="C1135" s="2" t="str">
        <f t="shared" si="17"/>
        <v>TX0052591_002</v>
      </c>
      <c r="D1135" s="2" t="s">
        <v>3537</v>
      </c>
    </row>
    <row r="1136" spans="1:4" x14ac:dyDescent="0.25">
      <c r="A1136" s="2" t="s">
        <v>5902</v>
      </c>
      <c r="B1136" s="2" t="s">
        <v>2921</v>
      </c>
      <c r="C1136" s="2" t="str">
        <f t="shared" si="17"/>
        <v>TX0052591_001</v>
      </c>
      <c r="D1136" s="2" t="s">
        <v>3537</v>
      </c>
    </row>
    <row r="1137" spans="1:4" x14ac:dyDescent="0.25">
      <c r="A1137" s="2" t="s">
        <v>5903</v>
      </c>
      <c r="B1137" s="2" t="s">
        <v>2923</v>
      </c>
      <c r="C1137" s="2" t="str">
        <f t="shared" si="17"/>
        <v>TX0052639_002</v>
      </c>
      <c r="D1137" s="2" t="s">
        <v>3538</v>
      </c>
    </row>
    <row r="1138" spans="1:4" x14ac:dyDescent="0.25">
      <c r="A1138" s="2" t="s">
        <v>5903</v>
      </c>
      <c r="B1138" s="2" t="s">
        <v>2921</v>
      </c>
      <c r="C1138" s="2" t="str">
        <f t="shared" si="17"/>
        <v>TX0052639_001</v>
      </c>
      <c r="D1138" s="2" t="s">
        <v>3538</v>
      </c>
    </row>
    <row r="1139" spans="1:4" x14ac:dyDescent="0.25">
      <c r="A1139" s="2" t="s">
        <v>5904</v>
      </c>
      <c r="B1139" s="2" t="s">
        <v>2921</v>
      </c>
      <c r="C1139" s="2" t="str">
        <f t="shared" si="17"/>
        <v>TX0052647_001</v>
      </c>
      <c r="D1139" s="2" t="s">
        <v>3538</v>
      </c>
    </row>
    <row r="1140" spans="1:4" x14ac:dyDescent="0.25">
      <c r="A1140" s="2" t="s">
        <v>5905</v>
      </c>
      <c r="B1140" s="2" t="s">
        <v>2921</v>
      </c>
      <c r="C1140" s="2" t="str">
        <f t="shared" si="17"/>
        <v>TX0052779_001</v>
      </c>
      <c r="D1140" s="2" t="s">
        <v>3539</v>
      </c>
    </row>
    <row r="1141" spans="1:4" x14ac:dyDescent="0.25">
      <c r="A1141" s="2" t="s">
        <v>5906</v>
      </c>
      <c r="B1141" s="2" t="s">
        <v>2921</v>
      </c>
      <c r="C1141" s="2" t="str">
        <f t="shared" si="17"/>
        <v>TX0052787_001</v>
      </c>
      <c r="D1141" s="2" t="s">
        <v>3172</v>
      </c>
    </row>
    <row r="1142" spans="1:4" x14ac:dyDescent="0.25">
      <c r="A1142" s="2" t="s">
        <v>5907</v>
      </c>
      <c r="B1142" s="2" t="s">
        <v>2921</v>
      </c>
      <c r="C1142" s="2" t="str">
        <f t="shared" si="17"/>
        <v>TX0052825_001</v>
      </c>
      <c r="D1142" s="2" t="s">
        <v>3055</v>
      </c>
    </row>
    <row r="1143" spans="1:4" x14ac:dyDescent="0.25">
      <c r="A1143" s="2" t="s">
        <v>5908</v>
      </c>
      <c r="B1143" s="2" t="s">
        <v>2921</v>
      </c>
      <c r="C1143" s="2" t="str">
        <f t="shared" si="17"/>
        <v>TX0052841_001</v>
      </c>
      <c r="D1143" s="2" t="s">
        <v>3540</v>
      </c>
    </row>
    <row r="1144" spans="1:4" x14ac:dyDescent="0.25">
      <c r="A1144" s="2" t="s">
        <v>5909</v>
      </c>
      <c r="B1144" s="2" t="s">
        <v>2921</v>
      </c>
      <c r="C1144" s="2" t="str">
        <f t="shared" si="17"/>
        <v>TX0052850_001</v>
      </c>
      <c r="D1144" s="2" t="s">
        <v>3541</v>
      </c>
    </row>
    <row r="1145" spans="1:4" x14ac:dyDescent="0.25">
      <c r="A1145" s="2" t="s">
        <v>5910</v>
      </c>
      <c r="B1145" s="2" t="s">
        <v>2921</v>
      </c>
      <c r="C1145" s="2" t="str">
        <f t="shared" si="17"/>
        <v>TX0052876_001</v>
      </c>
      <c r="D1145" s="2" t="s">
        <v>3542</v>
      </c>
    </row>
    <row r="1146" spans="1:4" x14ac:dyDescent="0.25">
      <c r="A1146" s="2" t="s">
        <v>5911</v>
      </c>
      <c r="B1146" s="2" t="s">
        <v>2921</v>
      </c>
      <c r="C1146" s="2" t="str">
        <f t="shared" si="17"/>
        <v>TX0052892_001</v>
      </c>
      <c r="D1146" s="2" t="s">
        <v>3543</v>
      </c>
    </row>
    <row r="1147" spans="1:4" x14ac:dyDescent="0.25">
      <c r="A1147" s="2" t="s">
        <v>5912</v>
      </c>
      <c r="B1147" s="2" t="s">
        <v>2921</v>
      </c>
      <c r="C1147" s="2" t="str">
        <f t="shared" si="17"/>
        <v>TX0052906_001</v>
      </c>
      <c r="D1147" s="2" t="s">
        <v>3544</v>
      </c>
    </row>
    <row r="1148" spans="1:4" x14ac:dyDescent="0.25">
      <c r="A1148" s="2" t="s">
        <v>5913</v>
      </c>
      <c r="B1148" s="2" t="s">
        <v>2921</v>
      </c>
      <c r="C1148" s="2" t="str">
        <f t="shared" si="17"/>
        <v>TX0052922_001</v>
      </c>
      <c r="D1148" s="2" t="s">
        <v>3545</v>
      </c>
    </row>
    <row r="1149" spans="1:4" x14ac:dyDescent="0.25">
      <c r="A1149" s="2" t="s">
        <v>5914</v>
      </c>
      <c r="B1149" s="2" t="s">
        <v>2921</v>
      </c>
      <c r="C1149" s="2" t="str">
        <f t="shared" si="17"/>
        <v>TX0052931_001</v>
      </c>
      <c r="D1149" s="2" t="s">
        <v>3546</v>
      </c>
    </row>
    <row r="1150" spans="1:4" x14ac:dyDescent="0.25">
      <c r="A1150" s="2" t="s">
        <v>5915</v>
      </c>
      <c r="B1150" s="2" t="s">
        <v>2921</v>
      </c>
      <c r="C1150" s="2" t="str">
        <f t="shared" si="17"/>
        <v>TX0052949_001</v>
      </c>
      <c r="D1150" s="2" t="s">
        <v>2964</v>
      </c>
    </row>
    <row r="1151" spans="1:4" x14ac:dyDescent="0.25">
      <c r="A1151" s="2" t="s">
        <v>5916</v>
      </c>
      <c r="B1151" s="2" t="s">
        <v>2921</v>
      </c>
      <c r="C1151" s="2" t="str">
        <f t="shared" si="17"/>
        <v>TX0052973_001</v>
      </c>
      <c r="D1151" s="2" t="s">
        <v>3547</v>
      </c>
    </row>
    <row r="1152" spans="1:4" x14ac:dyDescent="0.25">
      <c r="A1152" s="2" t="s">
        <v>5917</v>
      </c>
      <c r="B1152" s="2" t="s">
        <v>2921</v>
      </c>
      <c r="C1152" s="2" t="str">
        <f t="shared" si="17"/>
        <v>TX0052981_001</v>
      </c>
      <c r="D1152" s="2" t="s">
        <v>3548</v>
      </c>
    </row>
    <row r="1153" spans="1:4" x14ac:dyDescent="0.25">
      <c r="A1153" s="2" t="s">
        <v>5918</v>
      </c>
      <c r="B1153" s="2" t="s">
        <v>2921</v>
      </c>
      <c r="C1153" s="2" t="str">
        <f t="shared" si="17"/>
        <v>TX0052990_001</v>
      </c>
      <c r="D1153" s="2" t="s">
        <v>3549</v>
      </c>
    </row>
    <row r="1154" spans="1:4" x14ac:dyDescent="0.25">
      <c r="A1154" s="2" t="s">
        <v>5919</v>
      </c>
      <c r="B1154" s="2" t="s">
        <v>2921</v>
      </c>
      <c r="C1154" s="2" t="str">
        <f t="shared" si="17"/>
        <v>TX0053023_001</v>
      </c>
      <c r="D1154" s="2" t="s">
        <v>3550</v>
      </c>
    </row>
    <row r="1155" spans="1:4" x14ac:dyDescent="0.25">
      <c r="A1155" s="2" t="s">
        <v>5919</v>
      </c>
      <c r="B1155" s="2" t="s">
        <v>2923</v>
      </c>
      <c r="C1155" s="2" t="str">
        <f t="shared" ref="C1155:C1218" si="18">A1155 &amp; "_" &amp; B1155</f>
        <v>TX0053023_002</v>
      </c>
      <c r="D1155" s="2" t="s">
        <v>3550</v>
      </c>
    </row>
    <row r="1156" spans="1:4" x14ac:dyDescent="0.25">
      <c r="A1156" s="2" t="s">
        <v>5919</v>
      </c>
      <c r="B1156" s="2" t="s">
        <v>2924</v>
      </c>
      <c r="C1156" s="2" t="str">
        <f t="shared" si="18"/>
        <v>TX0053023_003</v>
      </c>
      <c r="D1156" s="2" t="s">
        <v>3550</v>
      </c>
    </row>
    <row r="1157" spans="1:4" x14ac:dyDescent="0.25">
      <c r="A1157" s="2" t="s">
        <v>5919</v>
      </c>
      <c r="B1157" s="2" t="s">
        <v>2936</v>
      </c>
      <c r="C1157" s="2" t="str">
        <f t="shared" si="18"/>
        <v>TX0053023_004</v>
      </c>
      <c r="D1157" s="2" t="s">
        <v>3550</v>
      </c>
    </row>
    <row r="1158" spans="1:4" x14ac:dyDescent="0.25">
      <c r="A1158" s="2" t="s">
        <v>5920</v>
      </c>
      <c r="B1158" s="2" t="s">
        <v>2921</v>
      </c>
      <c r="C1158" s="2" t="str">
        <f t="shared" si="18"/>
        <v>TX0053066_001</v>
      </c>
      <c r="D1158" s="2" t="s">
        <v>3551</v>
      </c>
    </row>
    <row r="1159" spans="1:4" x14ac:dyDescent="0.25">
      <c r="A1159" s="2" t="s">
        <v>5921</v>
      </c>
      <c r="B1159" s="2" t="s">
        <v>2921</v>
      </c>
      <c r="C1159" s="2" t="str">
        <f t="shared" si="18"/>
        <v>TX0053074_001</v>
      </c>
      <c r="D1159" s="2" t="s">
        <v>3257</v>
      </c>
    </row>
    <row r="1160" spans="1:4" x14ac:dyDescent="0.25">
      <c r="A1160" s="2" t="s">
        <v>5922</v>
      </c>
      <c r="B1160" s="2" t="s">
        <v>2921</v>
      </c>
      <c r="C1160" s="2" t="str">
        <f t="shared" si="18"/>
        <v>TX0053091_001</v>
      </c>
      <c r="D1160" s="2" t="s">
        <v>3552</v>
      </c>
    </row>
    <row r="1161" spans="1:4" x14ac:dyDescent="0.25">
      <c r="A1161" s="2" t="s">
        <v>5923</v>
      </c>
      <c r="B1161" s="2" t="s">
        <v>2921</v>
      </c>
      <c r="C1161" s="2" t="str">
        <f t="shared" si="18"/>
        <v>TX0053112_001</v>
      </c>
      <c r="D1161" s="2" t="s">
        <v>3553</v>
      </c>
    </row>
    <row r="1162" spans="1:4" x14ac:dyDescent="0.25">
      <c r="A1162" s="2" t="s">
        <v>5924</v>
      </c>
      <c r="B1162" s="2" t="s">
        <v>2921</v>
      </c>
      <c r="C1162" s="2" t="str">
        <f t="shared" si="18"/>
        <v>TX0053287_001</v>
      </c>
      <c r="D1162" s="2" t="s">
        <v>3554</v>
      </c>
    </row>
    <row r="1163" spans="1:4" x14ac:dyDescent="0.25">
      <c r="A1163" s="2" t="s">
        <v>5925</v>
      </c>
      <c r="B1163" s="2" t="s">
        <v>2921</v>
      </c>
      <c r="C1163" s="2" t="str">
        <f t="shared" si="18"/>
        <v>TX0053295_001</v>
      </c>
      <c r="D1163" s="2" t="s">
        <v>3555</v>
      </c>
    </row>
    <row r="1164" spans="1:4" x14ac:dyDescent="0.25">
      <c r="A1164" s="2" t="s">
        <v>5926</v>
      </c>
      <c r="B1164" s="2" t="s">
        <v>2921</v>
      </c>
      <c r="C1164" s="2" t="str">
        <f t="shared" si="18"/>
        <v>TX0053317_001</v>
      </c>
      <c r="D1164" s="2" t="s">
        <v>3556</v>
      </c>
    </row>
    <row r="1165" spans="1:4" x14ac:dyDescent="0.25">
      <c r="A1165" s="2" t="s">
        <v>5927</v>
      </c>
      <c r="B1165" s="2" t="s">
        <v>2921</v>
      </c>
      <c r="C1165" s="2" t="str">
        <f t="shared" si="18"/>
        <v>TX0053325_001</v>
      </c>
      <c r="D1165" s="2" t="s">
        <v>3557</v>
      </c>
    </row>
    <row r="1166" spans="1:4" x14ac:dyDescent="0.25">
      <c r="A1166" s="2" t="s">
        <v>5928</v>
      </c>
      <c r="B1166" s="2" t="s">
        <v>2921</v>
      </c>
      <c r="C1166" s="2" t="str">
        <f t="shared" si="18"/>
        <v>TX0053368_001</v>
      </c>
      <c r="D1166" s="2" t="s">
        <v>3558</v>
      </c>
    </row>
    <row r="1167" spans="1:4" x14ac:dyDescent="0.25">
      <c r="A1167" s="2" t="s">
        <v>5929</v>
      </c>
      <c r="B1167" s="2" t="s">
        <v>2921</v>
      </c>
      <c r="C1167" s="2" t="str">
        <f t="shared" si="18"/>
        <v>TX0053376_001</v>
      </c>
      <c r="D1167" s="2" t="s">
        <v>3559</v>
      </c>
    </row>
    <row r="1168" spans="1:4" x14ac:dyDescent="0.25">
      <c r="A1168" s="2" t="s">
        <v>5930</v>
      </c>
      <c r="B1168" s="2" t="s">
        <v>2921</v>
      </c>
      <c r="C1168" s="2" t="str">
        <f t="shared" si="18"/>
        <v>TX0053392_001</v>
      </c>
      <c r="D1168" s="2" t="s">
        <v>3560</v>
      </c>
    </row>
    <row r="1169" spans="1:4" x14ac:dyDescent="0.25">
      <c r="A1169" s="2" t="s">
        <v>5931</v>
      </c>
      <c r="B1169" s="2" t="s">
        <v>2921</v>
      </c>
      <c r="C1169" s="2" t="str">
        <f t="shared" si="18"/>
        <v>TX0053422_001</v>
      </c>
      <c r="D1169" s="2" t="s">
        <v>3561</v>
      </c>
    </row>
    <row r="1170" spans="1:4" x14ac:dyDescent="0.25">
      <c r="A1170" s="2" t="s">
        <v>5932</v>
      </c>
      <c r="B1170" s="2" t="s">
        <v>2921</v>
      </c>
      <c r="C1170" s="2" t="str">
        <f t="shared" si="18"/>
        <v>TX0053449_001</v>
      </c>
      <c r="D1170" s="2" t="s">
        <v>3562</v>
      </c>
    </row>
    <row r="1171" spans="1:4" x14ac:dyDescent="0.25">
      <c r="A1171" s="2" t="s">
        <v>5933</v>
      </c>
      <c r="B1171" s="2" t="s">
        <v>2921</v>
      </c>
      <c r="C1171" s="2" t="str">
        <f t="shared" si="18"/>
        <v>TX0053465_001</v>
      </c>
      <c r="D1171" s="2" t="s">
        <v>3563</v>
      </c>
    </row>
    <row r="1172" spans="1:4" x14ac:dyDescent="0.25">
      <c r="A1172" s="2" t="s">
        <v>5934</v>
      </c>
      <c r="B1172" s="2" t="s">
        <v>2921</v>
      </c>
      <c r="C1172" s="2" t="str">
        <f t="shared" si="18"/>
        <v>TX0053473_001</v>
      </c>
      <c r="D1172" s="2" t="s">
        <v>3564</v>
      </c>
    </row>
    <row r="1173" spans="1:4" x14ac:dyDescent="0.25">
      <c r="A1173" s="2" t="s">
        <v>5935</v>
      </c>
      <c r="B1173" s="2" t="s">
        <v>2921</v>
      </c>
      <c r="C1173" s="2" t="str">
        <f t="shared" si="18"/>
        <v>TX0053481_001</v>
      </c>
      <c r="D1173" s="2" t="s">
        <v>3564</v>
      </c>
    </row>
    <row r="1174" spans="1:4" x14ac:dyDescent="0.25">
      <c r="A1174" s="2" t="s">
        <v>5936</v>
      </c>
      <c r="B1174" s="2" t="s">
        <v>2921</v>
      </c>
      <c r="C1174" s="2" t="str">
        <f t="shared" si="18"/>
        <v>TX0053503_001</v>
      </c>
      <c r="D1174" s="2" t="s">
        <v>3565</v>
      </c>
    </row>
    <row r="1175" spans="1:4" x14ac:dyDescent="0.25">
      <c r="A1175" s="2" t="s">
        <v>5937</v>
      </c>
      <c r="B1175" s="2" t="s">
        <v>2921</v>
      </c>
      <c r="C1175" s="2" t="str">
        <f t="shared" si="18"/>
        <v>TX0053511_001</v>
      </c>
      <c r="D1175" s="2" t="s">
        <v>3566</v>
      </c>
    </row>
    <row r="1176" spans="1:4" x14ac:dyDescent="0.25">
      <c r="A1176" s="2" t="s">
        <v>5938</v>
      </c>
      <c r="B1176" s="2" t="s">
        <v>2921</v>
      </c>
      <c r="C1176" s="2" t="str">
        <f t="shared" si="18"/>
        <v>TX0053520_001</v>
      </c>
      <c r="D1176" s="2" t="s">
        <v>3567</v>
      </c>
    </row>
    <row r="1177" spans="1:4" x14ac:dyDescent="0.25">
      <c r="A1177" s="2" t="s">
        <v>5939</v>
      </c>
      <c r="B1177" s="2" t="s">
        <v>2921</v>
      </c>
      <c r="C1177" s="2" t="str">
        <f t="shared" si="18"/>
        <v>TX0053538_001</v>
      </c>
      <c r="D1177" s="2" t="s">
        <v>3568</v>
      </c>
    </row>
    <row r="1178" spans="1:4" x14ac:dyDescent="0.25">
      <c r="A1178" s="2" t="s">
        <v>5940</v>
      </c>
      <c r="B1178" s="2" t="s">
        <v>2921</v>
      </c>
      <c r="C1178" s="2" t="str">
        <f t="shared" si="18"/>
        <v>TX0053562_001</v>
      </c>
      <c r="D1178" s="2" t="s">
        <v>3569</v>
      </c>
    </row>
    <row r="1179" spans="1:4" x14ac:dyDescent="0.25">
      <c r="A1179" s="2" t="s">
        <v>5941</v>
      </c>
      <c r="B1179" s="2" t="s">
        <v>2921</v>
      </c>
      <c r="C1179" s="2" t="str">
        <f t="shared" si="18"/>
        <v>TX0053571_001</v>
      </c>
      <c r="D1179" s="2" t="s">
        <v>3570</v>
      </c>
    </row>
    <row r="1180" spans="1:4" x14ac:dyDescent="0.25">
      <c r="A1180" s="2" t="s">
        <v>5942</v>
      </c>
      <c r="B1180" s="2" t="s">
        <v>2921</v>
      </c>
      <c r="C1180" s="2" t="str">
        <f t="shared" si="18"/>
        <v>TX0053627_001</v>
      </c>
      <c r="D1180" s="2" t="s">
        <v>3571</v>
      </c>
    </row>
    <row r="1181" spans="1:4" x14ac:dyDescent="0.25">
      <c r="A1181" s="2" t="s">
        <v>5943</v>
      </c>
      <c r="B1181" s="2" t="s">
        <v>2921</v>
      </c>
      <c r="C1181" s="2" t="str">
        <f t="shared" si="18"/>
        <v>TX0053643_001</v>
      </c>
      <c r="D1181" s="2" t="s">
        <v>3572</v>
      </c>
    </row>
    <row r="1182" spans="1:4" x14ac:dyDescent="0.25">
      <c r="A1182" s="2" t="s">
        <v>5944</v>
      </c>
      <c r="B1182" s="2" t="s">
        <v>2921</v>
      </c>
      <c r="C1182" s="2" t="str">
        <f t="shared" si="18"/>
        <v>TX0053651_001</v>
      </c>
      <c r="D1182" s="2" t="s">
        <v>3573</v>
      </c>
    </row>
    <row r="1183" spans="1:4" x14ac:dyDescent="0.25">
      <c r="A1183" s="2" t="s">
        <v>5945</v>
      </c>
      <c r="B1183" s="2" t="s">
        <v>2921</v>
      </c>
      <c r="C1183" s="2" t="str">
        <f t="shared" si="18"/>
        <v>TX0053678_001</v>
      </c>
      <c r="D1183" s="2" t="s">
        <v>3574</v>
      </c>
    </row>
    <row r="1184" spans="1:4" x14ac:dyDescent="0.25">
      <c r="A1184" s="2" t="s">
        <v>5946</v>
      </c>
      <c r="B1184" s="2" t="s">
        <v>2921</v>
      </c>
      <c r="C1184" s="2" t="str">
        <f t="shared" si="18"/>
        <v>TX0053716_001</v>
      </c>
      <c r="D1184" s="2" t="s">
        <v>3575</v>
      </c>
    </row>
    <row r="1185" spans="1:4" x14ac:dyDescent="0.25">
      <c r="A1185" s="2" t="s">
        <v>5947</v>
      </c>
      <c r="B1185" s="2" t="s">
        <v>2921</v>
      </c>
      <c r="C1185" s="2" t="str">
        <f t="shared" si="18"/>
        <v>TX0053783_001</v>
      </c>
      <c r="D1185" s="2" t="s">
        <v>3576</v>
      </c>
    </row>
    <row r="1186" spans="1:4" x14ac:dyDescent="0.25">
      <c r="A1186" s="2" t="s">
        <v>5948</v>
      </c>
      <c r="B1186" s="2" t="s">
        <v>2921</v>
      </c>
      <c r="C1186" s="2" t="str">
        <f t="shared" si="18"/>
        <v>TX0053813_001</v>
      </c>
      <c r="D1186" s="2" t="s">
        <v>3577</v>
      </c>
    </row>
    <row r="1187" spans="1:4" x14ac:dyDescent="0.25">
      <c r="A1187" s="2" t="s">
        <v>5948</v>
      </c>
      <c r="B1187" s="2" t="s">
        <v>2936</v>
      </c>
      <c r="C1187" s="2" t="str">
        <f t="shared" si="18"/>
        <v>TX0053813_004</v>
      </c>
      <c r="D1187" s="2" t="s">
        <v>3577</v>
      </c>
    </row>
    <row r="1188" spans="1:4" x14ac:dyDescent="0.25">
      <c r="A1188" s="2" t="s">
        <v>5948</v>
      </c>
      <c r="B1188" s="2" t="s">
        <v>2934</v>
      </c>
      <c r="C1188" s="2" t="str">
        <f t="shared" si="18"/>
        <v>TX0053813_005</v>
      </c>
      <c r="D1188" s="2" t="s">
        <v>3577</v>
      </c>
    </row>
    <row r="1189" spans="1:4" x14ac:dyDescent="0.25">
      <c r="A1189" s="2" t="s">
        <v>5948</v>
      </c>
      <c r="B1189" s="2" t="s">
        <v>2959</v>
      </c>
      <c r="C1189" s="2" t="str">
        <f t="shared" si="18"/>
        <v>TX0053813_007</v>
      </c>
      <c r="D1189" s="2" t="s">
        <v>3577</v>
      </c>
    </row>
    <row r="1190" spans="1:4" x14ac:dyDescent="0.25">
      <c r="A1190" s="2" t="s">
        <v>5948</v>
      </c>
      <c r="B1190" s="2" t="s">
        <v>2946</v>
      </c>
      <c r="C1190" s="2" t="str">
        <f t="shared" si="18"/>
        <v>TX0053813_008</v>
      </c>
      <c r="D1190" s="2" t="s">
        <v>3577</v>
      </c>
    </row>
    <row r="1191" spans="1:4" x14ac:dyDescent="0.25">
      <c r="A1191" s="2" t="s">
        <v>5948</v>
      </c>
      <c r="B1191" s="2" t="s">
        <v>2924</v>
      </c>
      <c r="C1191" s="2" t="str">
        <f t="shared" si="18"/>
        <v>TX0053813_003</v>
      </c>
      <c r="D1191" s="2" t="s">
        <v>3577</v>
      </c>
    </row>
    <row r="1192" spans="1:4" x14ac:dyDescent="0.25">
      <c r="A1192" s="2" t="s">
        <v>5948</v>
      </c>
      <c r="B1192" s="2" t="s">
        <v>2923</v>
      </c>
      <c r="C1192" s="2" t="str">
        <f t="shared" si="18"/>
        <v>TX0053813_002</v>
      </c>
      <c r="D1192" s="2" t="s">
        <v>3577</v>
      </c>
    </row>
    <row r="1193" spans="1:4" x14ac:dyDescent="0.25">
      <c r="A1193" s="2" t="s">
        <v>5948</v>
      </c>
      <c r="B1193" s="2" t="s">
        <v>2940</v>
      </c>
      <c r="C1193" s="2" t="str">
        <f t="shared" si="18"/>
        <v>TX0053813_006</v>
      </c>
      <c r="D1193" s="2" t="s">
        <v>3577</v>
      </c>
    </row>
    <row r="1194" spans="1:4" x14ac:dyDescent="0.25">
      <c r="A1194" s="2" t="s">
        <v>5949</v>
      </c>
      <c r="B1194" s="2" t="s">
        <v>2921</v>
      </c>
      <c r="C1194" s="2" t="str">
        <f t="shared" si="18"/>
        <v>TX0053830_001</v>
      </c>
      <c r="D1194" s="2" t="s">
        <v>3519</v>
      </c>
    </row>
    <row r="1195" spans="1:4" x14ac:dyDescent="0.25">
      <c r="A1195" s="2" t="s">
        <v>5950</v>
      </c>
      <c r="B1195" s="2" t="s">
        <v>2921</v>
      </c>
      <c r="C1195" s="2" t="str">
        <f t="shared" si="18"/>
        <v>TX0053872_001</v>
      </c>
      <c r="D1195" s="2" t="s">
        <v>3578</v>
      </c>
    </row>
    <row r="1196" spans="1:4" x14ac:dyDescent="0.25">
      <c r="A1196" s="2" t="s">
        <v>5951</v>
      </c>
      <c r="B1196" s="2" t="s">
        <v>2921</v>
      </c>
      <c r="C1196" s="2" t="str">
        <f t="shared" si="18"/>
        <v>TX0053937_001</v>
      </c>
      <c r="D1196" s="2" t="s">
        <v>3579</v>
      </c>
    </row>
    <row r="1197" spans="1:4" x14ac:dyDescent="0.25">
      <c r="A1197" s="2" t="s">
        <v>5952</v>
      </c>
      <c r="B1197" s="2" t="s">
        <v>2921</v>
      </c>
      <c r="C1197" s="2" t="str">
        <f t="shared" si="18"/>
        <v>TX0053945_001</v>
      </c>
      <c r="D1197" s="2" t="s">
        <v>3580</v>
      </c>
    </row>
    <row r="1198" spans="1:4" x14ac:dyDescent="0.25">
      <c r="A1198" s="2" t="s">
        <v>5953</v>
      </c>
      <c r="B1198" s="2" t="s">
        <v>2921</v>
      </c>
      <c r="C1198" s="2" t="str">
        <f t="shared" si="18"/>
        <v>TX0053961_001</v>
      </c>
      <c r="D1198" s="2" t="s">
        <v>3581</v>
      </c>
    </row>
    <row r="1199" spans="1:4" x14ac:dyDescent="0.25">
      <c r="A1199" s="2" t="s">
        <v>5954</v>
      </c>
      <c r="B1199" s="2" t="s">
        <v>2921</v>
      </c>
      <c r="C1199" s="2" t="str">
        <f t="shared" si="18"/>
        <v>TX0053970_001</v>
      </c>
      <c r="D1199" s="2" t="s">
        <v>3582</v>
      </c>
    </row>
    <row r="1200" spans="1:4" x14ac:dyDescent="0.25">
      <c r="A1200" s="2" t="s">
        <v>5955</v>
      </c>
      <c r="B1200" s="2" t="s">
        <v>2921</v>
      </c>
      <c r="C1200" s="2" t="str">
        <f t="shared" si="18"/>
        <v>TX0054020_001</v>
      </c>
      <c r="D1200" s="2" t="s">
        <v>3583</v>
      </c>
    </row>
    <row r="1201" spans="1:4" x14ac:dyDescent="0.25">
      <c r="A1201" s="2" t="s">
        <v>5956</v>
      </c>
      <c r="B1201" s="2" t="s">
        <v>2921</v>
      </c>
      <c r="C1201" s="2" t="str">
        <f t="shared" si="18"/>
        <v>TX0054038_001</v>
      </c>
      <c r="D1201" s="2" t="s">
        <v>3584</v>
      </c>
    </row>
    <row r="1202" spans="1:4" x14ac:dyDescent="0.25">
      <c r="A1202" s="2" t="s">
        <v>5957</v>
      </c>
      <c r="B1202" s="2" t="s">
        <v>2921</v>
      </c>
      <c r="C1202" s="2" t="str">
        <f t="shared" si="18"/>
        <v>TX0054071_001</v>
      </c>
      <c r="D1202" s="2" t="s">
        <v>3585</v>
      </c>
    </row>
    <row r="1203" spans="1:4" x14ac:dyDescent="0.25">
      <c r="A1203" s="2" t="s">
        <v>5958</v>
      </c>
      <c r="B1203" s="2" t="s">
        <v>2921</v>
      </c>
      <c r="C1203" s="2" t="str">
        <f t="shared" si="18"/>
        <v>TX0054101_001</v>
      </c>
      <c r="D1203" s="2" t="s">
        <v>3586</v>
      </c>
    </row>
    <row r="1204" spans="1:4" x14ac:dyDescent="0.25">
      <c r="A1204" s="2" t="s">
        <v>5959</v>
      </c>
      <c r="B1204" s="2" t="s">
        <v>2921</v>
      </c>
      <c r="C1204" s="2" t="str">
        <f t="shared" si="18"/>
        <v>TX0054127_001</v>
      </c>
      <c r="D1204" s="2" t="s">
        <v>3587</v>
      </c>
    </row>
    <row r="1205" spans="1:4" x14ac:dyDescent="0.25">
      <c r="A1205" s="2" t="s">
        <v>5960</v>
      </c>
      <c r="B1205" s="2" t="s">
        <v>2921</v>
      </c>
      <c r="C1205" s="2" t="str">
        <f t="shared" si="18"/>
        <v>TX0054151_001</v>
      </c>
      <c r="D1205" s="2" t="s">
        <v>3588</v>
      </c>
    </row>
    <row r="1206" spans="1:4" x14ac:dyDescent="0.25">
      <c r="A1206" s="2" t="s">
        <v>5961</v>
      </c>
      <c r="B1206" s="2" t="s">
        <v>2921</v>
      </c>
      <c r="C1206" s="2" t="str">
        <f t="shared" si="18"/>
        <v>TX0054178_001</v>
      </c>
      <c r="D1206" s="2" t="s">
        <v>3589</v>
      </c>
    </row>
    <row r="1207" spans="1:4" x14ac:dyDescent="0.25">
      <c r="A1207" s="2" t="s">
        <v>5962</v>
      </c>
      <c r="B1207" s="2" t="s">
        <v>2923</v>
      </c>
      <c r="C1207" s="2" t="str">
        <f t="shared" si="18"/>
        <v>TX0054186_002</v>
      </c>
      <c r="D1207" s="2" t="s">
        <v>3590</v>
      </c>
    </row>
    <row r="1208" spans="1:4" x14ac:dyDescent="0.25">
      <c r="A1208" s="2" t="s">
        <v>5962</v>
      </c>
      <c r="B1208" s="2" t="s">
        <v>2921</v>
      </c>
      <c r="C1208" s="2" t="str">
        <f t="shared" si="18"/>
        <v>TX0054186_001</v>
      </c>
      <c r="D1208" s="2" t="s">
        <v>3590</v>
      </c>
    </row>
    <row r="1209" spans="1:4" x14ac:dyDescent="0.25">
      <c r="A1209" s="2" t="s">
        <v>5963</v>
      </c>
      <c r="B1209" s="2" t="s">
        <v>2921</v>
      </c>
      <c r="C1209" s="2" t="str">
        <f t="shared" si="18"/>
        <v>TX0054194_001</v>
      </c>
      <c r="D1209" s="2" t="s">
        <v>3591</v>
      </c>
    </row>
    <row r="1210" spans="1:4" x14ac:dyDescent="0.25">
      <c r="A1210" s="2" t="s">
        <v>5964</v>
      </c>
      <c r="B1210" s="2" t="s">
        <v>2921</v>
      </c>
      <c r="C1210" s="2" t="str">
        <f t="shared" si="18"/>
        <v>TX0054208_001</v>
      </c>
      <c r="D1210" s="2" t="s">
        <v>3592</v>
      </c>
    </row>
    <row r="1211" spans="1:4" x14ac:dyDescent="0.25">
      <c r="A1211" s="2" t="s">
        <v>5965</v>
      </c>
      <c r="B1211" s="2" t="s">
        <v>2921</v>
      </c>
      <c r="C1211" s="2" t="str">
        <f t="shared" si="18"/>
        <v>TX0054232_001</v>
      </c>
      <c r="D1211" s="2" t="s">
        <v>3593</v>
      </c>
    </row>
    <row r="1212" spans="1:4" x14ac:dyDescent="0.25">
      <c r="A1212" s="2" t="s">
        <v>5966</v>
      </c>
      <c r="B1212" s="2" t="s">
        <v>2921</v>
      </c>
      <c r="C1212" s="2" t="str">
        <f t="shared" si="18"/>
        <v>TX0054348_001</v>
      </c>
      <c r="D1212" s="2" t="s">
        <v>3594</v>
      </c>
    </row>
    <row r="1213" spans="1:4" x14ac:dyDescent="0.25">
      <c r="A1213" s="2" t="s">
        <v>5967</v>
      </c>
      <c r="B1213" s="2" t="s">
        <v>2921</v>
      </c>
      <c r="C1213" s="2" t="str">
        <f t="shared" si="18"/>
        <v>TX0054364_001</v>
      </c>
      <c r="D1213" s="2" t="s">
        <v>3595</v>
      </c>
    </row>
    <row r="1214" spans="1:4" x14ac:dyDescent="0.25">
      <c r="A1214" s="2" t="s">
        <v>5968</v>
      </c>
      <c r="B1214" s="2" t="s">
        <v>2921</v>
      </c>
      <c r="C1214" s="2" t="str">
        <f t="shared" si="18"/>
        <v>TX0054399_001</v>
      </c>
      <c r="D1214" s="2" t="s">
        <v>3596</v>
      </c>
    </row>
    <row r="1215" spans="1:4" x14ac:dyDescent="0.25">
      <c r="A1215" s="2" t="s">
        <v>5969</v>
      </c>
      <c r="B1215" s="2" t="s">
        <v>2921</v>
      </c>
      <c r="C1215" s="2" t="str">
        <f t="shared" si="18"/>
        <v>TX0054429_001</v>
      </c>
      <c r="D1215" s="2" t="s">
        <v>3597</v>
      </c>
    </row>
    <row r="1216" spans="1:4" x14ac:dyDescent="0.25">
      <c r="A1216" s="2" t="s">
        <v>5970</v>
      </c>
      <c r="B1216" s="2" t="s">
        <v>2921</v>
      </c>
      <c r="C1216" s="2" t="str">
        <f t="shared" si="18"/>
        <v>TX0054445_001</v>
      </c>
      <c r="D1216" s="2" t="s">
        <v>3598</v>
      </c>
    </row>
    <row r="1217" spans="1:4" x14ac:dyDescent="0.25">
      <c r="A1217" s="2" t="s">
        <v>5971</v>
      </c>
      <c r="B1217" s="2" t="s">
        <v>2921</v>
      </c>
      <c r="C1217" s="2" t="str">
        <f t="shared" si="18"/>
        <v>TX0054500_001</v>
      </c>
      <c r="D1217" s="2" t="s">
        <v>2925</v>
      </c>
    </row>
    <row r="1218" spans="1:4" x14ac:dyDescent="0.25">
      <c r="A1218" s="2" t="s">
        <v>5972</v>
      </c>
      <c r="B1218" s="2" t="s">
        <v>2921</v>
      </c>
      <c r="C1218" s="2" t="str">
        <f t="shared" si="18"/>
        <v>TX0054518_001</v>
      </c>
      <c r="D1218" s="2" t="s">
        <v>3599</v>
      </c>
    </row>
    <row r="1219" spans="1:4" x14ac:dyDescent="0.25">
      <c r="A1219" s="2" t="s">
        <v>5973</v>
      </c>
      <c r="B1219" s="2" t="s">
        <v>2921</v>
      </c>
      <c r="C1219" s="2" t="str">
        <f t="shared" ref="C1219:C1282" si="19">A1219 &amp; "_" &amp; B1219</f>
        <v>TX0054551_001</v>
      </c>
      <c r="D1219" s="2" t="s">
        <v>3600</v>
      </c>
    </row>
    <row r="1220" spans="1:4" x14ac:dyDescent="0.25">
      <c r="A1220" s="2" t="s">
        <v>5974</v>
      </c>
      <c r="B1220" s="2" t="s">
        <v>2921</v>
      </c>
      <c r="C1220" s="2" t="str">
        <f t="shared" si="19"/>
        <v>TX0054585_001</v>
      </c>
      <c r="D1220" s="2" t="s">
        <v>3601</v>
      </c>
    </row>
    <row r="1221" spans="1:4" x14ac:dyDescent="0.25">
      <c r="A1221" s="2" t="s">
        <v>5975</v>
      </c>
      <c r="B1221" s="2" t="s">
        <v>2921</v>
      </c>
      <c r="C1221" s="2" t="str">
        <f t="shared" si="19"/>
        <v>TX0054623_001</v>
      </c>
      <c r="D1221" s="2" t="s">
        <v>3602</v>
      </c>
    </row>
    <row r="1222" spans="1:4" x14ac:dyDescent="0.25">
      <c r="A1222" s="2" t="s">
        <v>5975</v>
      </c>
      <c r="B1222" s="2" t="s">
        <v>2924</v>
      </c>
      <c r="C1222" s="2" t="str">
        <f t="shared" si="19"/>
        <v>TX0054623_003</v>
      </c>
      <c r="D1222" s="2" t="s">
        <v>3602</v>
      </c>
    </row>
    <row r="1223" spans="1:4" x14ac:dyDescent="0.25">
      <c r="A1223" s="2" t="s">
        <v>5976</v>
      </c>
      <c r="B1223" s="2" t="s">
        <v>2921</v>
      </c>
      <c r="C1223" s="2" t="str">
        <f t="shared" si="19"/>
        <v>TX0054631_001</v>
      </c>
      <c r="D1223" s="2" t="s">
        <v>3603</v>
      </c>
    </row>
    <row r="1224" spans="1:4" x14ac:dyDescent="0.25">
      <c r="A1224" s="2" t="s">
        <v>5977</v>
      </c>
      <c r="B1224" s="2" t="s">
        <v>2921</v>
      </c>
      <c r="C1224" s="2" t="str">
        <f t="shared" si="19"/>
        <v>TX0054658_001</v>
      </c>
      <c r="D1224" s="2" t="s">
        <v>3604</v>
      </c>
    </row>
    <row r="1225" spans="1:4" x14ac:dyDescent="0.25">
      <c r="A1225" s="2" t="s">
        <v>5978</v>
      </c>
      <c r="B1225" s="2" t="s">
        <v>2921</v>
      </c>
      <c r="C1225" s="2" t="str">
        <f t="shared" si="19"/>
        <v>TX0054666_001</v>
      </c>
      <c r="D1225" s="2" t="s">
        <v>3605</v>
      </c>
    </row>
    <row r="1226" spans="1:4" x14ac:dyDescent="0.25">
      <c r="A1226" s="2" t="s">
        <v>5979</v>
      </c>
      <c r="B1226" s="2" t="s">
        <v>2921</v>
      </c>
      <c r="C1226" s="2" t="str">
        <f t="shared" si="19"/>
        <v>TX0054771_001</v>
      </c>
      <c r="D1226" s="2" t="s">
        <v>3606</v>
      </c>
    </row>
    <row r="1227" spans="1:4" x14ac:dyDescent="0.25">
      <c r="A1227" s="2" t="s">
        <v>5980</v>
      </c>
      <c r="B1227" s="2" t="s">
        <v>2921</v>
      </c>
      <c r="C1227" s="2" t="str">
        <f t="shared" si="19"/>
        <v>TX0054780_001</v>
      </c>
      <c r="D1227" s="2" t="s">
        <v>3607</v>
      </c>
    </row>
    <row r="1228" spans="1:4" x14ac:dyDescent="0.25">
      <c r="A1228" s="2" t="s">
        <v>5981</v>
      </c>
      <c r="B1228" s="2" t="s">
        <v>2921</v>
      </c>
      <c r="C1228" s="2" t="str">
        <f t="shared" si="19"/>
        <v>TX0054801_001</v>
      </c>
      <c r="D1228" s="2" t="s">
        <v>3608</v>
      </c>
    </row>
    <row r="1229" spans="1:4" x14ac:dyDescent="0.25">
      <c r="A1229" s="2" t="s">
        <v>5982</v>
      </c>
      <c r="B1229" s="2" t="s">
        <v>2921</v>
      </c>
      <c r="C1229" s="2" t="str">
        <f t="shared" si="19"/>
        <v>TX0054810_001</v>
      </c>
      <c r="D1229" s="2" t="s">
        <v>3609</v>
      </c>
    </row>
    <row r="1230" spans="1:4" x14ac:dyDescent="0.25">
      <c r="A1230" s="2" t="s">
        <v>5983</v>
      </c>
      <c r="B1230" s="2" t="s">
        <v>2921</v>
      </c>
      <c r="C1230" s="2" t="str">
        <f t="shared" si="19"/>
        <v>TX0054844_001</v>
      </c>
      <c r="D1230" s="2" t="s">
        <v>3610</v>
      </c>
    </row>
    <row r="1231" spans="1:4" x14ac:dyDescent="0.25">
      <c r="A1231" s="2" t="s">
        <v>5984</v>
      </c>
      <c r="B1231" s="2" t="s">
        <v>2921</v>
      </c>
      <c r="C1231" s="2" t="str">
        <f t="shared" si="19"/>
        <v>TX0054917_001</v>
      </c>
      <c r="D1231" s="2" t="s">
        <v>3109</v>
      </c>
    </row>
    <row r="1232" spans="1:4" x14ac:dyDescent="0.25">
      <c r="A1232" s="2" t="s">
        <v>5985</v>
      </c>
      <c r="B1232" s="2" t="s">
        <v>2921</v>
      </c>
      <c r="C1232" s="2" t="str">
        <f t="shared" si="19"/>
        <v>TX0054976_001</v>
      </c>
      <c r="D1232" s="2" t="s">
        <v>3611</v>
      </c>
    </row>
    <row r="1233" spans="1:4" x14ac:dyDescent="0.25">
      <c r="A1233" s="2" t="s">
        <v>5986</v>
      </c>
      <c r="B1233" s="2" t="s">
        <v>2921</v>
      </c>
      <c r="C1233" s="2" t="str">
        <f t="shared" si="19"/>
        <v>TX0055077_001</v>
      </c>
      <c r="D1233" s="2" t="s">
        <v>3612</v>
      </c>
    </row>
    <row r="1234" spans="1:4" x14ac:dyDescent="0.25">
      <c r="A1234" s="2" t="s">
        <v>5987</v>
      </c>
      <c r="B1234" s="2" t="s">
        <v>2921</v>
      </c>
      <c r="C1234" s="2" t="str">
        <f t="shared" si="19"/>
        <v>TX0055123_001</v>
      </c>
      <c r="D1234" s="2" t="s">
        <v>3613</v>
      </c>
    </row>
    <row r="1235" spans="1:4" x14ac:dyDescent="0.25">
      <c r="A1235" s="2" t="s">
        <v>5988</v>
      </c>
      <c r="B1235" s="2" t="s">
        <v>2921</v>
      </c>
      <c r="C1235" s="2" t="str">
        <f t="shared" si="19"/>
        <v>TX0055166_001</v>
      </c>
      <c r="D1235" s="2" t="s">
        <v>3614</v>
      </c>
    </row>
    <row r="1236" spans="1:4" x14ac:dyDescent="0.25">
      <c r="A1236" s="2" t="s">
        <v>5989</v>
      </c>
      <c r="B1236" s="2" t="s">
        <v>2921</v>
      </c>
      <c r="C1236" s="2" t="str">
        <f t="shared" si="19"/>
        <v>TX0055212_001</v>
      </c>
      <c r="D1236" s="2" t="s">
        <v>3615</v>
      </c>
    </row>
    <row r="1237" spans="1:4" x14ac:dyDescent="0.25">
      <c r="A1237" s="2" t="s">
        <v>5990</v>
      </c>
      <c r="B1237" s="2" t="s">
        <v>2921</v>
      </c>
      <c r="C1237" s="2" t="str">
        <f t="shared" si="19"/>
        <v>TX0055221_001</v>
      </c>
      <c r="D1237" s="2" t="s">
        <v>3616</v>
      </c>
    </row>
    <row r="1238" spans="1:4" x14ac:dyDescent="0.25">
      <c r="A1238" s="2" t="s">
        <v>5991</v>
      </c>
      <c r="B1238" s="2" t="s">
        <v>2921</v>
      </c>
      <c r="C1238" s="2" t="str">
        <f t="shared" si="19"/>
        <v>TX0055239_001</v>
      </c>
      <c r="D1238" s="2" t="s">
        <v>3617</v>
      </c>
    </row>
    <row r="1239" spans="1:4" x14ac:dyDescent="0.25">
      <c r="A1239" s="2" t="s">
        <v>5992</v>
      </c>
      <c r="B1239" s="2" t="s">
        <v>2921</v>
      </c>
      <c r="C1239" s="2" t="str">
        <f t="shared" si="19"/>
        <v>TX0055310_001</v>
      </c>
      <c r="D1239" s="2" t="s">
        <v>3110</v>
      </c>
    </row>
    <row r="1240" spans="1:4" x14ac:dyDescent="0.25">
      <c r="A1240" s="2" t="s">
        <v>5993</v>
      </c>
      <c r="B1240" s="2" t="s">
        <v>2921</v>
      </c>
      <c r="C1240" s="2" t="str">
        <f t="shared" si="19"/>
        <v>TX0055361_001</v>
      </c>
      <c r="D1240" s="2" t="s">
        <v>3618</v>
      </c>
    </row>
    <row r="1241" spans="1:4" x14ac:dyDescent="0.25">
      <c r="A1241" s="2" t="s">
        <v>5994</v>
      </c>
      <c r="B1241" s="2" t="s">
        <v>2921</v>
      </c>
      <c r="C1241" s="2" t="str">
        <f t="shared" si="19"/>
        <v>TX0055433_001</v>
      </c>
      <c r="D1241" s="2" t="s">
        <v>3619</v>
      </c>
    </row>
    <row r="1242" spans="1:4" x14ac:dyDescent="0.25">
      <c r="A1242" s="2" t="s">
        <v>5995</v>
      </c>
      <c r="B1242" s="2" t="s">
        <v>2921</v>
      </c>
      <c r="C1242" s="2" t="str">
        <f t="shared" si="19"/>
        <v>TX0055484_001</v>
      </c>
      <c r="D1242" s="2" t="s">
        <v>3620</v>
      </c>
    </row>
    <row r="1243" spans="1:4" x14ac:dyDescent="0.25">
      <c r="A1243" s="2" t="s">
        <v>5996</v>
      </c>
      <c r="B1243" s="2" t="s">
        <v>2921</v>
      </c>
      <c r="C1243" s="2" t="str">
        <f t="shared" si="19"/>
        <v>TX0055492_001</v>
      </c>
      <c r="D1243" s="2" t="s">
        <v>3621</v>
      </c>
    </row>
    <row r="1244" spans="1:4" x14ac:dyDescent="0.25">
      <c r="A1244" s="2" t="s">
        <v>5997</v>
      </c>
      <c r="B1244" s="2" t="s">
        <v>2921</v>
      </c>
      <c r="C1244" s="2" t="str">
        <f t="shared" si="19"/>
        <v>TX0055522_001</v>
      </c>
      <c r="D1244" s="2" t="s">
        <v>3622</v>
      </c>
    </row>
    <row r="1245" spans="1:4" x14ac:dyDescent="0.25">
      <c r="A1245" s="2" t="s">
        <v>5998</v>
      </c>
      <c r="B1245" s="2" t="s">
        <v>2921</v>
      </c>
      <c r="C1245" s="2" t="str">
        <f t="shared" si="19"/>
        <v>TX0055581_001</v>
      </c>
      <c r="D1245" s="2" t="s">
        <v>3623</v>
      </c>
    </row>
    <row r="1246" spans="1:4" x14ac:dyDescent="0.25">
      <c r="A1246" s="2" t="s">
        <v>5999</v>
      </c>
      <c r="B1246" s="2" t="s">
        <v>2921</v>
      </c>
      <c r="C1246" s="2" t="str">
        <f t="shared" si="19"/>
        <v>TX0055611_001</v>
      </c>
      <c r="D1246" s="2" t="s">
        <v>3624</v>
      </c>
    </row>
    <row r="1247" spans="1:4" x14ac:dyDescent="0.25">
      <c r="A1247" s="2" t="s">
        <v>6000</v>
      </c>
      <c r="B1247" s="2" t="s">
        <v>2921</v>
      </c>
      <c r="C1247" s="2" t="str">
        <f t="shared" si="19"/>
        <v>TX0055689_001</v>
      </c>
      <c r="D1247" s="2" t="s">
        <v>3538</v>
      </c>
    </row>
    <row r="1248" spans="1:4" x14ac:dyDescent="0.25">
      <c r="A1248" s="2" t="s">
        <v>6001</v>
      </c>
      <c r="B1248" s="2" t="s">
        <v>2921</v>
      </c>
      <c r="C1248" s="2" t="str">
        <f t="shared" si="19"/>
        <v>TX0055735_001</v>
      </c>
      <c r="D1248" s="2" t="s">
        <v>3625</v>
      </c>
    </row>
    <row r="1249" spans="1:4" x14ac:dyDescent="0.25">
      <c r="A1249" s="2" t="s">
        <v>6002</v>
      </c>
      <c r="B1249" s="2" t="s">
        <v>2921</v>
      </c>
      <c r="C1249" s="2" t="str">
        <f t="shared" si="19"/>
        <v>TX0056057_001</v>
      </c>
      <c r="D1249" s="2" t="s">
        <v>3626</v>
      </c>
    </row>
    <row r="1250" spans="1:4" x14ac:dyDescent="0.25">
      <c r="A1250" s="2" t="s">
        <v>6003</v>
      </c>
      <c r="B1250" s="2" t="s">
        <v>2921</v>
      </c>
      <c r="C1250" s="2" t="str">
        <f t="shared" si="19"/>
        <v>TX0056154_001</v>
      </c>
      <c r="D1250" s="2" t="s">
        <v>3627</v>
      </c>
    </row>
    <row r="1251" spans="1:4" x14ac:dyDescent="0.25">
      <c r="A1251" s="2" t="s">
        <v>6004</v>
      </c>
      <c r="B1251" s="2" t="s">
        <v>2921</v>
      </c>
      <c r="C1251" s="2" t="str">
        <f t="shared" si="19"/>
        <v>TX0056189_001</v>
      </c>
      <c r="D1251" s="2" t="s">
        <v>3628</v>
      </c>
    </row>
    <row r="1252" spans="1:4" x14ac:dyDescent="0.25">
      <c r="A1252" s="2" t="s">
        <v>6005</v>
      </c>
      <c r="B1252" s="2" t="s">
        <v>2921</v>
      </c>
      <c r="C1252" s="2" t="str">
        <f t="shared" si="19"/>
        <v>TX0056227_001</v>
      </c>
      <c r="D1252" s="2" t="s">
        <v>3629</v>
      </c>
    </row>
    <row r="1253" spans="1:4" x14ac:dyDescent="0.25">
      <c r="A1253" s="2" t="s">
        <v>6006</v>
      </c>
      <c r="B1253" s="2" t="s">
        <v>2921</v>
      </c>
      <c r="C1253" s="2" t="str">
        <f t="shared" si="19"/>
        <v>TX0056251_001</v>
      </c>
      <c r="D1253" s="2" t="s">
        <v>3630</v>
      </c>
    </row>
    <row r="1254" spans="1:4" x14ac:dyDescent="0.25">
      <c r="A1254" s="2" t="s">
        <v>6007</v>
      </c>
      <c r="B1254" s="2" t="s">
        <v>2921</v>
      </c>
      <c r="C1254" s="2" t="str">
        <f t="shared" si="19"/>
        <v>TX0056316_001</v>
      </c>
      <c r="D1254" s="2" t="s">
        <v>3631</v>
      </c>
    </row>
    <row r="1255" spans="1:4" x14ac:dyDescent="0.25">
      <c r="A1255" s="2" t="s">
        <v>6008</v>
      </c>
      <c r="B1255" s="2" t="s">
        <v>2921</v>
      </c>
      <c r="C1255" s="2" t="str">
        <f t="shared" si="19"/>
        <v>TX0056421_001</v>
      </c>
      <c r="D1255" s="2" t="s">
        <v>3632</v>
      </c>
    </row>
    <row r="1256" spans="1:4" x14ac:dyDescent="0.25">
      <c r="A1256" s="2" t="s">
        <v>6009</v>
      </c>
      <c r="B1256" s="2" t="s">
        <v>2921</v>
      </c>
      <c r="C1256" s="2" t="str">
        <f t="shared" si="19"/>
        <v>TX0056481_001</v>
      </c>
      <c r="D1256" s="2" t="s">
        <v>3633</v>
      </c>
    </row>
    <row r="1257" spans="1:4" x14ac:dyDescent="0.25">
      <c r="A1257" s="2" t="s">
        <v>6010</v>
      </c>
      <c r="B1257" s="2" t="s">
        <v>2921</v>
      </c>
      <c r="C1257" s="2" t="str">
        <f t="shared" si="19"/>
        <v>TX0056537_001</v>
      </c>
      <c r="D1257" s="2" t="s">
        <v>3634</v>
      </c>
    </row>
    <row r="1258" spans="1:4" x14ac:dyDescent="0.25">
      <c r="A1258" s="2" t="s">
        <v>6011</v>
      </c>
      <c r="B1258" s="2" t="s">
        <v>2921</v>
      </c>
      <c r="C1258" s="2" t="str">
        <f t="shared" si="19"/>
        <v>TX0056545_001</v>
      </c>
      <c r="D1258" s="2" t="s">
        <v>3635</v>
      </c>
    </row>
    <row r="1259" spans="1:4" x14ac:dyDescent="0.25">
      <c r="A1259" s="2" t="s">
        <v>6012</v>
      </c>
      <c r="B1259" s="2" t="s">
        <v>2921</v>
      </c>
      <c r="C1259" s="2" t="str">
        <f t="shared" si="19"/>
        <v>TX0056588_001</v>
      </c>
      <c r="D1259" s="2" t="s">
        <v>3636</v>
      </c>
    </row>
    <row r="1260" spans="1:4" x14ac:dyDescent="0.25">
      <c r="A1260" s="2" t="s">
        <v>6013</v>
      </c>
      <c r="B1260" s="2" t="s">
        <v>2921</v>
      </c>
      <c r="C1260" s="2" t="str">
        <f t="shared" si="19"/>
        <v>TX0056596_001</v>
      </c>
      <c r="D1260" s="2" t="s">
        <v>3637</v>
      </c>
    </row>
    <row r="1261" spans="1:4" x14ac:dyDescent="0.25">
      <c r="A1261" s="2" t="s">
        <v>6014</v>
      </c>
      <c r="B1261" s="2" t="s">
        <v>2921</v>
      </c>
      <c r="C1261" s="2" t="str">
        <f t="shared" si="19"/>
        <v>TX0056618_001</v>
      </c>
      <c r="D1261" s="2" t="s">
        <v>3638</v>
      </c>
    </row>
    <row r="1262" spans="1:4" x14ac:dyDescent="0.25">
      <c r="A1262" s="2" t="s">
        <v>6015</v>
      </c>
      <c r="B1262" s="2" t="s">
        <v>2923</v>
      </c>
      <c r="C1262" s="2" t="str">
        <f t="shared" si="19"/>
        <v>TX0056677_002</v>
      </c>
      <c r="D1262" s="2" t="s">
        <v>3639</v>
      </c>
    </row>
    <row r="1263" spans="1:4" x14ac:dyDescent="0.25">
      <c r="A1263" s="2" t="s">
        <v>6015</v>
      </c>
      <c r="B1263" s="2" t="s">
        <v>2921</v>
      </c>
      <c r="C1263" s="2" t="str">
        <f t="shared" si="19"/>
        <v>TX0056677_001</v>
      </c>
      <c r="D1263" s="2" t="s">
        <v>3639</v>
      </c>
    </row>
    <row r="1264" spans="1:4" x14ac:dyDescent="0.25">
      <c r="A1264" s="2" t="s">
        <v>6016</v>
      </c>
      <c r="B1264" s="2" t="s">
        <v>2921</v>
      </c>
      <c r="C1264" s="2" t="str">
        <f t="shared" si="19"/>
        <v>TX0056685_001</v>
      </c>
      <c r="D1264" s="2" t="s">
        <v>3640</v>
      </c>
    </row>
    <row r="1265" spans="1:4" x14ac:dyDescent="0.25">
      <c r="A1265" s="2" t="s">
        <v>6017</v>
      </c>
      <c r="B1265" s="2" t="s">
        <v>2921</v>
      </c>
      <c r="C1265" s="2" t="str">
        <f t="shared" si="19"/>
        <v>TX0056693_001</v>
      </c>
      <c r="D1265" s="2" t="s">
        <v>3641</v>
      </c>
    </row>
    <row r="1266" spans="1:4" x14ac:dyDescent="0.25">
      <c r="A1266" s="2" t="s">
        <v>6018</v>
      </c>
      <c r="B1266" s="2" t="s">
        <v>2921</v>
      </c>
      <c r="C1266" s="2" t="str">
        <f t="shared" si="19"/>
        <v>TX0056707_001</v>
      </c>
      <c r="D1266" s="2" t="s">
        <v>3642</v>
      </c>
    </row>
    <row r="1267" spans="1:4" x14ac:dyDescent="0.25">
      <c r="A1267" s="2" t="s">
        <v>6019</v>
      </c>
      <c r="B1267" s="2" t="s">
        <v>2921</v>
      </c>
      <c r="C1267" s="2" t="str">
        <f t="shared" si="19"/>
        <v>TX0056731_001</v>
      </c>
      <c r="D1267" s="2" t="s">
        <v>3643</v>
      </c>
    </row>
    <row r="1268" spans="1:4" x14ac:dyDescent="0.25">
      <c r="A1268" s="2" t="s">
        <v>6019</v>
      </c>
      <c r="B1268" s="2" t="s">
        <v>2923</v>
      </c>
      <c r="C1268" s="2" t="str">
        <f t="shared" si="19"/>
        <v>TX0056731_002</v>
      </c>
      <c r="D1268" s="2" t="s">
        <v>3643</v>
      </c>
    </row>
    <row r="1269" spans="1:4" x14ac:dyDescent="0.25">
      <c r="A1269" s="2" t="s">
        <v>6020</v>
      </c>
      <c r="B1269" s="2" t="s">
        <v>2921</v>
      </c>
      <c r="C1269" s="2" t="str">
        <f t="shared" si="19"/>
        <v>TX0056821_001</v>
      </c>
      <c r="D1269" s="2" t="s">
        <v>3644</v>
      </c>
    </row>
    <row r="1270" spans="1:4" x14ac:dyDescent="0.25">
      <c r="A1270" s="2" t="s">
        <v>6021</v>
      </c>
      <c r="B1270" s="2" t="s">
        <v>2921</v>
      </c>
      <c r="C1270" s="2" t="str">
        <f t="shared" si="19"/>
        <v>TX0056952_001</v>
      </c>
      <c r="D1270" s="2" t="s">
        <v>3645</v>
      </c>
    </row>
    <row r="1271" spans="1:4" x14ac:dyDescent="0.25">
      <c r="A1271" s="2" t="s">
        <v>6022</v>
      </c>
      <c r="B1271" s="2" t="s">
        <v>2921</v>
      </c>
      <c r="C1271" s="2" t="str">
        <f t="shared" si="19"/>
        <v>TX0057011_001</v>
      </c>
      <c r="D1271" s="2" t="s">
        <v>3646</v>
      </c>
    </row>
    <row r="1272" spans="1:4" x14ac:dyDescent="0.25">
      <c r="A1272" s="2" t="s">
        <v>6023</v>
      </c>
      <c r="B1272" s="2" t="s">
        <v>2921</v>
      </c>
      <c r="C1272" s="2" t="str">
        <f t="shared" si="19"/>
        <v>TX0057029_001</v>
      </c>
      <c r="D1272" s="2" t="s">
        <v>3647</v>
      </c>
    </row>
    <row r="1273" spans="1:4" x14ac:dyDescent="0.25">
      <c r="A1273" s="2" t="s">
        <v>6024</v>
      </c>
      <c r="B1273" s="2" t="s">
        <v>2921</v>
      </c>
      <c r="C1273" s="2" t="str">
        <f t="shared" si="19"/>
        <v>TX0057045_001</v>
      </c>
      <c r="D1273" s="2" t="s">
        <v>3648</v>
      </c>
    </row>
    <row r="1274" spans="1:4" x14ac:dyDescent="0.25">
      <c r="A1274" s="2" t="s">
        <v>6025</v>
      </c>
      <c r="B1274" s="2" t="s">
        <v>2921</v>
      </c>
      <c r="C1274" s="2" t="str">
        <f t="shared" si="19"/>
        <v>TX0057053_001</v>
      </c>
      <c r="D1274" s="2" t="s">
        <v>3649</v>
      </c>
    </row>
    <row r="1275" spans="1:4" x14ac:dyDescent="0.25">
      <c r="A1275" s="2" t="s">
        <v>6026</v>
      </c>
      <c r="B1275" s="2" t="s">
        <v>2921</v>
      </c>
      <c r="C1275" s="2" t="str">
        <f t="shared" si="19"/>
        <v>TX0057169_001</v>
      </c>
      <c r="D1275" s="2" t="s">
        <v>3650</v>
      </c>
    </row>
    <row r="1276" spans="1:4" x14ac:dyDescent="0.25">
      <c r="A1276" s="2" t="s">
        <v>6027</v>
      </c>
      <c r="B1276" s="2" t="s">
        <v>2921</v>
      </c>
      <c r="C1276" s="2" t="str">
        <f t="shared" si="19"/>
        <v>TX0057185_001</v>
      </c>
      <c r="D1276" s="2" t="s">
        <v>3651</v>
      </c>
    </row>
    <row r="1277" spans="1:4" x14ac:dyDescent="0.25">
      <c r="A1277" s="2" t="s">
        <v>6028</v>
      </c>
      <c r="B1277" s="2" t="s">
        <v>2921</v>
      </c>
      <c r="C1277" s="2" t="str">
        <f t="shared" si="19"/>
        <v>TX0057207_001</v>
      </c>
      <c r="D1277" s="2" t="s">
        <v>3652</v>
      </c>
    </row>
    <row r="1278" spans="1:4" x14ac:dyDescent="0.25">
      <c r="A1278" s="2" t="s">
        <v>6029</v>
      </c>
      <c r="B1278" s="2" t="s">
        <v>2921</v>
      </c>
      <c r="C1278" s="2" t="str">
        <f t="shared" si="19"/>
        <v>TX0057215_001</v>
      </c>
      <c r="D1278" s="2" t="s">
        <v>3653</v>
      </c>
    </row>
    <row r="1279" spans="1:4" x14ac:dyDescent="0.25">
      <c r="A1279" s="2" t="s">
        <v>6030</v>
      </c>
      <c r="B1279" s="2" t="s">
        <v>2921</v>
      </c>
      <c r="C1279" s="2" t="str">
        <f t="shared" si="19"/>
        <v>TX0057231_001</v>
      </c>
      <c r="D1279" s="2" t="s">
        <v>3654</v>
      </c>
    </row>
    <row r="1280" spans="1:4" x14ac:dyDescent="0.25">
      <c r="A1280" s="2" t="s">
        <v>6031</v>
      </c>
      <c r="B1280" s="2" t="s">
        <v>2921</v>
      </c>
      <c r="C1280" s="2" t="str">
        <f t="shared" si="19"/>
        <v>TX0057258_001</v>
      </c>
      <c r="D1280" s="2" t="s">
        <v>2986</v>
      </c>
    </row>
    <row r="1281" spans="1:4" x14ac:dyDescent="0.25">
      <c r="A1281" s="2" t="s">
        <v>6032</v>
      </c>
      <c r="B1281" s="2" t="s">
        <v>2924</v>
      </c>
      <c r="C1281" s="2" t="str">
        <f t="shared" si="19"/>
        <v>TX0057274_003</v>
      </c>
      <c r="D1281" s="2" t="s">
        <v>3655</v>
      </c>
    </row>
    <row r="1282" spans="1:4" x14ac:dyDescent="0.25">
      <c r="A1282" s="2" t="s">
        <v>6032</v>
      </c>
      <c r="B1282" s="2" t="s">
        <v>2921</v>
      </c>
      <c r="C1282" s="2" t="str">
        <f t="shared" si="19"/>
        <v>TX0057274_001</v>
      </c>
      <c r="D1282" s="2" t="s">
        <v>3655</v>
      </c>
    </row>
    <row r="1283" spans="1:4" x14ac:dyDescent="0.25">
      <c r="A1283" s="2" t="s">
        <v>6033</v>
      </c>
      <c r="B1283" s="2" t="s">
        <v>2921</v>
      </c>
      <c r="C1283" s="2" t="str">
        <f t="shared" ref="C1283:C1346" si="20">A1283 &amp; "_" &amp; B1283</f>
        <v>TX0057304_001</v>
      </c>
      <c r="D1283" s="2" t="s">
        <v>3656</v>
      </c>
    </row>
    <row r="1284" spans="1:4" x14ac:dyDescent="0.25">
      <c r="A1284" s="2" t="s">
        <v>6034</v>
      </c>
      <c r="B1284" s="2" t="s">
        <v>2921</v>
      </c>
      <c r="C1284" s="2" t="str">
        <f t="shared" si="20"/>
        <v>TX0057347_001</v>
      </c>
      <c r="D1284" s="2" t="s">
        <v>3110</v>
      </c>
    </row>
    <row r="1285" spans="1:4" x14ac:dyDescent="0.25">
      <c r="A1285" s="2" t="s">
        <v>6035</v>
      </c>
      <c r="B1285" s="2" t="s">
        <v>2921</v>
      </c>
      <c r="C1285" s="2" t="str">
        <f t="shared" si="20"/>
        <v>TX0057363_001</v>
      </c>
      <c r="D1285" s="2" t="s">
        <v>3657</v>
      </c>
    </row>
    <row r="1286" spans="1:4" x14ac:dyDescent="0.25">
      <c r="A1286" s="2" t="s">
        <v>6036</v>
      </c>
      <c r="B1286" s="2" t="s">
        <v>2923</v>
      </c>
      <c r="C1286" s="2" t="str">
        <f t="shared" si="20"/>
        <v>TX0057436_002</v>
      </c>
      <c r="D1286" s="2" t="s">
        <v>3658</v>
      </c>
    </row>
    <row r="1287" spans="1:4" x14ac:dyDescent="0.25">
      <c r="A1287" s="2" t="s">
        <v>6036</v>
      </c>
      <c r="B1287" s="2" t="s">
        <v>2921</v>
      </c>
      <c r="C1287" s="2" t="str">
        <f t="shared" si="20"/>
        <v>TX0057436_001</v>
      </c>
      <c r="D1287" s="2" t="s">
        <v>3658</v>
      </c>
    </row>
    <row r="1288" spans="1:4" x14ac:dyDescent="0.25">
      <c r="A1288" s="2" t="s">
        <v>6037</v>
      </c>
      <c r="B1288" s="2" t="s">
        <v>2921</v>
      </c>
      <c r="C1288" s="2" t="str">
        <f t="shared" si="20"/>
        <v>TX0057509_001</v>
      </c>
      <c r="D1288" s="2" t="s">
        <v>3659</v>
      </c>
    </row>
    <row r="1289" spans="1:4" x14ac:dyDescent="0.25">
      <c r="A1289" s="2" t="s">
        <v>6038</v>
      </c>
      <c r="B1289" s="2" t="s">
        <v>2921</v>
      </c>
      <c r="C1289" s="2" t="str">
        <f t="shared" si="20"/>
        <v>TX0057576_001</v>
      </c>
      <c r="D1289" s="2" t="s">
        <v>3660</v>
      </c>
    </row>
    <row r="1290" spans="1:4" x14ac:dyDescent="0.25">
      <c r="A1290" s="2" t="s">
        <v>6039</v>
      </c>
      <c r="B1290" s="2" t="s">
        <v>2921</v>
      </c>
      <c r="C1290" s="2" t="str">
        <f t="shared" si="20"/>
        <v>TX0057592_001</v>
      </c>
      <c r="D1290" s="2" t="s">
        <v>3661</v>
      </c>
    </row>
    <row r="1291" spans="1:4" x14ac:dyDescent="0.25">
      <c r="A1291" s="2" t="s">
        <v>6039</v>
      </c>
      <c r="B1291" s="2" t="s">
        <v>2923</v>
      </c>
      <c r="C1291" s="2" t="str">
        <f t="shared" si="20"/>
        <v>TX0057592_002</v>
      </c>
      <c r="D1291" s="2" t="s">
        <v>3661</v>
      </c>
    </row>
    <row r="1292" spans="1:4" x14ac:dyDescent="0.25">
      <c r="A1292" s="2" t="s">
        <v>6040</v>
      </c>
      <c r="B1292" s="2" t="s">
        <v>2921</v>
      </c>
      <c r="C1292" s="2" t="str">
        <f t="shared" si="20"/>
        <v>TX0057614_001</v>
      </c>
      <c r="D1292" s="2" t="s">
        <v>3662</v>
      </c>
    </row>
    <row r="1293" spans="1:4" x14ac:dyDescent="0.25">
      <c r="A1293" s="2" t="s">
        <v>6041</v>
      </c>
      <c r="B1293" s="2" t="s">
        <v>2921</v>
      </c>
      <c r="C1293" s="2" t="str">
        <f t="shared" si="20"/>
        <v>TX0057622_001</v>
      </c>
      <c r="D1293" s="2" t="s">
        <v>3663</v>
      </c>
    </row>
    <row r="1294" spans="1:4" x14ac:dyDescent="0.25">
      <c r="A1294" s="2" t="s">
        <v>6042</v>
      </c>
      <c r="B1294" s="2" t="s">
        <v>2921</v>
      </c>
      <c r="C1294" s="2" t="str">
        <f t="shared" si="20"/>
        <v>TX0057631_001</v>
      </c>
      <c r="D1294" s="2" t="s">
        <v>3664</v>
      </c>
    </row>
    <row r="1295" spans="1:4" x14ac:dyDescent="0.25">
      <c r="A1295" s="2" t="s">
        <v>6043</v>
      </c>
      <c r="B1295" s="2" t="s">
        <v>2921</v>
      </c>
      <c r="C1295" s="2" t="str">
        <f t="shared" si="20"/>
        <v>TX0057657_001</v>
      </c>
      <c r="D1295" s="2" t="s">
        <v>3665</v>
      </c>
    </row>
    <row r="1296" spans="1:4" x14ac:dyDescent="0.25">
      <c r="A1296" s="2" t="s">
        <v>6044</v>
      </c>
      <c r="B1296" s="2" t="s">
        <v>2921</v>
      </c>
      <c r="C1296" s="2" t="str">
        <f t="shared" si="20"/>
        <v>TX0057673_001</v>
      </c>
      <c r="D1296" s="2" t="s">
        <v>3666</v>
      </c>
    </row>
    <row r="1297" spans="1:4" x14ac:dyDescent="0.25">
      <c r="A1297" s="2" t="s">
        <v>6045</v>
      </c>
      <c r="B1297" s="2" t="s">
        <v>2923</v>
      </c>
      <c r="C1297" s="2" t="str">
        <f t="shared" si="20"/>
        <v>TX0057801_002</v>
      </c>
      <c r="D1297" s="2" t="s">
        <v>2963</v>
      </c>
    </row>
    <row r="1298" spans="1:4" x14ac:dyDescent="0.25">
      <c r="A1298" s="2" t="s">
        <v>6045</v>
      </c>
      <c r="B1298" s="2" t="s">
        <v>2921</v>
      </c>
      <c r="C1298" s="2" t="str">
        <f t="shared" si="20"/>
        <v>TX0057801_001</v>
      </c>
      <c r="D1298" s="2" t="s">
        <v>2963</v>
      </c>
    </row>
    <row r="1299" spans="1:4" x14ac:dyDescent="0.25">
      <c r="A1299" s="2" t="s">
        <v>6046</v>
      </c>
      <c r="B1299" s="2" t="s">
        <v>2921</v>
      </c>
      <c r="C1299" s="2" t="str">
        <f t="shared" si="20"/>
        <v>TX0057843_001</v>
      </c>
      <c r="D1299" s="2" t="s">
        <v>3537</v>
      </c>
    </row>
    <row r="1300" spans="1:4" x14ac:dyDescent="0.25">
      <c r="A1300" s="2" t="s">
        <v>6047</v>
      </c>
      <c r="B1300" s="2" t="s">
        <v>2921</v>
      </c>
      <c r="C1300" s="2" t="str">
        <f t="shared" si="20"/>
        <v>TX0057959_001</v>
      </c>
      <c r="D1300" s="2" t="s">
        <v>3667</v>
      </c>
    </row>
    <row r="1301" spans="1:4" x14ac:dyDescent="0.25">
      <c r="A1301" s="2" t="s">
        <v>6048</v>
      </c>
      <c r="B1301" s="2" t="s">
        <v>2921</v>
      </c>
      <c r="C1301" s="2" t="str">
        <f t="shared" si="20"/>
        <v>TX0057991_001</v>
      </c>
      <c r="D1301" s="2" t="s">
        <v>3668</v>
      </c>
    </row>
    <row r="1302" spans="1:4" x14ac:dyDescent="0.25">
      <c r="A1302" s="2" t="s">
        <v>6049</v>
      </c>
      <c r="B1302" s="2" t="s">
        <v>2921</v>
      </c>
      <c r="C1302" s="2" t="str">
        <f t="shared" si="20"/>
        <v>TX0058106_001</v>
      </c>
      <c r="D1302" s="2" t="s">
        <v>3669</v>
      </c>
    </row>
    <row r="1303" spans="1:4" x14ac:dyDescent="0.25">
      <c r="A1303" s="2" t="s">
        <v>6050</v>
      </c>
      <c r="B1303" s="2" t="s">
        <v>2921</v>
      </c>
      <c r="C1303" s="2" t="str">
        <f t="shared" si="20"/>
        <v>TX0058114_001</v>
      </c>
      <c r="D1303" s="2" t="s">
        <v>3670</v>
      </c>
    </row>
    <row r="1304" spans="1:4" x14ac:dyDescent="0.25">
      <c r="A1304" s="2" t="s">
        <v>6051</v>
      </c>
      <c r="B1304" s="2" t="s">
        <v>2921</v>
      </c>
      <c r="C1304" s="2" t="str">
        <f t="shared" si="20"/>
        <v>TX0058360_001</v>
      </c>
      <c r="D1304" s="2" t="s">
        <v>3671</v>
      </c>
    </row>
    <row r="1305" spans="1:4" x14ac:dyDescent="0.25">
      <c r="A1305" s="2" t="s">
        <v>6052</v>
      </c>
      <c r="B1305" s="2" t="s">
        <v>2921</v>
      </c>
      <c r="C1305" s="2" t="str">
        <f t="shared" si="20"/>
        <v>TX0058378_001</v>
      </c>
      <c r="D1305" s="2" t="s">
        <v>3672</v>
      </c>
    </row>
    <row r="1306" spans="1:4" x14ac:dyDescent="0.25">
      <c r="A1306" s="2" t="s">
        <v>6053</v>
      </c>
      <c r="B1306" s="2" t="s">
        <v>2921</v>
      </c>
      <c r="C1306" s="2" t="str">
        <f t="shared" si="20"/>
        <v>TX0058386_001</v>
      </c>
      <c r="D1306" s="2" t="s">
        <v>3673</v>
      </c>
    </row>
    <row r="1307" spans="1:4" x14ac:dyDescent="0.25">
      <c r="A1307" s="2" t="s">
        <v>6054</v>
      </c>
      <c r="B1307" s="2" t="s">
        <v>2921</v>
      </c>
      <c r="C1307" s="2" t="str">
        <f t="shared" si="20"/>
        <v>TX0058408_001</v>
      </c>
      <c r="D1307" s="2" t="s">
        <v>3674</v>
      </c>
    </row>
    <row r="1308" spans="1:4" x14ac:dyDescent="0.25">
      <c r="A1308" s="2" t="s">
        <v>6055</v>
      </c>
      <c r="B1308" s="2" t="s">
        <v>2921</v>
      </c>
      <c r="C1308" s="2" t="str">
        <f t="shared" si="20"/>
        <v>TX0058424_001</v>
      </c>
      <c r="D1308" s="2" t="s">
        <v>3675</v>
      </c>
    </row>
    <row r="1309" spans="1:4" x14ac:dyDescent="0.25">
      <c r="A1309" s="2" t="s">
        <v>6056</v>
      </c>
      <c r="B1309" s="2" t="s">
        <v>2921</v>
      </c>
      <c r="C1309" s="2" t="str">
        <f t="shared" si="20"/>
        <v>TX0058441_001</v>
      </c>
      <c r="D1309" s="2" t="s">
        <v>3509</v>
      </c>
    </row>
    <row r="1310" spans="1:4" x14ac:dyDescent="0.25">
      <c r="A1310" s="2" t="s">
        <v>6057</v>
      </c>
      <c r="B1310" s="2" t="s">
        <v>2921</v>
      </c>
      <c r="C1310" s="2" t="str">
        <f t="shared" si="20"/>
        <v>TX0058530_001</v>
      </c>
      <c r="D1310" s="2" t="s">
        <v>3676</v>
      </c>
    </row>
    <row r="1311" spans="1:4" x14ac:dyDescent="0.25">
      <c r="A1311" s="2" t="s">
        <v>6058</v>
      </c>
      <c r="B1311" s="2" t="s">
        <v>2921</v>
      </c>
      <c r="C1311" s="2" t="str">
        <f t="shared" si="20"/>
        <v>TX0058548_001</v>
      </c>
      <c r="D1311" s="2" t="s">
        <v>3677</v>
      </c>
    </row>
    <row r="1312" spans="1:4" x14ac:dyDescent="0.25">
      <c r="A1312" s="2" t="s">
        <v>6059</v>
      </c>
      <c r="B1312" s="2" t="s">
        <v>2921</v>
      </c>
      <c r="C1312" s="2" t="str">
        <f t="shared" si="20"/>
        <v>TX0058572_001</v>
      </c>
      <c r="D1312" s="2" t="s">
        <v>3678</v>
      </c>
    </row>
    <row r="1313" spans="1:4" x14ac:dyDescent="0.25">
      <c r="A1313" s="2" t="s">
        <v>6060</v>
      </c>
      <c r="B1313" s="2" t="s">
        <v>2921</v>
      </c>
      <c r="C1313" s="2" t="str">
        <f t="shared" si="20"/>
        <v>TX0058955_001</v>
      </c>
      <c r="D1313" s="2" t="s">
        <v>3679</v>
      </c>
    </row>
    <row r="1314" spans="1:4" x14ac:dyDescent="0.25">
      <c r="A1314" s="2" t="s">
        <v>6061</v>
      </c>
      <c r="B1314" s="2" t="s">
        <v>2921</v>
      </c>
      <c r="C1314" s="2" t="str">
        <f t="shared" si="20"/>
        <v>TX0058963_001</v>
      </c>
      <c r="D1314" s="2" t="s">
        <v>3680</v>
      </c>
    </row>
    <row r="1315" spans="1:4" x14ac:dyDescent="0.25">
      <c r="A1315" s="2" t="s">
        <v>6062</v>
      </c>
      <c r="B1315" s="2" t="s">
        <v>2921</v>
      </c>
      <c r="C1315" s="2" t="str">
        <f t="shared" si="20"/>
        <v>TX0059285_001</v>
      </c>
      <c r="D1315" s="2" t="s">
        <v>3681</v>
      </c>
    </row>
    <row r="1316" spans="1:4" x14ac:dyDescent="0.25">
      <c r="A1316" s="2" t="s">
        <v>6062</v>
      </c>
      <c r="B1316" s="2" t="s">
        <v>2923</v>
      </c>
      <c r="C1316" s="2" t="str">
        <f t="shared" si="20"/>
        <v>TX0059285_002</v>
      </c>
      <c r="D1316" s="2" t="s">
        <v>3681</v>
      </c>
    </row>
    <row r="1317" spans="1:4" x14ac:dyDescent="0.25">
      <c r="A1317" s="2" t="s">
        <v>6063</v>
      </c>
      <c r="B1317" s="2" t="s">
        <v>2921</v>
      </c>
      <c r="C1317" s="2" t="str">
        <f t="shared" si="20"/>
        <v>TX0059579_001</v>
      </c>
      <c r="D1317" s="2" t="s">
        <v>3682</v>
      </c>
    </row>
    <row r="1318" spans="1:4" x14ac:dyDescent="0.25">
      <c r="A1318" s="2" t="s">
        <v>6064</v>
      </c>
      <c r="B1318" s="2" t="s">
        <v>2921</v>
      </c>
      <c r="C1318" s="2" t="str">
        <f t="shared" si="20"/>
        <v>TX0059587_001</v>
      </c>
      <c r="D1318" s="2" t="s">
        <v>3683</v>
      </c>
    </row>
    <row r="1319" spans="1:4" x14ac:dyDescent="0.25">
      <c r="A1319" s="2" t="s">
        <v>6065</v>
      </c>
      <c r="B1319" s="2" t="s">
        <v>2921</v>
      </c>
      <c r="C1319" s="2" t="str">
        <f t="shared" si="20"/>
        <v>TX0060801_001</v>
      </c>
      <c r="D1319" s="2" t="s">
        <v>3684</v>
      </c>
    </row>
    <row r="1320" spans="1:4" x14ac:dyDescent="0.25">
      <c r="A1320" s="2" t="s">
        <v>6066</v>
      </c>
      <c r="B1320" s="2" t="s">
        <v>2921</v>
      </c>
      <c r="C1320" s="2" t="str">
        <f t="shared" si="20"/>
        <v>TX0060933_001</v>
      </c>
      <c r="D1320" s="2" t="s">
        <v>3685</v>
      </c>
    </row>
    <row r="1321" spans="1:4" x14ac:dyDescent="0.25">
      <c r="A1321" s="2" t="s">
        <v>6067</v>
      </c>
      <c r="B1321" s="2" t="s">
        <v>2921</v>
      </c>
      <c r="C1321" s="2" t="str">
        <f t="shared" si="20"/>
        <v>TX0061999_001</v>
      </c>
      <c r="D1321" s="2" t="s">
        <v>2928</v>
      </c>
    </row>
    <row r="1322" spans="1:4" x14ac:dyDescent="0.25">
      <c r="A1322" s="2" t="s">
        <v>6068</v>
      </c>
      <c r="B1322" s="2" t="s">
        <v>2921</v>
      </c>
      <c r="C1322" s="2" t="str">
        <f t="shared" si="20"/>
        <v>TX0062006_001</v>
      </c>
      <c r="D1322" s="2" t="s">
        <v>3686</v>
      </c>
    </row>
    <row r="1323" spans="1:4" x14ac:dyDescent="0.25">
      <c r="A1323" s="2" t="s">
        <v>6068</v>
      </c>
      <c r="B1323" s="2" t="s">
        <v>2923</v>
      </c>
      <c r="C1323" s="2" t="str">
        <f t="shared" si="20"/>
        <v>TX0062006_002</v>
      </c>
      <c r="D1323" s="2" t="s">
        <v>3686</v>
      </c>
    </row>
    <row r="1324" spans="1:4" x14ac:dyDescent="0.25">
      <c r="A1324" s="2" t="s">
        <v>6068</v>
      </c>
      <c r="B1324" s="2" t="s">
        <v>2924</v>
      </c>
      <c r="C1324" s="2" t="str">
        <f t="shared" si="20"/>
        <v>TX0062006_003</v>
      </c>
      <c r="D1324" s="2" t="s">
        <v>3686</v>
      </c>
    </row>
    <row r="1325" spans="1:4" x14ac:dyDescent="0.25">
      <c r="A1325" s="2" t="s">
        <v>6069</v>
      </c>
      <c r="B1325" s="2" t="s">
        <v>2921</v>
      </c>
      <c r="C1325" s="2" t="str">
        <f t="shared" si="20"/>
        <v>TX0062014_001</v>
      </c>
      <c r="D1325" s="2" t="s">
        <v>3286</v>
      </c>
    </row>
    <row r="1326" spans="1:4" x14ac:dyDescent="0.25">
      <c r="A1326" s="2" t="s">
        <v>6070</v>
      </c>
      <c r="B1326" s="2" t="s">
        <v>2921</v>
      </c>
      <c r="C1326" s="2" t="str">
        <f t="shared" si="20"/>
        <v>TX0062031_001</v>
      </c>
      <c r="D1326" s="2" t="s">
        <v>3687</v>
      </c>
    </row>
    <row r="1327" spans="1:4" x14ac:dyDescent="0.25">
      <c r="A1327" s="2" t="s">
        <v>6071</v>
      </c>
      <c r="B1327" s="2" t="s">
        <v>2921</v>
      </c>
      <c r="C1327" s="2" t="str">
        <f t="shared" si="20"/>
        <v>TX0062049_001</v>
      </c>
      <c r="D1327" s="2" t="s">
        <v>3688</v>
      </c>
    </row>
    <row r="1328" spans="1:4" x14ac:dyDescent="0.25">
      <c r="A1328" s="2" t="s">
        <v>6072</v>
      </c>
      <c r="B1328" s="2" t="s">
        <v>2921</v>
      </c>
      <c r="C1328" s="2" t="str">
        <f t="shared" si="20"/>
        <v>TX0062197_001</v>
      </c>
      <c r="D1328" s="2" t="s">
        <v>3689</v>
      </c>
    </row>
    <row r="1329" spans="1:4" x14ac:dyDescent="0.25">
      <c r="A1329" s="2" t="s">
        <v>6072</v>
      </c>
      <c r="B1329" s="2" t="s">
        <v>2923</v>
      </c>
      <c r="C1329" s="2" t="str">
        <f t="shared" si="20"/>
        <v>TX0062197_002</v>
      </c>
      <c r="D1329" s="2" t="s">
        <v>3689</v>
      </c>
    </row>
    <row r="1330" spans="1:4" x14ac:dyDescent="0.25">
      <c r="A1330" s="2" t="s">
        <v>6072</v>
      </c>
      <c r="B1330" s="2" t="s">
        <v>2924</v>
      </c>
      <c r="C1330" s="2" t="str">
        <f t="shared" si="20"/>
        <v>TX0062197_003</v>
      </c>
      <c r="D1330" s="2" t="s">
        <v>3689</v>
      </c>
    </row>
    <row r="1331" spans="1:4" x14ac:dyDescent="0.25">
      <c r="A1331" s="2" t="s">
        <v>6073</v>
      </c>
      <c r="B1331" s="2" t="s">
        <v>2921</v>
      </c>
      <c r="C1331" s="2" t="str">
        <f t="shared" si="20"/>
        <v>TX0062219_001</v>
      </c>
      <c r="D1331" s="2" t="s">
        <v>3690</v>
      </c>
    </row>
    <row r="1332" spans="1:4" x14ac:dyDescent="0.25">
      <c r="A1332" s="2" t="s">
        <v>6074</v>
      </c>
      <c r="B1332" s="2" t="s">
        <v>2921</v>
      </c>
      <c r="C1332" s="2" t="str">
        <f t="shared" si="20"/>
        <v>TX0062235_001</v>
      </c>
      <c r="D1332" s="2" t="s">
        <v>3691</v>
      </c>
    </row>
    <row r="1333" spans="1:4" x14ac:dyDescent="0.25">
      <c r="A1333" s="2" t="s">
        <v>6075</v>
      </c>
      <c r="B1333" s="2" t="s">
        <v>2921</v>
      </c>
      <c r="C1333" s="2" t="str">
        <f t="shared" si="20"/>
        <v>TX0062243_001</v>
      </c>
      <c r="D1333" s="2" t="s">
        <v>3692</v>
      </c>
    </row>
    <row r="1334" spans="1:4" x14ac:dyDescent="0.25">
      <c r="A1334" s="2" t="s">
        <v>6076</v>
      </c>
      <c r="B1334" s="2" t="s">
        <v>2921</v>
      </c>
      <c r="C1334" s="2" t="str">
        <f t="shared" si="20"/>
        <v>TX0062448_001</v>
      </c>
      <c r="D1334" s="2" t="s">
        <v>3693</v>
      </c>
    </row>
    <row r="1335" spans="1:4" x14ac:dyDescent="0.25">
      <c r="A1335" s="2" t="s">
        <v>6077</v>
      </c>
      <c r="B1335" s="2" t="s">
        <v>2921</v>
      </c>
      <c r="C1335" s="2" t="str">
        <f t="shared" si="20"/>
        <v>TX0062642_001</v>
      </c>
      <c r="D1335" s="2" t="s">
        <v>3694</v>
      </c>
    </row>
    <row r="1336" spans="1:4" x14ac:dyDescent="0.25">
      <c r="A1336" s="2" t="s">
        <v>6078</v>
      </c>
      <c r="B1336" s="2" t="s">
        <v>2921</v>
      </c>
      <c r="C1336" s="2" t="str">
        <f t="shared" si="20"/>
        <v>TX0062677_001</v>
      </c>
      <c r="D1336" s="2" t="s">
        <v>3695</v>
      </c>
    </row>
    <row r="1337" spans="1:4" x14ac:dyDescent="0.25">
      <c r="A1337" s="2" t="s">
        <v>6079</v>
      </c>
      <c r="B1337" s="2" t="s">
        <v>2921</v>
      </c>
      <c r="C1337" s="2" t="str">
        <f t="shared" si="20"/>
        <v>TX0062707_001</v>
      </c>
      <c r="D1337" s="2" t="s">
        <v>3696</v>
      </c>
    </row>
    <row r="1338" spans="1:4" x14ac:dyDescent="0.25">
      <c r="A1338" s="2" t="s">
        <v>6080</v>
      </c>
      <c r="B1338" s="2" t="s">
        <v>2921</v>
      </c>
      <c r="C1338" s="2" t="str">
        <f t="shared" si="20"/>
        <v>TX0062839_001</v>
      </c>
      <c r="D1338" s="2" t="s">
        <v>3697</v>
      </c>
    </row>
    <row r="1339" spans="1:4" x14ac:dyDescent="0.25">
      <c r="A1339" s="2" t="s">
        <v>6081</v>
      </c>
      <c r="B1339" s="2" t="s">
        <v>2921</v>
      </c>
      <c r="C1339" s="2" t="str">
        <f t="shared" si="20"/>
        <v>TX0062936_001</v>
      </c>
      <c r="D1339" s="2" t="s">
        <v>3698</v>
      </c>
    </row>
    <row r="1340" spans="1:4" x14ac:dyDescent="0.25">
      <c r="A1340" s="2" t="s">
        <v>6082</v>
      </c>
      <c r="B1340" s="2" t="s">
        <v>2921</v>
      </c>
      <c r="C1340" s="2" t="str">
        <f t="shared" si="20"/>
        <v>TX0062952_001</v>
      </c>
      <c r="D1340" s="2" t="s">
        <v>3699</v>
      </c>
    </row>
    <row r="1341" spans="1:4" x14ac:dyDescent="0.25">
      <c r="A1341" s="2" t="s">
        <v>6083</v>
      </c>
      <c r="B1341" s="2" t="s">
        <v>2921</v>
      </c>
      <c r="C1341" s="2" t="str">
        <f t="shared" si="20"/>
        <v>TX0062961_001</v>
      </c>
      <c r="D1341" s="2" t="s">
        <v>3446</v>
      </c>
    </row>
    <row r="1342" spans="1:4" x14ac:dyDescent="0.25">
      <c r="A1342" s="2" t="s">
        <v>6084</v>
      </c>
      <c r="B1342" s="2" t="s">
        <v>2921</v>
      </c>
      <c r="C1342" s="2" t="str">
        <f t="shared" si="20"/>
        <v>TX0062995_001</v>
      </c>
      <c r="D1342" s="2" t="s">
        <v>3110</v>
      </c>
    </row>
    <row r="1343" spans="1:4" x14ac:dyDescent="0.25">
      <c r="A1343" s="2" t="s">
        <v>6085</v>
      </c>
      <c r="B1343" s="2" t="s">
        <v>2921</v>
      </c>
      <c r="C1343" s="2" t="str">
        <f t="shared" si="20"/>
        <v>TX0063002_001</v>
      </c>
      <c r="D1343" s="2" t="s">
        <v>3110</v>
      </c>
    </row>
    <row r="1344" spans="1:4" x14ac:dyDescent="0.25">
      <c r="A1344" s="2" t="s">
        <v>6086</v>
      </c>
      <c r="B1344" s="2" t="s">
        <v>2921</v>
      </c>
      <c r="C1344" s="2" t="str">
        <f t="shared" si="20"/>
        <v>TX0063011_001</v>
      </c>
      <c r="D1344" s="2" t="s">
        <v>3110</v>
      </c>
    </row>
    <row r="1345" spans="1:4" x14ac:dyDescent="0.25">
      <c r="A1345" s="2" t="s">
        <v>6087</v>
      </c>
      <c r="B1345" s="2" t="s">
        <v>2921</v>
      </c>
      <c r="C1345" s="2" t="str">
        <f t="shared" si="20"/>
        <v>TX0063029_001</v>
      </c>
      <c r="D1345" s="2" t="s">
        <v>3110</v>
      </c>
    </row>
    <row r="1346" spans="1:4" x14ac:dyDescent="0.25">
      <c r="A1346" s="2" t="s">
        <v>6088</v>
      </c>
      <c r="B1346" s="2" t="s">
        <v>2921</v>
      </c>
      <c r="C1346" s="2" t="str">
        <f t="shared" si="20"/>
        <v>TX0063037_001</v>
      </c>
      <c r="D1346" s="2" t="s">
        <v>3110</v>
      </c>
    </row>
    <row r="1347" spans="1:4" x14ac:dyDescent="0.25">
      <c r="A1347" s="2" t="s">
        <v>6089</v>
      </c>
      <c r="B1347" s="2" t="s">
        <v>2921</v>
      </c>
      <c r="C1347" s="2" t="str">
        <f t="shared" ref="C1347:C1410" si="21">A1347 &amp; "_" &amp; B1347</f>
        <v>TX0063045_001</v>
      </c>
      <c r="D1347" s="2" t="s">
        <v>3110</v>
      </c>
    </row>
    <row r="1348" spans="1:4" x14ac:dyDescent="0.25">
      <c r="A1348" s="2" t="s">
        <v>6090</v>
      </c>
      <c r="B1348" s="2" t="s">
        <v>2921</v>
      </c>
      <c r="C1348" s="2" t="str">
        <f t="shared" si="21"/>
        <v>TX0063053_001</v>
      </c>
      <c r="D1348" s="2" t="s">
        <v>3110</v>
      </c>
    </row>
    <row r="1349" spans="1:4" x14ac:dyDescent="0.25">
      <c r="A1349" s="2" t="s">
        <v>6090</v>
      </c>
      <c r="B1349" s="2" t="s">
        <v>2923</v>
      </c>
      <c r="C1349" s="2" t="str">
        <f t="shared" si="21"/>
        <v>TX0063053_002</v>
      </c>
      <c r="D1349" s="2" t="s">
        <v>3110</v>
      </c>
    </row>
    <row r="1350" spans="1:4" x14ac:dyDescent="0.25">
      <c r="A1350" s="2" t="s">
        <v>6091</v>
      </c>
      <c r="B1350" s="2" t="s">
        <v>2921</v>
      </c>
      <c r="C1350" s="2" t="str">
        <f t="shared" si="21"/>
        <v>TX0063061_001</v>
      </c>
      <c r="D1350" s="2" t="s">
        <v>3110</v>
      </c>
    </row>
    <row r="1351" spans="1:4" x14ac:dyDescent="0.25">
      <c r="A1351" s="2" t="s">
        <v>6092</v>
      </c>
      <c r="B1351" s="2" t="s">
        <v>2921</v>
      </c>
      <c r="C1351" s="2" t="str">
        <f t="shared" si="21"/>
        <v>TX0063070_001</v>
      </c>
      <c r="D1351" s="2" t="s">
        <v>3110</v>
      </c>
    </row>
    <row r="1352" spans="1:4" x14ac:dyDescent="0.25">
      <c r="A1352" s="2" t="s">
        <v>6093</v>
      </c>
      <c r="B1352" s="2" t="s">
        <v>2921</v>
      </c>
      <c r="C1352" s="2" t="str">
        <f t="shared" si="21"/>
        <v>TX0063096_001</v>
      </c>
      <c r="D1352" s="2" t="s">
        <v>3700</v>
      </c>
    </row>
    <row r="1353" spans="1:4" x14ac:dyDescent="0.25">
      <c r="A1353" s="2" t="s">
        <v>6094</v>
      </c>
      <c r="B1353" s="2" t="s">
        <v>2921</v>
      </c>
      <c r="C1353" s="2" t="str">
        <f t="shared" si="21"/>
        <v>TX0063215_001</v>
      </c>
      <c r="D1353" s="2" t="s">
        <v>2928</v>
      </c>
    </row>
    <row r="1354" spans="1:4" x14ac:dyDescent="0.25">
      <c r="A1354" s="2" t="s">
        <v>6094</v>
      </c>
      <c r="B1354" s="2" t="s">
        <v>2924</v>
      </c>
      <c r="C1354" s="2" t="str">
        <f t="shared" si="21"/>
        <v>TX0063215_003</v>
      </c>
      <c r="D1354" s="2" t="s">
        <v>2928</v>
      </c>
    </row>
    <row r="1355" spans="1:4" x14ac:dyDescent="0.25">
      <c r="A1355" s="2" t="s">
        <v>6095</v>
      </c>
      <c r="B1355" s="2" t="s">
        <v>2921</v>
      </c>
      <c r="C1355" s="2" t="str">
        <f t="shared" si="21"/>
        <v>TX0063231_001</v>
      </c>
      <c r="D1355" s="2" t="s">
        <v>3701</v>
      </c>
    </row>
    <row r="1356" spans="1:4" x14ac:dyDescent="0.25">
      <c r="A1356" s="2" t="s">
        <v>6096</v>
      </c>
      <c r="B1356" s="2" t="s">
        <v>2959</v>
      </c>
      <c r="C1356" s="2" t="str">
        <f t="shared" si="21"/>
        <v>TX0063355_007</v>
      </c>
      <c r="D1356" s="2" t="s">
        <v>2975</v>
      </c>
    </row>
    <row r="1357" spans="1:4" x14ac:dyDescent="0.25">
      <c r="A1357" s="2" t="s">
        <v>6096</v>
      </c>
      <c r="B1357" s="2" t="s">
        <v>2946</v>
      </c>
      <c r="C1357" s="2" t="str">
        <f t="shared" si="21"/>
        <v>TX0063355_008</v>
      </c>
      <c r="D1357" s="2" t="s">
        <v>2975</v>
      </c>
    </row>
    <row r="1358" spans="1:4" x14ac:dyDescent="0.25">
      <c r="A1358" s="2" t="s">
        <v>6096</v>
      </c>
      <c r="B1358" s="2" t="s">
        <v>2948</v>
      </c>
      <c r="C1358" s="2" t="str">
        <f t="shared" si="21"/>
        <v>TX0063355_011</v>
      </c>
      <c r="D1358" s="2" t="s">
        <v>2975</v>
      </c>
    </row>
    <row r="1359" spans="1:4" x14ac:dyDescent="0.25">
      <c r="A1359" s="2" t="s">
        <v>6096</v>
      </c>
      <c r="B1359" s="2" t="s">
        <v>2921</v>
      </c>
      <c r="C1359" s="2" t="str">
        <f t="shared" si="21"/>
        <v>TX0063355_001</v>
      </c>
      <c r="D1359" s="2" t="s">
        <v>2975</v>
      </c>
    </row>
    <row r="1360" spans="1:4" x14ac:dyDescent="0.25">
      <c r="A1360" s="2" t="s">
        <v>6096</v>
      </c>
      <c r="B1360" s="2" t="s">
        <v>2923</v>
      </c>
      <c r="C1360" s="2" t="str">
        <f t="shared" si="21"/>
        <v>TX0063355_002</v>
      </c>
      <c r="D1360" s="2" t="s">
        <v>2975</v>
      </c>
    </row>
    <row r="1361" spans="1:4" x14ac:dyDescent="0.25">
      <c r="A1361" s="2" t="s">
        <v>6096</v>
      </c>
      <c r="B1361" s="2" t="s">
        <v>2924</v>
      </c>
      <c r="C1361" s="2" t="str">
        <f t="shared" si="21"/>
        <v>TX0063355_003</v>
      </c>
      <c r="D1361" s="2" t="s">
        <v>2975</v>
      </c>
    </row>
    <row r="1362" spans="1:4" x14ac:dyDescent="0.25">
      <c r="A1362" s="2" t="s">
        <v>6096</v>
      </c>
      <c r="B1362" s="2" t="s">
        <v>2936</v>
      </c>
      <c r="C1362" s="2" t="str">
        <f t="shared" si="21"/>
        <v>TX0063355_004</v>
      </c>
      <c r="D1362" s="2" t="s">
        <v>2975</v>
      </c>
    </row>
    <row r="1363" spans="1:4" x14ac:dyDescent="0.25">
      <c r="A1363" s="2" t="s">
        <v>6096</v>
      </c>
      <c r="B1363" s="2" t="s">
        <v>2934</v>
      </c>
      <c r="C1363" s="2" t="str">
        <f t="shared" si="21"/>
        <v>TX0063355_005</v>
      </c>
      <c r="D1363" s="2" t="s">
        <v>2975</v>
      </c>
    </row>
    <row r="1364" spans="1:4" x14ac:dyDescent="0.25">
      <c r="A1364" s="2" t="s">
        <v>6096</v>
      </c>
      <c r="B1364" s="2" t="s">
        <v>2940</v>
      </c>
      <c r="C1364" s="2" t="str">
        <f t="shared" si="21"/>
        <v>TX0063355_006</v>
      </c>
      <c r="D1364" s="2" t="s">
        <v>2975</v>
      </c>
    </row>
    <row r="1365" spans="1:4" x14ac:dyDescent="0.25">
      <c r="A1365" s="2" t="s">
        <v>6097</v>
      </c>
      <c r="B1365" s="2" t="s">
        <v>2921</v>
      </c>
      <c r="C1365" s="2" t="str">
        <f t="shared" si="21"/>
        <v>TX0063401_001</v>
      </c>
      <c r="D1365" s="2" t="s">
        <v>3702</v>
      </c>
    </row>
    <row r="1366" spans="1:4" x14ac:dyDescent="0.25">
      <c r="A1366" s="2" t="s">
        <v>6097</v>
      </c>
      <c r="B1366" s="2" t="s">
        <v>2923</v>
      </c>
      <c r="C1366" s="2" t="str">
        <f t="shared" si="21"/>
        <v>TX0063401_002</v>
      </c>
      <c r="D1366" s="2" t="s">
        <v>3702</v>
      </c>
    </row>
    <row r="1367" spans="1:4" x14ac:dyDescent="0.25">
      <c r="A1367" s="2" t="s">
        <v>6097</v>
      </c>
      <c r="B1367" s="2" t="s">
        <v>2924</v>
      </c>
      <c r="C1367" s="2" t="str">
        <f t="shared" si="21"/>
        <v>TX0063401_003</v>
      </c>
      <c r="D1367" s="2" t="s">
        <v>3702</v>
      </c>
    </row>
    <row r="1368" spans="1:4" x14ac:dyDescent="0.25">
      <c r="A1368" s="2" t="s">
        <v>6097</v>
      </c>
      <c r="B1368" s="2" t="s">
        <v>2936</v>
      </c>
      <c r="C1368" s="2" t="str">
        <f t="shared" si="21"/>
        <v>TX0063401_004</v>
      </c>
      <c r="D1368" s="2" t="s">
        <v>3702</v>
      </c>
    </row>
    <row r="1369" spans="1:4" x14ac:dyDescent="0.25">
      <c r="A1369" s="2" t="s">
        <v>6097</v>
      </c>
      <c r="B1369" s="2" t="s">
        <v>2934</v>
      </c>
      <c r="C1369" s="2" t="str">
        <f t="shared" si="21"/>
        <v>TX0063401_005</v>
      </c>
      <c r="D1369" s="2" t="s">
        <v>3702</v>
      </c>
    </row>
    <row r="1370" spans="1:4" x14ac:dyDescent="0.25">
      <c r="A1370" s="2" t="s">
        <v>6097</v>
      </c>
      <c r="B1370" s="2" t="s">
        <v>2940</v>
      </c>
      <c r="C1370" s="2" t="str">
        <f t="shared" si="21"/>
        <v>TX0063401_006</v>
      </c>
      <c r="D1370" s="2" t="s">
        <v>3702</v>
      </c>
    </row>
    <row r="1371" spans="1:4" x14ac:dyDescent="0.25">
      <c r="A1371" s="2" t="s">
        <v>6098</v>
      </c>
      <c r="B1371" s="2" t="s">
        <v>2921</v>
      </c>
      <c r="C1371" s="2" t="str">
        <f t="shared" si="21"/>
        <v>TX0063461_001</v>
      </c>
      <c r="D1371" s="2" t="s">
        <v>3590</v>
      </c>
    </row>
    <row r="1372" spans="1:4" x14ac:dyDescent="0.25">
      <c r="A1372" s="2" t="s">
        <v>6099</v>
      </c>
      <c r="B1372" s="2" t="s">
        <v>2921</v>
      </c>
      <c r="C1372" s="2" t="str">
        <f t="shared" si="21"/>
        <v>TX0063479_001</v>
      </c>
      <c r="D1372" s="2" t="s">
        <v>3128</v>
      </c>
    </row>
    <row r="1373" spans="1:4" x14ac:dyDescent="0.25">
      <c r="A1373" s="2" t="s">
        <v>6100</v>
      </c>
      <c r="B1373" s="2" t="s">
        <v>2921</v>
      </c>
      <c r="C1373" s="2" t="str">
        <f t="shared" si="21"/>
        <v>TX0063509_001</v>
      </c>
      <c r="D1373" s="2" t="s">
        <v>3665</v>
      </c>
    </row>
    <row r="1374" spans="1:4" x14ac:dyDescent="0.25">
      <c r="A1374" s="2" t="s">
        <v>6101</v>
      </c>
      <c r="B1374" s="2" t="s">
        <v>2921</v>
      </c>
      <c r="C1374" s="2" t="str">
        <f t="shared" si="21"/>
        <v>TX0063681_001</v>
      </c>
      <c r="D1374" s="2" t="s">
        <v>3703</v>
      </c>
    </row>
    <row r="1375" spans="1:4" x14ac:dyDescent="0.25">
      <c r="A1375" s="2" t="s">
        <v>6101</v>
      </c>
      <c r="B1375" s="2" t="s">
        <v>2923</v>
      </c>
      <c r="C1375" s="2" t="str">
        <f t="shared" si="21"/>
        <v>TX0063681_002</v>
      </c>
      <c r="D1375" s="2" t="s">
        <v>3703</v>
      </c>
    </row>
    <row r="1376" spans="1:4" x14ac:dyDescent="0.25">
      <c r="A1376" s="2" t="s">
        <v>6101</v>
      </c>
      <c r="B1376" s="2" t="s">
        <v>2940</v>
      </c>
      <c r="C1376" s="2" t="str">
        <f t="shared" si="21"/>
        <v>TX0063681_006</v>
      </c>
      <c r="D1376" s="2" t="s">
        <v>3703</v>
      </c>
    </row>
    <row r="1377" spans="1:4" x14ac:dyDescent="0.25">
      <c r="A1377" s="2" t="s">
        <v>6101</v>
      </c>
      <c r="B1377" s="2" t="s">
        <v>2959</v>
      </c>
      <c r="C1377" s="2" t="str">
        <f t="shared" si="21"/>
        <v>TX0063681_007</v>
      </c>
      <c r="D1377" s="2" t="s">
        <v>3703</v>
      </c>
    </row>
    <row r="1378" spans="1:4" x14ac:dyDescent="0.25">
      <c r="A1378" s="2" t="s">
        <v>6101</v>
      </c>
      <c r="B1378" s="2" t="s">
        <v>2944</v>
      </c>
      <c r="C1378" s="2" t="str">
        <f t="shared" si="21"/>
        <v>TX0063681_014</v>
      </c>
      <c r="D1378" s="2" t="s">
        <v>3703</v>
      </c>
    </row>
    <row r="1379" spans="1:4" x14ac:dyDescent="0.25">
      <c r="A1379" s="2" t="s">
        <v>6101</v>
      </c>
      <c r="B1379" s="2" t="s">
        <v>2970</v>
      </c>
      <c r="C1379" s="2" t="str">
        <f t="shared" si="21"/>
        <v>TX0063681_016</v>
      </c>
      <c r="D1379" s="2" t="s">
        <v>3703</v>
      </c>
    </row>
    <row r="1380" spans="1:4" x14ac:dyDescent="0.25">
      <c r="A1380" s="2" t="s">
        <v>6101</v>
      </c>
      <c r="B1380" s="2" t="s">
        <v>3084</v>
      </c>
      <c r="C1380" s="2" t="str">
        <f t="shared" si="21"/>
        <v>TX0063681_017</v>
      </c>
      <c r="D1380" s="2" t="s">
        <v>3703</v>
      </c>
    </row>
    <row r="1381" spans="1:4" x14ac:dyDescent="0.25">
      <c r="A1381" s="2" t="s">
        <v>6101</v>
      </c>
      <c r="B1381" s="2" t="s">
        <v>3001</v>
      </c>
      <c r="C1381" s="2" t="str">
        <f t="shared" si="21"/>
        <v>TX0063681_018</v>
      </c>
      <c r="D1381" s="2" t="s">
        <v>3703</v>
      </c>
    </row>
    <row r="1382" spans="1:4" x14ac:dyDescent="0.25">
      <c r="A1382" s="2" t="s">
        <v>6101</v>
      </c>
      <c r="B1382" s="2" t="s">
        <v>2945</v>
      </c>
      <c r="C1382" s="2" t="str">
        <f t="shared" si="21"/>
        <v>TX0063681_015</v>
      </c>
      <c r="D1382" s="2" t="s">
        <v>3703</v>
      </c>
    </row>
    <row r="1383" spans="1:4" x14ac:dyDescent="0.25">
      <c r="A1383" s="2" t="s">
        <v>6102</v>
      </c>
      <c r="B1383" s="2" t="s">
        <v>2924</v>
      </c>
      <c r="C1383" s="2" t="str">
        <f t="shared" si="21"/>
        <v>TX0063690_003</v>
      </c>
      <c r="D1383" s="2" t="s">
        <v>3703</v>
      </c>
    </row>
    <row r="1384" spans="1:4" x14ac:dyDescent="0.25">
      <c r="A1384" s="2" t="s">
        <v>6102</v>
      </c>
      <c r="B1384" s="2" t="s">
        <v>2921</v>
      </c>
      <c r="C1384" s="2" t="str">
        <f t="shared" si="21"/>
        <v>TX0063690_001</v>
      </c>
      <c r="D1384" s="2" t="s">
        <v>3703</v>
      </c>
    </row>
    <row r="1385" spans="1:4" x14ac:dyDescent="0.25">
      <c r="A1385" s="2" t="s">
        <v>6102</v>
      </c>
      <c r="B1385" s="2" t="s">
        <v>3001</v>
      </c>
      <c r="C1385" s="2" t="str">
        <f t="shared" si="21"/>
        <v>TX0063690_018</v>
      </c>
      <c r="D1385" s="2" t="s">
        <v>3703</v>
      </c>
    </row>
    <row r="1386" spans="1:4" x14ac:dyDescent="0.25">
      <c r="A1386" s="2" t="s">
        <v>6102</v>
      </c>
      <c r="B1386" s="2" t="s">
        <v>2970</v>
      </c>
      <c r="C1386" s="2" t="str">
        <f t="shared" si="21"/>
        <v>TX0063690_016</v>
      </c>
      <c r="D1386" s="2" t="s">
        <v>3703</v>
      </c>
    </row>
    <row r="1387" spans="1:4" x14ac:dyDescent="0.25">
      <c r="A1387" s="2" t="s">
        <v>6102</v>
      </c>
      <c r="B1387" s="2" t="s">
        <v>2969</v>
      </c>
      <c r="C1387" s="2" t="str">
        <f t="shared" si="21"/>
        <v>TX0063690_009</v>
      </c>
      <c r="D1387" s="2" t="s">
        <v>3703</v>
      </c>
    </row>
    <row r="1388" spans="1:4" x14ac:dyDescent="0.25">
      <c r="A1388" s="2" t="s">
        <v>6102</v>
      </c>
      <c r="B1388" s="2" t="s">
        <v>2947</v>
      </c>
      <c r="C1388" s="2" t="str">
        <f t="shared" si="21"/>
        <v>TX0063690_010</v>
      </c>
      <c r="D1388" s="2" t="s">
        <v>3703</v>
      </c>
    </row>
    <row r="1389" spans="1:4" x14ac:dyDescent="0.25">
      <c r="A1389" s="2" t="s">
        <v>6102</v>
      </c>
      <c r="B1389" s="2" t="s">
        <v>3085</v>
      </c>
      <c r="C1389" s="2" t="str">
        <f t="shared" si="21"/>
        <v>TX0063690_019</v>
      </c>
      <c r="D1389" s="2" t="s">
        <v>3703</v>
      </c>
    </row>
    <row r="1390" spans="1:4" x14ac:dyDescent="0.25">
      <c r="A1390" s="2" t="s">
        <v>6102</v>
      </c>
      <c r="B1390" s="2" t="s">
        <v>3084</v>
      </c>
      <c r="C1390" s="2" t="str">
        <f t="shared" si="21"/>
        <v>TX0063690_017</v>
      </c>
      <c r="D1390" s="2" t="s">
        <v>3703</v>
      </c>
    </row>
    <row r="1391" spans="1:4" x14ac:dyDescent="0.25">
      <c r="A1391" s="2" t="s">
        <v>6102</v>
      </c>
      <c r="B1391" s="2" t="s">
        <v>2940</v>
      </c>
      <c r="C1391" s="2" t="str">
        <f t="shared" si="21"/>
        <v>TX0063690_006</v>
      </c>
      <c r="D1391" s="2" t="s">
        <v>3703</v>
      </c>
    </row>
    <row r="1392" spans="1:4" x14ac:dyDescent="0.25">
      <c r="A1392" s="2" t="s">
        <v>6102</v>
      </c>
      <c r="B1392" s="2" t="s">
        <v>2959</v>
      </c>
      <c r="C1392" s="2" t="str">
        <f t="shared" si="21"/>
        <v>TX0063690_007</v>
      </c>
      <c r="D1392" s="2" t="s">
        <v>3703</v>
      </c>
    </row>
    <row r="1393" spans="1:4" x14ac:dyDescent="0.25">
      <c r="A1393" s="2" t="s">
        <v>6102</v>
      </c>
      <c r="B1393" s="2" t="s">
        <v>2946</v>
      </c>
      <c r="C1393" s="2" t="str">
        <f t="shared" si="21"/>
        <v>TX0063690_008</v>
      </c>
      <c r="D1393" s="2" t="s">
        <v>3703</v>
      </c>
    </row>
    <row r="1394" spans="1:4" x14ac:dyDescent="0.25">
      <c r="A1394" s="2" t="s">
        <v>6102</v>
      </c>
      <c r="B1394" s="2" t="s">
        <v>2948</v>
      </c>
      <c r="C1394" s="2" t="str">
        <f t="shared" si="21"/>
        <v>TX0063690_011</v>
      </c>
      <c r="D1394" s="2" t="s">
        <v>3703</v>
      </c>
    </row>
    <row r="1395" spans="1:4" x14ac:dyDescent="0.25">
      <c r="A1395" s="2" t="s">
        <v>6102</v>
      </c>
      <c r="B1395" s="2" t="s">
        <v>2942</v>
      </c>
      <c r="C1395" s="2" t="str">
        <f t="shared" si="21"/>
        <v>TX0063690_013</v>
      </c>
      <c r="D1395" s="2" t="s">
        <v>3703</v>
      </c>
    </row>
    <row r="1396" spans="1:4" x14ac:dyDescent="0.25">
      <c r="A1396" s="2" t="s">
        <v>6102</v>
      </c>
      <c r="B1396" s="2" t="s">
        <v>2945</v>
      </c>
      <c r="C1396" s="2" t="str">
        <f t="shared" si="21"/>
        <v>TX0063690_015</v>
      </c>
      <c r="D1396" s="2" t="s">
        <v>3703</v>
      </c>
    </row>
    <row r="1397" spans="1:4" x14ac:dyDescent="0.25">
      <c r="A1397" s="2" t="s">
        <v>6103</v>
      </c>
      <c r="B1397" s="2" t="s">
        <v>3704</v>
      </c>
      <c r="C1397" s="2" t="str">
        <f t="shared" si="21"/>
        <v>TX0063703_101</v>
      </c>
      <c r="D1397" s="2" t="s">
        <v>3703</v>
      </c>
    </row>
    <row r="1398" spans="1:4" x14ac:dyDescent="0.25">
      <c r="A1398" s="2" t="s">
        <v>6104</v>
      </c>
      <c r="B1398" s="2" t="s">
        <v>2921</v>
      </c>
      <c r="C1398" s="2" t="str">
        <f t="shared" si="21"/>
        <v>TX0063860_001</v>
      </c>
      <c r="D1398" s="2" t="s">
        <v>3705</v>
      </c>
    </row>
    <row r="1399" spans="1:4" x14ac:dyDescent="0.25">
      <c r="A1399" s="2" t="s">
        <v>6105</v>
      </c>
      <c r="B1399" s="2" t="s">
        <v>2921</v>
      </c>
      <c r="C1399" s="2" t="str">
        <f t="shared" si="21"/>
        <v>TX0063878_001</v>
      </c>
      <c r="D1399" s="2" t="s">
        <v>3706</v>
      </c>
    </row>
    <row r="1400" spans="1:4" x14ac:dyDescent="0.25">
      <c r="A1400" s="2" t="s">
        <v>6105</v>
      </c>
      <c r="B1400" s="2" t="s">
        <v>2923</v>
      </c>
      <c r="C1400" s="2" t="str">
        <f t="shared" si="21"/>
        <v>TX0063878_002</v>
      </c>
      <c r="D1400" s="2" t="s">
        <v>3706</v>
      </c>
    </row>
    <row r="1401" spans="1:4" x14ac:dyDescent="0.25">
      <c r="A1401" s="2" t="s">
        <v>6106</v>
      </c>
      <c r="B1401" s="2" t="s">
        <v>2923</v>
      </c>
      <c r="C1401" s="2" t="str">
        <f t="shared" si="21"/>
        <v>TX0064378_002</v>
      </c>
      <c r="D1401" s="2" t="s">
        <v>3707</v>
      </c>
    </row>
    <row r="1402" spans="1:4" x14ac:dyDescent="0.25">
      <c r="A1402" s="2" t="s">
        <v>6106</v>
      </c>
      <c r="B1402" s="2" t="s">
        <v>2921</v>
      </c>
      <c r="C1402" s="2" t="str">
        <f t="shared" si="21"/>
        <v>TX0064378_001</v>
      </c>
      <c r="D1402" s="2" t="s">
        <v>3707</v>
      </c>
    </row>
    <row r="1403" spans="1:4" x14ac:dyDescent="0.25">
      <c r="A1403" s="2" t="s">
        <v>6107</v>
      </c>
      <c r="B1403" s="2" t="s">
        <v>2921</v>
      </c>
      <c r="C1403" s="2" t="str">
        <f t="shared" si="21"/>
        <v>TX0064491_001</v>
      </c>
      <c r="D1403" s="2" t="s">
        <v>3708</v>
      </c>
    </row>
    <row r="1404" spans="1:4" x14ac:dyDescent="0.25">
      <c r="A1404" s="2" t="s">
        <v>6107</v>
      </c>
      <c r="B1404" s="2" t="s">
        <v>2923</v>
      </c>
      <c r="C1404" s="2" t="str">
        <f t="shared" si="21"/>
        <v>TX0064491_002</v>
      </c>
      <c r="D1404" s="2" t="s">
        <v>3709</v>
      </c>
    </row>
    <row r="1405" spans="1:4" x14ac:dyDescent="0.25">
      <c r="A1405" s="2" t="s">
        <v>6108</v>
      </c>
      <c r="B1405" s="2" t="s">
        <v>2921</v>
      </c>
      <c r="C1405" s="2" t="str">
        <f t="shared" si="21"/>
        <v>TX0064513_001</v>
      </c>
      <c r="D1405" s="2" t="s">
        <v>3710</v>
      </c>
    </row>
    <row r="1406" spans="1:4" x14ac:dyDescent="0.25">
      <c r="A1406" s="2" t="s">
        <v>6109</v>
      </c>
      <c r="B1406" s="2" t="s">
        <v>2921</v>
      </c>
      <c r="C1406" s="2" t="str">
        <f t="shared" si="21"/>
        <v>TX0064718_001</v>
      </c>
      <c r="D1406" s="2" t="s">
        <v>3711</v>
      </c>
    </row>
    <row r="1407" spans="1:4" x14ac:dyDescent="0.25">
      <c r="A1407" s="2" t="s">
        <v>6109</v>
      </c>
      <c r="B1407" s="2" t="s">
        <v>2923</v>
      </c>
      <c r="C1407" s="2" t="str">
        <f t="shared" si="21"/>
        <v>TX0064718_002</v>
      </c>
      <c r="D1407" s="2" t="s">
        <v>3711</v>
      </c>
    </row>
    <row r="1408" spans="1:4" x14ac:dyDescent="0.25">
      <c r="A1408" s="2" t="s">
        <v>6110</v>
      </c>
      <c r="B1408" s="2" t="s">
        <v>2921</v>
      </c>
      <c r="C1408" s="2" t="str">
        <f t="shared" si="21"/>
        <v>TX0064734_001</v>
      </c>
      <c r="D1408" s="2" t="s">
        <v>3712</v>
      </c>
    </row>
    <row r="1409" spans="1:4" x14ac:dyDescent="0.25">
      <c r="A1409" s="2" t="s">
        <v>6111</v>
      </c>
      <c r="B1409" s="2" t="s">
        <v>2921</v>
      </c>
      <c r="C1409" s="2" t="str">
        <f t="shared" si="21"/>
        <v>TX0064777_001</v>
      </c>
      <c r="D1409" s="2" t="s">
        <v>3713</v>
      </c>
    </row>
    <row r="1410" spans="1:4" x14ac:dyDescent="0.25">
      <c r="A1410" s="2" t="s">
        <v>6112</v>
      </c>
      <c r="B1410" s="2" t="s">
        <v>2921</v>
      </c>
      <c r="C1410" s="2" t="str">
        <f t="shared" si="21"/>
        <v>TX0064912_001</v>
      </c>
      <c r="D1410" s="2" t="s">
        <v>3714</v>
      </c>
    </row>
    <row r="1411" spans="1:4" x14ac:dyDescent="0.25">
      <c r="A1411" s="2" t="s">
        <v>6113</v>
      </c>
      <c r="B1411" s="2" t="s">
        <v>2921</v>
      </c>
      <c r="C1411" s="2" t="str">
        <f t="shared" ref="C1411:C1474" si="22">A1411 &amp; "_" &amp; B1411</f>
        <v>TX0064947_001</v>
      </c>
      <c r="D1411" s="2" t="s">
        <v>3715</v>
      </c>
    </row>
    <row r="1412" spans="1:4" x14ac:dyDescent="0.25">
      <c r="A1412" s="2" t="s">
        <v>6113</v>
      </c>
      <c r="B1412" s="2" t="s">
        <v>2936</v>
      </c>
      <c r="C1412" s="2" t="str">
        <f t="shared" si="22"/>
        <v>TX0064947_004</v>
      </c>
      <c r="D1412" s="2" t="s">
        <v>3715</v>
      </c>
    </row>
    <row r="1413" spans="1:4" x14ac:dyDescent="0.25">
      <c r="A1413" s="2" t="s">
        <v>6113</v>
      </c>
      <c r="B1413" s="2" t="s">
        <v>2934</v>
      </c>
      <c r="C1413" s="2" t="str">
        <f t="shared" si="22"/>
        <v>TX0064947_005</v>
      </c>
      <c r="D1413" s="2" t="s">
        <v>3715</v>
      </c>
    </row>
    <row r="1414" spans="1:4" x14ac:dyDescent="0.25">
      <c r="A1414" s="2" t="s">
        <v>6113</v>
      </c>
      <c r="B1414" s="2" t="s">
        <v>2940</v>
      </c>
      <c r="C1414" s="2" t="str">
        <f t="shared" si="22"/>
        <v>TX0064947_006</v>
      </c>
      <c r="D1414" s="2" t="s">
        <v>3715</v>
      </c>
    </row>
    <row r="1415" spans="1:4" x14ac:dyDescent="0.25">
      <c r="A1415" s="2" t="s">
        <v>6113</v>
      </c>
      <c r="B1415" s="2" t="s">
        <v>2923</v>
      </c>
      <c r="C1415" s="2" t="str">
        <f t="shared" si="22"/>
        <v>TX0064947_002</v>
      </c>
      <c r="D1415" s="2" t="s">
        <v>3715</v>
      </c>
    </row>
    <row r="1416" spans="1:4" x14ac:dyDescent="0.25">
      <c r="A1416" s="2" t="s">
        <v>6113</v>
      </c>
      <c r="B1416" s="2" t="s">
        <v>2924</v>
      </c>
      <c r="C1416" s="2" t="str">
        <f t="shared" si="22"/>
        <v>TX0064947_003</v>
      </c>
      <c r="D1416" s="2" t="s">
        <v>3715</v>
      </c>
    </row>
    <row r="1417" spans="1:4" x14ac:dyDescent="0.25">
      <c r="A1417" s="2" t="s">
        <v>6114</v>
      </c>
      <c r="B1417" s="2" t="s">
        <v>2921</v>
      </c>
      <c r="C1417" s="2" t="str">
        <f t="shared" si="22"/>
        <v>TX0064963_001</v>
      </c>
      <c r="D1417" s="2" t="s">
        <v>3512</v>
      </c>
    </row>
    <row r="1418" spans="1:4" x14ac:dyDescent="0.25">
      <c r="A1418" s="2" t="s">
        <v>6115</v>
      </c>
      <c r="B1418" s="2" t="s">
        <v>2921</v>
      </c>
      <c r="C1418" s="2" t="str">
        <f t="shared" si="22"/>
        <v>TX0064998_001</v>
      </c>
      <c r="D1418" s="2" t="s">
        <v>3716</v>
      </c>
    </row>
    <row r="1419" spans="1:4" x14ac:dyDescent="0.25">
      <c r="A1419" s="2" t="s">
        <v>6116</v>
      </c>
      <c r="B1419" s="2" t="s">
        <v>2921</v>
      </c>
      <c r="C1419" s="2" t="str">
        <f t="shared" si="22"/>
        <v>TX0065013_001</v>
      </c>
      <c r="D1419" s="2" t="s">
        <v>3717</v>
      </c>
    </row>
    <row r="1420" spans="1:4" x14ac:dyDescent="0.25">
      <c r="A1420" s="2" t="s">
        <v>6117</v>
      </c>
      <c r="B1420" s="2" t="s">
        <v>2921</v>
      </c>
      <c r="C1420" s="2" t="str">
        <f t="shared" si="22"/>
        <v>TX0065021_001</v>
      </c>
      <c r="D1420" s="2" t="s">
        <v>3059</v>
      </c>
    </row>
    <row r="1421" spans="1:4" x14ac:dyDescent="0.25">
      <c r="A1421" s="2" t="s">
        <v>6118</v>
      </c>
      <c r="B1421" s="2" t="s">
        <v>2921</v>
      </c>
      <c r="C1421" s="2" t="str">
        <f t="shared" si="22"/>
        <v>TX0065307_001</v>
      </c>
      <c r="D1421" s="2" t="s">
        <v>3110</v>
      </c>
    </row>
    <row r="1422" spans="1:4" x14ac:dyDescent="0.25">
      <c r="A1422" s="2" t="s">
        <v>6119</v>
      </c>
      <c r="B1422" s="2" t="s">
        <v>2921</v>
      </c>
      <c r="C1422" s="2" t="str">
        <f t="shared" si="22"/>
        <v>TX0065641_001</v>
      </c>
      <c r="D1422" s="2" t="s">
        <v>3538</v>
      </c>
    </row>
    <row r="1423" spans="1:4" x14ac:dyDescent="0.25">
      <c r="A1423" s="2" t="s">
        <v>6120</v>
      </c>
      <c r="B1423" s="2" t="s">
        <v>2921</v>
      </c>
      <c r="C1423" s="2" t="str">
        <f t="shared" si="22"/>
        <v>TX0065650_001</v>
      </c>
      <c r="D1423" s="2" t="s">
        <v>3718</v>
      </c>
    </row>
    <row r="1424" spans="1:4" x14ac:dyDescent="0.25">
      <c r="A1424" s="2" t="s">
        <v>6121</v>
      </c>
      <c r="B1424" s="2" t="s">
        <v>2921</v>
      </c>
      <c r="C1424" s="2" t="str">
        <f t="shared" si="22"/>
        <v>TX0065749_001</v>
      </c>
      <c r="D1424" s="2" t="s">
        <v>3719</v>
      </c>
    </row>
    <row r="1425" spans="1:4" x14ac:dyDescent="0.25">
      <c r="A1425" s="2" t="s">
        <v>6122</v>
      </c>
      <c r="B1425" s="2" t="s">
        <v>2921</v>
      </c>
      <c r="C1425" s="2" t="str">
        <f t="shared" si="22"/>
        <v>TX0065854_001</v>
      </c>
      <c r="D1425" s="2" t="s">
        <v>3720</v>
      </c>
    </row>
    <row r="1426" spans="1:4" x14ac:dyDescent="0.25">
      <c r="A1426" s="2" t="s">
        <v>6122</v>
      </c>
      <c r="B1426" s="2" t="s">
        <v>2923</v>
      </c>
      <c r="C1426" s="2" t="str">
        <f t="shared" si="22"/>
        <v>TX0065854_002</v>
      </c>
      <c r="D1426" s="2" t="s">
        <v>3720</v>
      </c>
    </row>
    <row r="1427" spans="1:4" x14ac:dyDescent="0.25">
      <c r="A1427" s="2" t="s">
        <v>6122</v>
      </c>
      <c r="B1427" s="2" t="s">
        <v>2924</v>
      </c>
      <c r="C1427" s="2" t="str">
        <f t="shared" si="22"/>
        <v>TX0065854_003</v>
      </c>
      <c r="D1427" s="2" t="s">
        <v>3720</v>
      </c>
    </row>
    <row r="1428" spans="1:4" x14ac:dyDescent="0.25">
      <c r="A1428" s="2" t="s">
        <v>6122</v>
      </c>
      <c r="B1428" s="2" t="s">
        <v>2936</v>
      </c>
      <c r="C1428" s="2" t="str">
        <f t="shared" si="22"/>
        <v>TX0065854_004</v>
      </c>
      <c r="D1428" s="2" t="s">
        <v>3720</v>
      </c>
    </row>
    <row r="1429" spans="1:4" x14ac:dyDescent="0.25">
      <c r="A1429" s="2" t="s">
        <v>6123</v>
      </c>
      <c r="B1429" s="2" t="s">
        <v>2921</v>
      </c>
      <c r="C1429" s="2" t="str">
        <f t="shared" si="22"/>
        <v>TX0065986_001</v>
      </c>
      <c r="D1429" s="2" t="s">
        <v>3721</v>
      </c>
    </row>
    <row r="1430" spans="1:4" x14ac:dyDescent="0.25">
      <c r="A1430" s="2" t="s">
        <v>6124</v>
      </c>
      <c r="B1430" s="2" t="s">
        <v>2921</v>
      </c>
      <c r="C1430" s="2" t="str">
        <f t="shared" si="22"/>
        <v>TX0066010_001</v>
      </c>
      <c r="D1430" s="2" t="s">
        <v>3722</v>
      </c>
    </row>
    <row r="1431" spans="1:4" x14ac:dyDescent="0.25">
      <c r="A1431" s="2" t="s">
        <v>6125</v>
      </c>
      <c r="B1431" s="2" t="s">
        <v>2921</v>
      </c>
      <c r="C1431" s="2" t="str">
        <f t="shared" si="22"/>
        <v>TX0066125_001</v>
      </c>
      <c r="D1431" s="2" t="s">
        <v>3410</v>
      </c>
    </row>
    <row r="1432" spans="1:4" x14ac:dyDescent="0.25">
      <c r="A1432" s="2" t="s">
        <v>6126</v>
      </c>
      <c r="B1432" s="2" t="s">
        <v>2921</v>
      </c>
      <c r="C1432" s="2" t="str">
        <f t="shared" si="22"/>
        <v>TX0066133_001</v>
      </c>
      <c r="D1432" s="2" t="s">
        <v>3723</v>
      </c>
    </row>
    <row r="1433" spans="1:4" x14ac:dyDescent="0.25">
      <c r="A1433" s="2" t="s">
        <v>6127</v>
      </c>
      <c r="B1433" s="2" t="s">
        <v>2921</v>
      </c>
      <c r="C1433" s="2" t="str">
        <f t="shared" si="22"/>
        <v>TX0066150_001</v>
      </c>
      <c r="D1433" s="2" t="s">
        <v>3724</v>
      </c>
    </row>
    <row r="1434" spans="1:4" x14ac:dyDescent="0.25">
      <c r="A1434" s="2" t="s">
        <v>6128</v>
      </c>
      <c r="B1434" s="2" t="s">
        <v>2921</v>
      </c>
      <c r="C1434" s="2" t="str">
        <f t="shared" si="22"/>
        <v>TX0066478_001</v>
      </c>
      <c r="D1434" s="2" t="s">
        <v>3725</v>
      </c>
    </row>
    <row r="1435" spans="1:4" x14ac:dyDescent="0.25">
      <c r="A1435" s="2" t="s">
        <v>6129</v>
      </c>
      <c r="B1435" s="2" t="s">
        <v>2921</v>
      </c>
      <c r="C1435" s="2" t="str">
        <f t="shared" si="22"/>
        <v>TX0066583_001</v>
      </c>
      <c r="D1435" s="2" t="s">
        <v>3110</v>
      </c>
    </row>
    <row r="1436" spans="1:4" x14ac:dyDescent="0.25">
      <c r="A1436" s="2" t="s">
        <v>6130</v>
      </c>
      <c r="B1436" s="2" t="s">
        <v>2921</v>
      </c>
      <c r="C1436" s="2" t="str">
        <f t="shared" si="22"/>
        <v>TX0066648_001</v>
      </c>
      <c r="D1436" s="2" t="s">
        <v>3726</v>
      </c>
    </row>
    <row r="1437" spans="1:4" x14ac:dyDescent="0.25">
      <c r="A1437" s="2" t="s">
        <v>6131</v>
      </c>
      <c r="B1437" s="2" t="s">
        <v>2921</v>
      </c>
      <c r="C1437" s="2" t="str">
        <f t="shared" si="22"/>
        <v>TX0066656_001</v>
      </c>
      <c r="D1437" s="2" t="s">
        <v>3286</v>
      </c>
    </row>
    <row r="1438" spans="1:4" x14ac:dyDescent="0.25">
      <c r="A1438" s="2" t="s">
        <v>6131</v>
      </c>
      <c r="B1438" s="2" t="s">
        <v>2921</v>
      </c>
      <c r="C1438" s="2" t="str">
        <f t="shared" si="22"/>
        <v>TX0066656_001</v>
      </c>
      <c r="D1438" s="2" t="s">
        <v>3286</v>
      </c>
    </row>
    <row r="1439" spans="1:4" x14ac:dyDescent="0.25">
      <c r="A1439" s="2" t="s">
        <v>6132</v>
      </c>
      <c r="B1439" s="2" t="s">
        <v>2921</v>
      </c>
      <c r="C1439" s="2" t="str">
        <f t="shared" si="22"/>
        <v>TX0066664_001</v>
      </c>
      <c r="D1439" s="2" t="s">
        <v>3727</v>
      </c>
    </row>
    <row r="1440" spans="1:4" x14ac:dyDescent="0.25">
      <c r="A1440" s="2" t="s">
        <v>6133</v>
      </c>
      <c r="B1440" s="2" t="s">
        <v>2921</v>
      </c>
      <c r="C1440" s="2" t="str">
        <f t="shared" si="22"/>
        <v>TX0066702_001</v>
      </c>
      <c r="D1440" s="2" t="s">
        <v>3728</v>
      </c>
    </row>
    <row r="1441" spans="1:4" x14ac:dyDescent="0.25">
      <c r="A1441" s="2" t="s">
        <v>6134</v>
      </c>
      <c r="B1441" s="2" t="s">
        <v>2921</v>
      </c>
      <c r="C1441" s="2" t="str">
        <f t="shared" si="22"/>
        <v>TX0066745_001</v>
      </c>
      <c r="D1441" s="2" t="s">
        <v>3729</v>
      </c>
    </row>
    <row r="1442" spans="1:4" x14ac:dyDescent="0.25">
      <c r="A1442" s="2" t="s">
        <v>6135</v>
      </c>
      <c r="B1442" s="2" t="s">
        <v>2921</v>
      </c>
      <c r="C1442" s="2" t="str">
        <f t="shared" si="22"/>
        <v>TX0067415_001</v>
      </c>
      <c r="D1442" s="2" t="s">
        <v>3665</v>
      </c>
    </row>
    <row r="1443" spans="1:4" x14ac:dyDescent="0.25">
      <c r="A1443" s="2" t="s">
        <v>6136</v>
      </c>
      <c r="B1443" s="2" t="s">
        <v>2921</v>
      </c>
      <c r="C1443" s="2" t="str">
        <f t="shared" si="22"/>
        <v>TX0067466_001</v>
      </c>
      <c r="D1443" s="2" t="s">
        <v>3509</v>
      </c>
    </row>
    <row r="1444" spans="1:4" x14ac:dyDescent="0.25">
      <c r="A1444" s="2" t="s">
        <v>6137</v>
      </c>
      <c r="B1444" s="2" t="s">
        <v>2921</v>
      </c>
      <c r="C1444" s="2" t="str">
        <f t="shared" si="22"/>
        <v>TX0067474_001</v>
      </c>
      <c r="D1444" s="2" t="s">
        <v>3286</v>
      </c>
    </row>
    <row r="1445" spans="1:4" x14ac:dyDescent="0.25">
      <c r="A1445" s="2" t="s">
        <v>6138</v>
      </c>
      <c r="B1445" s="2" t="s">
        <v>2921</v>
      </c>
      <c r="C1445" s="2" t="str">
        <f t="shared" si="22"/>
        <v>TX0067504_001</v>
      </c>
      <c r="D1445" s="2" t="s">
        <v>3730</v>
      </c>
    </row>
    <row r="1446" spans="1:4" x14ac:dyDescent="0.25">
      <c r="A1446" s="2" t="s">
        <v>6139</v>
      </c>
      <c r="B1446" s="2" t="s">
        <v>2921</v>
      </c>
      <c r="C1446" s="2" t="str">
        <f t="shared" si="22"/>
        <v>TX0067539_001</v>
      </c>
      <c r="D1446" s="2" t="s">
        <v>3731</v>
      </c>
    </row>
    <row r="1447" spans="1:4" x14ac:dyDescent="0.25">
      <c r="A1447" s="2" t="s">
        <v>6140</v>
      </c>
      <c r="B1447" s="2" t="s">
        <v>2959</v>
      </c>
      <c r="C1447" s="2" t="str">
        <f t="shared" si="22"/>
        <v>TX0067695_007</v>
      </c>
      <c r="D1447" s="2" t="s">
        <v>3732</v>
      </c>
    </row>
    <row r="1448" spans="1:4" x14ac:dyDescent="0.25">
      <c r="A1448" s="2" t="s">
        <v>6140</v>
      </c>
      <c r="B1448" s="2" t="s">
        <v>2921</v>
      </c>
      <c r="C1448" s="2" t="str">
        <f t="shared" si="22"/>
        <v>TX0067695_001</v>
      </c>
      <c r="D1448" s="2" t="s">
        <v>3732</v>
      </c>
    </row>
    <row r="1449" spans="1:4" x14ac:dyDescent="0.25">
      <c r="A1449" s="2" t="s">
        <v>6140</v>
      </c>
      <c r="B1449" s="2" t="s">
        <v>2923</v>
      </c>
      <c r="C1449" s="2" t="str">
        <f t="shared" si="22"/>
        <v>TX0067695_002</v>
      </c>
      <c r="D1449" s="2" t="s">
        <v>3732</v>
      </c>
    </row>
    <row r="1450" spans="1:4" x14ac:dyDescent="0.25">
      <c r="A1450" s="2" t="s">
        <v>6140</v>
      </c>
      <c r="B1450" s="2" t="s">
        <v>2936</v>
      </c>
      <c r="C1450" s="2" t="str">
        <f t="shared" si="22"/>
        <v>TX0067695_004</v>
      </c>
      <c r="D1450" s="2" t="s">
        <v>3732</v>
      </c>
    </row>
    <row r="1451" spans="1:4" x14ac:dyDescent="0.25">
      <c r="A1451" s="2" t="s">
        <v>6141</v>
      </c>
      <c r="B1451" s="2" t="s">
        <v>2921</v>
      </c>
      <c r="C1451" s="2" t="str">
        <f t="shared" si="22"/>
        <v>TX0067873_001</v>
      </c>
      <c r="D1451" s="2" t="s">
        <v>3733</v>
      </c>
    </row>
    <row r="1452" spans="1:4" x14ac:dyDescent="0.25">
      <c r="A1452" s="2" t="s">
        <v>6142</v>
      </c>
      <c r="B1452" s="2" t="s">
        <v>2921</v>
      </c>
      <c r="C1452" s="2" t="str">
        <f t="shared" si="22"/>
        <v>TX0067881_001</v>
      </c>
      <c r="D1452" s="2" t="s">
        <v>3734</v>
      </c>
    </row>
    <row r="1453" spans="1:4" x14ac:dyDescent="0.25">
      <c r="A1453" s="2" t="s">
        <v>6143</v>
      </c>
      <c r="B1453" s="2" t="s">
        <v>2921</v>
      </c>
      <c r="C1453" s="2" t="str">
        <f t="shared" si="22"/>
        <v>TX0067890_001</v>
      </c>
      <c r="D1453" s="2" t="s">
        <v>3050</v>
      </c>
    </row>
    <row r="1454" spans="1:4" x14ac:dyDescent="0.25">
      <c r="A1454" s="2" t="s">
        <v>6143</v>
      </c>
      <c r="B1454" s="2" t="s">
        <v>2923</v>
      </c>
      <c r="C1454" s="2" t="str">
        <f t="shared" si="22"/>
        <v>TX0067890_002</v>
      </c>
      <c r="D1454" s="2" t="s">
        <v>3050</v>
      </c>
    </row>
    <row r="1455" spans="1:4" x14ac:dyDescent="0.25">
      <c r="A1455" s="2" t="s">
        <v>6143</v>
      </c>
      <c r="B1455" s="2" t="s">
        <v>2924</v>
      </c>
      <c r="C1455" s="2" t="str">
        <f t="shared" si="22"/>
        <v>TX0067890_003</v>
      </c>
      <c r="D1455" s="2" t="s">
        <v>3050</v>
      </c>
    </row>
    <row r="1456" spans="1:4" x14ac:dyDescent="0.25">
      <c r="A1456" s="2" t="s">
        <v>6143</v>
      </c>
      <c r="B1456" s="2" t="s">
        <v>2936</v>
      </c>
      <c r="C1456" s="2" t="str">
        <f t="shared" si="22"/>
        <v>TX0067890_004</v>
      </c>
      <c r="D1456" s="2" t="s">
        <v>3050</v>
      </c>
    </row>
    <row r="1457" spans="1:4" x14ac:dyDescent="0.25">
      <c r="A1457" s="2" t="s">
        <v>6144</v>
      </c>
      <c r="B1457" s="2" t="s">
        <v>2921</v>
      </c>
      <c r="C1457" s="2" t="str">
        <f t="shared" si="22"/>
        <v>TX0067946_001</v>
      </c>
      <c r="D1457" s="2" t="s">
        <v>3735</v>
      </c>
    </row>
    <row r="1458" spans="1:4" x14ac:dyDescent="0.25">
      <c r="A1458" s="2" t="s">
        <v>6145</v>
      </c>
      <c r="B1458" s="2" t="s">
        <v>2921</v>
      </c>
      <c r="C1458" s="2" t="str">
        <f t="shared" si="22"/>
        <v>TX0068004_001</v>
      </c>
      <c r="D1458" s="2" t="s">
        <v>3736</v>
      </c>
    </row>
    <row r="1459" spans="1:4" x14ac:dyDescent="0.25">
      <c r="A1459" s="2" t="s">
        <v>6146</v>
      </c>
      <c r="B1459" s="2" t="s">
        <v>2921</v>
      </c>
      <c r="C1459" s="2" t="str">
        <f t="shared" si="22"/>
        <v>TX0068021_001</v>
      </c>
      <c r="D1459" s="2" t="s">
        <v>3737</v>
      </c>
    </row>
    <row r="1460" spans="1:4" x14ac:dyDescent="0.25">
      <c r="A1460" s="2" t="s">
        <v>6146</v>
      </c>
      <c r="B1460" s="2" t="s">
        <v>2923</v>
      </c>
      <c r="C1460" s="2" t="str">
        <f t="shared" si="22"/>
        <v>TX0068021_002</v>
      </c>
      <c r="D1460" s="2" t="s">
        <v>3737</v>
      </c>
    </row>
    <row r="1461" spans="1:4" x14ac:dyDescent="0.25">
      <c r="A1461" s="2" t="s">
        <v>6147</v>
      </c>
      <c r="B1461" s="2" t="s">
        <v>2921</v>
      </c>
      <c r="C1461" s="2" t="str">
        <f t="shared" si="22"/>
        <v>TX0068039_001</v>
      </c>
      <c r="D1461" s="2" t="s">
        <v>3738</v>
      </c>
    </row>
    <row r="1462" spans="1:4" x14ac:dyDescent="0.25">
      <c r="A1462" s="2" t="s">
        <v>6148</v>
      </c>
      <c r="B1462" s="2" t="s">
        <v>2921</v>
      </c>
      <c r="C1462" s="2" t="str">
        <f t="shared" si="22"/>
        <v>TX0068047_001</v>
      </c>
      <c r="D1462" s="2" t="s">
        <v>3739</v>
      </c>
    </row>
    <row r="1463" spans="1:4" x14ac:dyDescent="0.25">
      <c r="A1463" s="2" t="s">
        <v>6149</v>
      </c>
      <c r="B1463" s="2" t="s">
        <v>2921</v>
      </c>
      <c r="C1463" s="2" t="str">
        <f t="shared" si="22"/>
        <v>TX0068276_001</v>
      </c>
      <c r="D1463" s="2" t="s">
        <v>3446</v>
      </c>
    </row>
    <row r="1464" spans="1:4" x14ac:dyDescent="0.25">
      <c r="A1464" s="2" t="s">
        <v>6150</v>
      </c>
      <c r="B1464" s="2" t="s">
        <v>2921</v>
      </c>
      <c r="C1464" s="2" t="str">
        <f t="shared" si="22"/>
        <v>TX0068349_001</v>
      </c>
      <c r="D1464" s="2" t="s">
        <v>3740</v>
      </c>
    </row>
    <row r="1465" spans="1:4" x14ac:dyDescent="0.25">
      <c r="A1465" s="2" t="s">
        <v>6150</v>
      </c>
      <c r="B1465" s="2" t="s">
        <v>2923</v>
      </c>
      <c r="C1465" s="2" t="str">
        <f t="shared" si="22"/>
        <v>TX0068349_002</v>
      </c>
      <c r="D1465" s="2" t="s">
        <v>3740</v>
      </c>
    </row>
    <row r="1466" spans="1:4" x14ac:dyDescent="0.25">
      <c r="A1466" s="2" t="s">
        <v>6150</v>
      </c>
      <c r="B1466" s="2" t="s">
        <v>2924</v>
      </c>
      <c r="C1466" s="2" t="str">
        <f t="shared" si="22"/>
        <v>TX0068349_003</v>
      </c>
      <c r="D1466" s="2" t="s">
        <v>3740</v>
      </c>
    </row>
    <row r="1467" spans="1:4" x14ac:dyDescent="0.25">
      <c r="A1467" s="2" t="s">
        <v>6150</v>
      </c>
      <c r="B1467" s="2" t="s">
        <v>2936</v>
      </c>
      <c r="C1467" s="2" t="str">
        <f t="shared" si="22"/>
        <v>TX0068349_004</v>
      </c>
      <c r="D1467" s="2" t="s">
        <v>3740</v>
      </c>
    </row>
    <row r="1468" spans="1:4" x14ac:dyDescent="0.25">
      <c r="A1468" s="2" t="s">
        <v>6150</v>
      </c>
      <c r="B1468" s="2" t="s">
        <v>2934</v>
      </c>
      <c r="C1468" s="2" t="str">
        <f t="shared" si="22"/>
        <v>TX0068349_005</v>
      </c>
      <c r="D1468" s="2" t="s">
        <v>3740</v>
      </c>
    </row>
    <row r="1469" spans="1:4" x14ac:dyDescent="0.25">
      <c r="A1469" s="2" t="s">
        <v>6150</v>
      </c>
      <c r="B1469" s="2" t="s">
        <v>2940</v>
      </c>
      <c r="C1469" s="2" t="str">
        <f t="shared" si="22"/>
        <v>TX0068349_006</v>
      </c>
      <c r="D1469" s="2" t="s">
        <v>3740</v>
      </c>
    </row>
    <row r="1470" spans="1:4" x14ac:dyDescent="0.25">
      <c r="A1470" s="2" t="s">
        <v>6150</v>
      </c>
      <c r="B1470" s="2" t="s">
        <v>2946</v>
      </c>
      <c r="C1470" s="2" t="str">
        <f t="shared" si="22"/>
        <v>TX0068349_008</v>
      </c>
      <c r="D1470" s="2" t="s">
        <v>3740</v>
      </c>
    </row>
    <row r="1471" spans="1:4" x14ac:dyDescent="0.25">
      <c r="A1471" s="2" t="s">
        <v>6150</v>
      </c>
      <c r="B1471" s="2" t="s">
        <v>2947</v>
      </c>
      <c r="C1471" s="2" t="str">
        <f t="shared" si="22"/>
        <v>TX0068349_010</v>
      </c>
      <c r="D1471" s="2" t="s">
        <v>3740</v>
      </c>
    </row>
    <row r="1472" spans="1:4" x14ac:dyDescent="0.25">
      <c r="A1472" s="2" t="s">
        <v>6150</v>
      </c>
      <c r="B1472" s="2" t="s">
        <v>2923</v>
      </c>
      <c r="C1472" s="2" t="str">
        <f t="shared" si="22"/>
        <v>TX0068349_002</v>
      </c>
      <c r="D1472" s="2" t="s">
        <v>3740</v>
      </c>
    </row>
    <row r="1473" spans="1:4" x14ac:dyDescent="0.25">
      <c r="A1473" s="2" t="s">
        <v>6151</v>
      </c>
      <c r="B1473" s="2" t="s">
        <v>2921</v>
      </c>
      <c r="C1473" s="2" t="str">
        <f t="shared" si="22"/>
        <v>TX0068357_001</v>
      </c>
      <c r="D1473" s="2" t="s">
        <v>2930</v>
      </c>
    </row>
    <row r="1474" spans="1:4" x14ac:dyDescent="0.25">
      <c r="A1474" s="2" t="s">
        <v>6152</v>
      </c>
      <c r="B1474" s="2" t="s">
        <v>2921</v>
      </c>
      <c r="C1474" s="2" t="str">
        <f t="shared" si="22"/>
        <v>TX0068632_001</v>
      </c>
      <c r="D1474" s="2" t="s">
        <v>3741</v>
      </c>
    </row>
    <row r="1475" spans="1:4" x14ac:dyDescent="0.25">
      <c r="A1475" s="2" t="s">
        <v>6153</v>
      </c>
      <c r="B1475" s="2" t="s">
        <v>2921</v>
      </c>
      <c r="C1475" s="2" t="str">
        <f t="shared" ref="C1475:C1538" si="23">A1475 &amp; "_" &amp; B1475</f>
        <v>TX0068659_001</v>
      </c>
      <c r="D1475" s="2" t="s">
        <v>3742</v>
      </c>
    </row>
    <row r="1476" spans="1:4" x14ac:dyDescent="0.25">
      <c r="A1476" s="2" t="s">
        <v>6154</v>
      </c>
      <c r="B1476" s="2" t="s">
        <v>2921</v>
      </c>
      <c r="C1476" s="2" t="str">
        <f t="shared" si="23"/>
        <v>TX0068683_001</v>
      </c>
      <c r="D1476" s="2" t="s">
        <v>3286</v>
      </c>
    </row>
    <row r="1477" spans="1:4" x14ac:dyDescent="0.25">
      <c r="A1477" s="2" t="s">
        <v>6155</v>
      </c>
      <c r="B1477" s="2" t="s">
        <v>2921</v>
      </c>
      <c r="C1477" s="2" t="str">
        <f t="shared" si="23"/>
        <v>TX0068713_001</v>
      </c>
      <c r="D1477" s="2" t="s">
        <v>3743</v>
      </c>
    </row>
    <row r="1478" spans="1:4" x14ac:dyDescent="0.25">
      <c r="A1478" s="2" t="s">
        <v>6156</v>
      </c>
      <c r="B1478" s="2" t="s">
        <v>2921</v>
      </c>
      <c r="C1478" s="2" t="str">
        <f t="shared" si="23"/>
        <v>TX0068756_001</v>
      </c>
      <c r="D1478" s="2" t="s">
        <v>3744</v>
      </c>
    </row>
    <row r="1479" spans="1:4" x14ac:dyDescent="0.25">
      <c r="A1479" s="2" t="s">
        <v>6157</v>
      </c>
      <c r="B1479" s="2" t="s">
        <v>2921</v>
      </c>
      <c r="C1479" s="2" t="str">
        <f t="shared" si="23"/>
        <v>TX0068764_001</v>
      </c>
      <c r="D1479" s="2" t="s">
        <v>3745</v>
      </c>
    </row>
    <row r="1480" spans="1:4" x14ac:dyDescent="0.25">
      <c r="A1480" s="2" t="s">
        <v>6158</v>
      </c>
      <c r="B1480" s="2" t="s">
        <v>2921</v>
      </c>
      <c r="C1480" s="2" t="str">
        <f t="shared" si="23"/>
        <v>TX0068781_001</v>
      </c>
      <c r="D1480" s="2" t="s">
        <v>3746</v>
      </c>
    </row>
    <row r="1481" spans="1:4" x14ac:dyDescent="0.25">
      <c r="A1481" s="2" t="s">
        <v>6158</v>
      </c>
      <c r="B1481" s="2" t="s">
        <v>2923</v>
      </c>
      <c r="C1481" s="2" t="str">
        <f t="shared" si="23"/>
        <v>TX0068781_002</v>
      </c>
      <c r="D1481" s="2" t="s">
        <v>3746</v>
      </c>
    </row>
    <row r="1482" spans="1:4" x14ac:dyDescent="0.25">
      <c r="A1482" s="2" t="s">
        <v>6159</v>
      </c>
      <c r="B1482" s="2" t="s">
        <v>2921</v>
      </c>
      <c r="C1482" s="2" t="str">
        <f t="shared" si="23"/>
        <v>TX0068845_001</v>
      </c>
      <c r="D1482" s="2" t="s">
        <v>3747</v>
      </c>
    </row>
    <row r="1483" spans="1:4" x14ac:dyDescent="0.25">
      <c r="A1483" s="2" t="s">
        <v>6160</v>
      </c>
      <c r="B1483" s="2" t="s">
        <v>2921</v>
      </c>
      <c r="C1483" s="2" t="str">
        <f t="shared" si="23"/>
        <v>TX0068926_001</v>
      </c>
      <c r="D1483" s="2" t="s">
        <v>3748</v>
      </c>
    </row>
    <row r="1484" spans="1:4" x14ac:dyDescent="0.25">
      <c r="A1484" s="2" t="s">
        <v>6161</v>
      </c>
      <c r="B1484" s="2" t="s">
        <v>2921</v>
      </c>
      <c r="C1484" s="2" t="str">
        <f t="shared" si="23"/>
        <v>TX0068934_001</v>
      </c>
      <c r="D1484" s="2" t="s">
        <v>2998</v>
      </c>
    </row>
    <row r="1485" spans="1:4" x14ac:dyDescent="0.25">
      <c r="A1485" s="2" t="s">
        <v>6161</v>
      </c>
      <c r="B1485" s="2" t="s">
        <v>2923</v>
      </c>
      <c r="C1485" s="2" t="str">
        <f t="shared" si="23"/>
        <v>TX0068934_002</v>
      </c>
      <c r="D1485" s="2" t="s">
        <v>2998</v>
      </c>
    </row>
    <row r="1486" spans="1:4" x14ac:dyDescent="0.25">
      <c r="A1486" s="2" t="s">
        <v>6162</v>
      </c>
      <c r="B1486" s="2" t="s">
        <v>2921</v>
      </c>
      <c r="C1486" s="2" t="str">
        <f t="shared" si="23"/>
        <v>TX0068985_001</v>
      </c>
      <c r="D1486" s="2" t="s">
        <v>3749</v>
      </c>
    </row>
    <row r="1487" spans="1:4" x14ac:dyDescent="0.25">
      <c r="A1487" s="2" t="s">
        <v>6163</v>
      </c>
      <c r="B1487" s="2" t="s">
        <v>2921</v>
      </c>
      <c r="C1487" s="2" t="str">
        <f t="shared" si="23"/>
        <v>TX0069086_001</v>
      </c>
      <c r="D1487" s="2" t="s">
        <v>3750</v>
      </c>
    </row>
    <row r="1488" spans="1:4" x14ac:dyDescent="0.25">
      <c r="A1488" s="2" t="s">
        <v>6164</v>
      </c>
      <c r="B1488" s="2" t="s">
        <v>2921</v>
      </c>
      <c r="C1488" s="2" t="str">
        <f t="shared" si="23"/>
        <v>TX0069108_001</v>
      </c>
      <c r="D1488" s="2" t="s">
        <v>3751</v>
      </c>
    </row>
    <row r="1489" spans="1:4" x14ac:dyDescent="0.25">
      <c r="A1489" s="2" t="s">
        <v>6165</v>
      </c>
      <c r="B1489" s="2" t="s">
        <v>2921</v>
      </c>
      <c r="C1489" s="2" t="str">
        <f t="shared" si="23"/>
        <v>TX0069183_001</v>
      </c>
      <c r="D1489" s="2" t="s">
        <v>3752</v>
      </c>
    </row>
    <row r="1490" spans="1:4" x14ac:dyDescent="0.25">
      <c r="A1490" s="2" t="s">
        <v>6166</v>
      </c>
      <c r="B1490" s="2" t="s">
        <v>2921</v>
      </c>
      <c r="C1490" s="2" t="str">
        <f t="shared" si="23"/>
        <v>TX0069191_001</v>
      </c>
      <c r="D1490" s="2" t="s">
        <v>3753</v>
      </c>
    </row>
    <row r="1491" spans="1:4" x14ac:dyDescent="0.25">
      <c r="A1491" s="2" t="s">
        <v>6167</v>
      </c>
      <c r="B1491" s="2" t="s">
        <v>2921</v>
      </c>
      <c r="C1491" s="2" t="str">
        <f t="shared" si="23"/>
        <v>TX0069213_001</v>
      </c>
      <c r="D1491" s="2" t="s">
        <v>3754</v>
      </c>
    </row>
    <row r="1492" spans="1:4" x14ac:dyDescent="0.25">
      <c r="A1492" s="2" t="s">
        <v>6168</v>
      </c>
      <c r="B1492" s="2" t="s">
        <v>2921</v>
      </c>
      <c r="C1492" s="2" t="str">
        <f t="shared" si="23"/>
        <v>TX0069256_001</v>
      </c>
      <c r="D1492" s="2" t="s">
        <v>3755</v>
      </c>
    </row>
    <row r="1493" spans="1:4" x14ac:dyDescent="0.25">
      <c r="A1493" s="2" t="s">
        <v>6169</v>
      </c>
      <c r="B1493" s="2" t="s">
        <v>2921</v>
      </c>
      <c r="C1493" s="2" t="str">
        <f t="shared" si="23"/>
        <v>TX0069311_001</v>
      </c>
      <c r="D1493" s="2" t="s">
        <v>3154</v>
      </c>
    </row>
    <row r="1494" spans="1:4" x14ac:dyDescent="0.25">
      <c r="A1494" s="2" t="s">
        <v>6170</v>
      </c>
      <c r="B1494" s="2" t="s">
        <v>2921</v>
      </c>
      <c r="C1494" s="2" t="str">
        <f t="shared" si="23"/>
        <v>TX0069469_001</v>
      </c>
      <c r="D1494" s="2" t="s">
        <v>3756</v>
      </c>
    </row>
    <row r="1495" spans="1:4" x14ac:dyDescent="0.25">
      <c r="A1495" s="2" t="s">
        <v>6171</v>
      </c>
      <c r="B1495" s="2" t="s">
        <v>2921</v>
      </c>
      <c r="C1495" s="2" t="str">
        <f t="shared" si="23"/>
        <v>TX0069493_001</v>
      </c>
      <c r="D1495" s="2" t="s">
        <v>3420</v>
      </c>
    </row>
    <row r="1496" spans="1:4" x14ac:dyDescent="0.25">
      <c r="A1496" s="2" t="s">
        <v>6171</v>
      </c>
      <c r="B1496" s="2" t="s">
        <v>2923</v>
      </c>
      <c r="C1496" s="2" t="str">
        <f t="shared" si="23"/>
        <v>TX0069493_002</v>
      </c>
      <c r="D1496" s="2" t="s">
        <v>3420</v>
      </c>
    </row>
    <row r="1497" spans="1:4" x14ac:dyDescent="0.25">
      <c r="A1497" s="2" t="s">
        <v>6171</v>
      </c>
      <c r="B1497" s="2" t="s">
        <v>2924</v>
      </c>
      <c r="C1497" s="2" t="str">
        <f t="shared" si="23"/>
        <v>TX0069493_003</v>
      </c>
      <c r="D1497" s="2" t="s">
        <v>3420</v>
      </c>
    </row>
    <row r="1498" spans="1:4" x14ac:dyDescent="0.25">
      <c r="A1498" s="2" t="s">
        <v>6171</v>
      </c>
      <c r="B1498" s="2" t="s">
        <v>2936</v>
      </c>
      <c r="C1498" s="2" t="str">
        <f t="shared" si="23"/>
        <v>TX0069493_004</v>
      </c>
      <c r="D1498" s="2" t="s">
        <v>3420</v>
      </c>
    </row>
    <row r="1499" spans="1:4" x14ac:dyDescent="0.25">
      <c r="A1499" s="2" t="s">
        <v>6171</v>
      </c>
      <c r="B1499" s="2" t="s">
        <v>2934</v>
      </c>
      <c r="C1499" s="2" t="str">
        <f t="shared" si="23"/>
        <v>TX0069493_005</v>
      </c>
      <c r="D1499" s="2" t="s">
        <v>3420</v>
      </c>
    </row>
    <row r="1500" spans="1:4" x14ac:dyDescent="0.25">
      <c r="A1500" s="2" t="s">
        <v>6171</v>
      </c>
      <c r="B1500" s="2" t="s">
        <v>2940</v>
      </c>
      <c r="C1500" s="2" t="str">
        <f t="shared" si="23"/>
        <v>TX0069493_006</v>
      </c>
      <c r="D1500" s="2" t="s">
        <v>3420</v>
      </c>
    </row>
    <row r="1501" spans="1:4" x14ac:dyDescent="0.25">
      <c r="A1501" s="2" t="s">
        <v>6172</v>
      </c>
      <c r="B1501" s="2" t="s">
        <v>2921</v>
      </c>
      <c r="C1501" s="2" t="str">
        <f t="shared" si="23"/>
        <v>TX0069582_001</v>
      </c>
      <c r="D1501" s="2" t="s">
        <v>3092</v>
      </c>
    </row>
    <row r="1502" spans="1:4" x14ac:dyDescent="0.25">
      <c r="A1502" s="2" t="s">
        <v>6173</v>
      </c>
      <c r="B1502" s="2" t="s">
        <v>2921</v>
      </c>
      <c r="C1502" s="2" t="str">
        <f t="shared" si="23"/>
        <v>TX0069671_001</v>
      </c>
      <c r="D1502" s="2" t="s">
        <v>3757</v>
      </c>
    </row>
    <row r="1503" spans="1:4" x14ac:dyDescent="0.25">
      <c r="A1503" s="2" t="s">
        <v>6174</v>
      </c>
      <c r="B1503" s="2" t="s">
        <v>2921</v>
      </c>
      <c r="C1503" s="2" t="str">
        <f t="shared" si="23"/>
        <v>TX0069710_001</v>
      </c>
      <c r="D1503" s="2" t="s">
        <v>3758</v>
      </c>
    </row>
    <row r="1504" spans="1:4" x14ac:dyDescent="0.25">
      <c r="A1504" s="2" t="s">
        <v>6175</v>
      </c>
      <c r="B1504" s="2" t="s">
        <v>2921</v>
      </c>
      <c r="C1504" s="2" t="str">
        <f t="shared" si="23"/>
        <v>TX0069728_001</v>
      </c>
      <c r="D1504" s="2" t="s">
        <v>3537</v>
      </c>
    </row>
    <row r="1505" spans="1:4" x14ac:dyDescent="0.25">
      <c r="A1505" s="2" t="s">
        <v>6176</v>
      </c>
      <c r="B1505" s="2" t="s">
        <v>2921</v>
      </c>
      <c r="C1505" s="2" t="str">
        <f t="shared" si="23"/>
        <v>TX0069736_001</v>
      </c>
      <c r="D1505" s="2" t="s">
        <v>3110</v>
      </c>
    </row>
    <row r="1506" spans="1:4" x14ac:dyDescent="0.25">
      <c r="A1506" s="2" t="s">
        <v>6177</v>
      </c>
      <c r="B1506" s="2" t="s">
        <v>2921</v>
      </c>
      <c r="C1506" s="2" t="str">
        <f t="shared" si="23"/>
        <v>TX0069809_001</v>
      </c>
      <c r="D1506" s="2" t="s">
        <v>3759</v>
      </c>
    </row>
    <row r="1507" spans="1:4" x14ac:dyDescent="0.25">
      <c r="A1507" s="2" t="s">
        <v>6178</v>
      </c>
      <c r="B1507" s="2" t="s">
        <v>2921</v>
      </c>
      <c r="C1507" s="2" t="str">
        <f t="shared" si="23"/>
        <v>TX0069825_001</v>
      </c>
      <c r="D1507" s="2" t="s">
        <v>3760</v>
      </c>
    </row>
    <row r="1508" spans="1:4" x14ac:dyDescent="0.25">
      <c r="A1508" s="2" t="s">
        <v>6179</v>
      </c>
      <c r="B1508" s="2" t="s">
        <v>2921</v>
      </c>
      <c r="C1508" s="2" t="str">
        <f t="shared" si="23"/>
        <v>TX0069841_001</v>
      </c>
      <c r="D1508" s="2" t="s">
        <v>3733</v>
      </c>
    </row>
    <row r="1509" spans="1:4" x14ac:dyDescent="0.25">
      <c r="A1509" s="2" t="s">
        <v>6180</v>
      </c>
      <c r="B1509" s="2" t="s">
        <v>2921</v>
      </c>
      <c r="C1509" s="2" t="str">
        <f t="shared" si="23"/>
        <v>TX0069850_001</v>
      </c>
      <c r="D1509" s="2" t="s">
        <v>3733</v>
      </c>
    </row>
    <row r="1510" spans="1:4" x14ac:dyDescent="0.25">
      <c r="A1510" s="2" t="s">
        <v>6181</v>
      </c>
      <c r="B1510" s="2" t="s">
        <v>2921</v>
      </c>
      <c r="C1510" s="2" t="str">
        <f t="shared" si="23"/>
        <v>TX0069884_001</v>
      </c>
      <c r="D1510" s="2" t="s">
        <v>3761</v>
      </c>
    </row>
    <row r="1511" spans="1:4" x14ac:dyDescent="0.25">
      <c r="A1511" s="2" t="s">
        <v>6182</v>
      </c>
      <c r="B1511" s="2" t="s">
        <v>2921</v>
      </c>
      <c r="C1511" s="2" t="str">
        <f t="shared" si="23"/>
        <v>TX0070009_001</v>
      </c>
      <c r="D1511" s="2" t="s">
        <v>3762</v>
      </c>
    </row>
    <row r="1512" spans="1:4" x14ac:dyDescent="0.25">
      <c r="A1512" s="2" t="s">
        <v>6183</v>
      </c>
      <c r="B1512" s="2" t="s">
        <v>2921</v>
      </c>
      <c r="C1512" s="2" t="str">
        <f t="shared" si="23"/>
        <v>TX0070017_001</v>
      </c>
      <c r="D1512" s="2" t="s">
        <v>3763</v>
      </c>
    </row>
    <row r="1513" spans="1:4" x14ac:dyDescent="0.25">
      <c r="A1513" s="2" t="s">
        <v>6184</v>
      </c>
      <c r="B1513" s="2" t="s">
        <v>2921</v>
      </c>
      <c r="C1513" s="2" t="str">
        <f t="shared" si="23"/>
        <v>TX0070068_001</v>
      </c>
      <c r="D1513" s="2" t="s">
        <v>3764</v>
      </c>
    </row>
    <row r="1514" spans="1:4" x14ac:dyDescent="0.25">
      <c r="A1514" s="2" t="s">
        <v>6184</v>
      </c>
      <c r="B1514" s="2" t="s">
        <v>2923</v>
      </c>
      <c r="C1514" s="2" t="str">
        <f t="shared" si="23"/>
        <v>TX0070068_002</v>
      </c>
      <c r="D1514" s="2" t="s">
        <v>3764</v>
      </c>
    </row>
    <row r="1515" spans="1:4" x14ac:dyDescent="0.25">
      <c r="A1515" s="2" t="s">
        <v>6184</v>
      </c>
      <c r="B1515" s="2" t="s">
        <v>2924</v>
      </c>
      <c r="C1515" s="2" t="str">
        <f t="shared" si="23"/>
        <v>TX0070068_003</v>
      </c>
      <c r="D1515" s="2" t="s">
        <v>3764</v>
      </c>
    </row>
    <row r="1516" spans="1:4" x14ac:dyDescent="0.25">
      <c r="A1516" s="2" t="s">
        <v>6185</v>
      </c>
      <c r="B1516" s="2" t="s">
        <v>2921</v>
      </c>
      <c r="C1516" s="2" t="str">
        <f t="shared" si="23"/>
        <v>TX0070165_001</v>
      </c>
      <c r="D1516" s="2" t="s">
        <v>3122</v>
      </c>
    </row>
    <row r="1517" spans="1:4" x14ac:dyDescent="0.25">
      <c r="A1517" s="2" t="s">
        <v>6186</v>
      </c>
      <c r="B1517" s="2" t="s">
        <v>2921</v>
      </c>
      <c r="C1517" s="2" t="str">
        <f t="shared" si="23"/>
        <v>TX0070211_001</v>
      </c>
      <c r="D1517" s="2" t="s">
        <v>3765</v>
      </c>
    </row>
    <row r="1518" spans="1:4" x14ac:dyDescent="0.25">
      <c r="A1518" s="2" t="s">
        <v>6187</v>
      </c>
      <c r="B1518" s="2" t="s">
        <v>2921</v>
      </c>
      <c r="C1518" s="2" t="str">
        <f t="shared" si="23"/>
        <v>TX0070297_001</v>
      </c>
      <c r="D1518" s="2" t="s">
        <v>3766</v>
      </c>
    </row>
    <row r="1519" spans="1:4" x14ac:dyDescent="0.25">
      <c r="A1519" s="2" t="s">
        <v>6188</v>
      </c>
      <c r="B1519" s="2" t="s">
        <v>2921</v>
      </c>
      <c r="C1519" s="2" t="str">
        <f t="shared" si="23"/>
        <v>TX0070416_001</v>
      </c>
      <c r="D1519" s="2" t="s">
        <v>3045</v>
      </c>
    </row>
    <row r="1520" spans="1:4" x14ac:dyDescent="0.25">
      <c r="A1520" s="2" t="s">
        <v>6188</v>
      </c>
      <c r="B1520" s="2" t="s">
        <v>2923</v>
      </c>
      <c r="C1520" s="2" t="str">
        <f t="shared" si="23"/>
        <v>TX0070416_002</v>
      </c>
      <c r="D1520" s="2" t="s">
        <v>3045</v>
      </c>
    </row>
    <row r="1521" spans="1:4" x14ac:dyDescent="0.25">
      <c r="A1521" s="2" t="s">
        <v>6188</v>
      </c>
      <c r="B1521" s="2" t="s">
        <v>2924</v>
      </c>
      <c r="C1521" s="2" t="str">
        <f t="shared" si="23"/>
        <v>TX0070416_003</v>
      </c>
      <c r="D1521" s="2" t="s">
        <v>3045</v>
      </c>
    </row>
    <row r="1522" spans="1:4" x14ac:dyDescent="0.25">
      <c r="A1522" s="2" t="s">
        <v>6189</v>
      </c>
      <c r="B1522" s="2" t="s">
        <v>2921</v>
      </c>
      <c r="C1522" s="2" t="str">
        <f t="shared" si="23"/>
        <v>TX0070530_001</v>
      </c>
      <c r="D1522" s="2" t="s">
        <v>3767</v>
      </c>
    </row>
    <row r="1523" spans="1:4" x14ac:dyDescent="0.25">
      <c r="A1523" s="2" t="s">
        <v>6190</v>
      </c>
      <c r="B1523" s="2" t="s">
        <v>2921</v>
      </c>
      <c r="C1523" s="2" t="str">
        <f t="shared" si="23"/>
        <v>TX0070611_001</v>
      </c>
      <c r="D1523" s="2" t="s">
        <v>3768</v>
      </c>
    </row>
    <row r="1524" spans="1:4" x14ac:dyDescent="0.25">
      <c r="A1524" s="2" t="s">
        <v>6191</v>
      </c>
      <c r="B1524" s="2" t="s">
        <v>2921</v>
      </c>
      <c r="C1524" s="2" t="str">
        <f t="shared" si="23"/>
        <v>TX0070645_001</v>
      </c>
      <c r="D1524" s="2" t="s">
        <v>3769</v>
      </c>
    </row>
    <row r="1525" spans="1:4" x14ac:dyDescent="0.25">
      <c r="A1525" s="2" t="s">
        <v>6192</v>
      </c>
      <c r="B1525" s="2" t="s">
        <v>2921</v>
      </c>
      <c r="C1525" s="2" t="str">
        <f t="shared" si="23"/>
        <v>TX0070769_001</v>
      </c>
      <c r="D1525" s="2" t="s">
        <v>3770</v>
      </c>
    </row>
    <row r="1526" spans="1:4" x14ac:dyDescent="0.25">
      <c r="A1526" s="2" t="s">
        <v>6193</v>
      </c>
      <c r="B1526" s="2" t="s">
        <v>2921</v>
      </c>
      <c r="C1526" s="2" t="str">
        <f t="shared" si="23"/>
        <v>TX0070785_001</v>
      </c>
      <c r="D1526" s="2" t="s">
        <v>3771</v>
      </c>
    </row>
    <row r="1527" spans="1:4" x14ac:dyDescent="0.25">
      <c r="A1527" s="2" t="s">
        <v>6194</v>
      </c>
      <c r="B1527" s="2" t="s">
        <v>2921</v>
      </c>
      <c r="C1527" s="2" t="str">
        <f t="shared" si="23"/>
        <v>TX0070807_001</v>
      </c>
      <c r="D1527" s="2" t="s">
        <v>2925</v>
      </c>
    </row>
    <row r="1528" spans="1:4" x14ac:dyDescent="0.25">
      <c r="A1528" s="2" t="s">
        <v>6194</v>
      </c>
      <c r="B1528" s="2" t="s">
        <v>2923</v>
      </c>
      <c r="C1528" s="2" t="str">
        <f t="shared" si="23"/>
        <v>TX0070807_002</v>
      </c>
      <c r="D1528" s="2" t="s">
        <v>2925</v>
      </c>
    </row>
    <row r="1529" spans="1:4" x14ac:dyDescent="0.25">
      <c r="A1529" s="2" t="s">
        <v>6194</v>
      </c>
      <c r="B1529" s="2" t="s">
        <v>2924</v>
      </c>
      <c r="C1529" s="2" t="str">
        <f t="shared" si="23"/>
        <v>TX0070807_003</v>
      </c>
      <c r="D1529" s="2" t="s">
        <v>2925</v>
      </c>
    </row>
    <row r="1530" spans="1:4" x14ac:dyDescent="0.25">
      <c r="A1530" s="2" t="s">
        <v>6194</v>
      </c>
      <c r="B1530" s="2" t="s">
        <v>2936</v>
      </c>
      <c r="C1530" s="2" t="str">
        <f t="shared" si="23"/>
        <v>TX0070807_004</v>
      </c>
      <c r="D1530" s="2" t="s">
        <v>2925</v>
      </c>
    </row>
    <row r="1531" spans="1:4" x14ac:dyDescent="0.25">
      <c r="A1531" s="2" t="s">
        <v>6195</v>
      </c>
      <c r="B1531" s="2" t="s">
        <v>2921</v>
      </c>
      <c r="C1531" s="2" t="str">
        <f t="shared" si="23"/>
        <v>TX0070831_001</v>
      </c>
      <c r="D1531" s="2" t="s">
        <v>3335</v>
      </c>
    </row>
    <row r="1532" spans="1:4" x14ac:dyDescent="0.25">
      <c r="A1532" s="2" t="s">
        <v>6196</v>
      </c>
      <c r="B1532" s="2" t="s">
        <v>2921</v>
      </c>
      <c r="C1532" s="2" t="str">
        <f t="shared" si="23"/>
        <v>TX0070939_001</v>
      </c>
      <c r="D1532" s="2" t="s">
        <v>3734</v>
      </c>
    </row>
    <row r="1533" spans="1:4" x14ac:dyDescent="0.25">
      <c r="A1533" s="2" t="s">
        <v>6196</v>
      </c>
      <c r="B1533" s="2" t="s">
        <v>2921</v>
      </c>
      <c r="C1533" s="2" t="str">
        <f t="shared" si="23"/>
        <v>TX0070939_001</v>
      </c>
      <c r="D1533" s="2" t="s">
        <v>3734</v>
      </c>
    </row>
    <row r="1534" spans="1:4" x14ac:dyDescent="0.25">
      <c r="A1534" s="2" t="s">
        <v>6197</v>
      </c>
      <c r="B1534" s="2" t="s">
        <v>2921</v>
      </c>
      <c r="C1534" s="2" t="str">
        <f t="shared" si="23"/>
        <v>TX0070963_001</v>
      </c>
      <c r="D1534" s="2" t="s">
        <v>3772</v>
      </c>
    </row>
    <row r="1535" spans="1:4" x14ac:dyDescent="0.25">
      <c r="A1535" s="2" t="s">
        <v>6198</v>
      </c>
      <c r="B1535" s="2" t="s">
        <v>2921</v>
      </c>
      <c r="C1535" s="2" t="str">
        <f t="shared" si="23"/>
        <v>TX0070971_001</v>
      </c>
      <c r="D1535" s="2" t="s">
        <v>3773</v>
      </c>
    </row>
    <row r="1536" spans="1:4" x14ac:dyDescent="0.25">
      <c r="A1536" s="2" t="s">
        <v>6199</v>
      </c>
      <c r="B1536" s="2" t="s">
        <v>2921</v>
      </c>
      <c r="C1536" s="2" t="str">
        <f t="shared" si="23"/>
        <v>TX0071021_001</v>
      </c>
      <c r="D1536" s="2" t="s">
        <v>3774</v>
      </c>
    </row>
    <row r="1537" spans="1:4" x14ac:dyDescent="0.25">
      <c r="A1537" s="2" t="s">
        <v>6200</v>
      </c>
      <c r="B1537" s="2" t="s">
        <v>2921</v>
      </c>
      <c r="C1537" s="2" t="str">
        <f t="shared" si="23"/>
        <v>TX0071030_001</v>
      </c>
      <c r="D1537" s="2" t="s">
        <v>3775</v>
      </c>
    </row>
    <row r="1538" spans="1:4" x14ac:dyDescent="0.25">
      <c r="A1538" s="2" t="s">
        <v>6201</v>
      </c>
      <c r="B1538" s="2" t="s">
        <v>2921</v>
      </c>
      <c r="C1538" s="2" t="str">
        <f t="shared" si="23"/>
        <v>TX0071056_001</v>
      </c>
      <c r="D1538" s="2" t="s">
        <v>3776</v>
      </c>
    </row>
    <row r="1539" spans="1:4" x14ac:dyDescent="0.25">
      <c r="A1539" s="2" t="s">
        <v>6202</v>
      </c>
      <c r="B1539" s="2" t="s">
        <v>2921</v>
      </c>
      <c r="C1539" s="2" t="str">
        <f t="shared" ref="C1539:C1602" si="24">A1539 &amp; "_" &amp; B1539</f>
        <v>TX0071081_001</v>
      </c>
      <c r="D1539" s="2" t="s">
        <v>3777</v>
      </c>
    </row>
    <row r="1540" spans="1:4" x14ac:dyDescent="0.25">
      <c r="A1540" s="2" t="s">
        <v>6203</v>
      </c>
      <c r="B1540" s="2" t="s">
        <v>2921</v>
      </c>
      <c r="C1540" s="2" t="str">
        <f t="shared" si="24"/>
        <v>TX0071111_001</v>
      </c>
      <c r="D1540" s="2" t="s">
        <v>3778</v>
      </c>
    </row>
    <row r="1541" spans="1:4" x14ac:dyDescent="0.25">
      <c r="A1541" s="2" t="s">
        <v>6204</v>
      </c>
      <c r="B1541" s="2" t="s">
        <v>2921</v>
      </c>
      <c r="C1541" s="2" t="str">
        <f t="shared" si="24"/>
        <v>TX0071145_001</v>
      </c>
      <c r="D1541" s="2" t="s">
        <v>3779</v>
      </c>
    </row>
    <row r="1542" spans="1:4" x14ac:dyDescent="0.25">
      <c r="A1542" s="2" t="s">
        <v>6205</v>
      </c>
      <c r="B1542" s="2" t="s">
        <v>2921</v>
      </c>
      <c r="C1542" s="2" t="str">
        <f t="shared" si="24"/>
        <v>TX0071188_001</v>
      </c>
      <c r="D1542" s="2" t="s">
        <v>3780</v>
      </c>
    </row>
    <row r="1543" spans="1:4" x14ac:dyDescent="0.25">
      <c r="A1543" s="2" t="s">
        <v>6206</v>
      </c>
      <c r="B1543" s="2" t="s">
        <v>2921</v>
      </c>
      <c r="C1543" s="2" t="str">
        <f t="shared" si="24"/>
        <v>TX0071251_001</v>
      </c>
      <c r="D1543" s="2" t="s">
        <v>3781</v>
      </c>
    </row>
    <row r="1544" spans="1:4" x14ac:dyDescent="0.25">
      <c r="A1544" s="2" t="s">
        <v>6207</v>
      </c>
      <c r="B1544" s="2" t="s">
        <v>2921</v>
      </c>
      <c r="C1544" s="2" t="str">
        <f t="shared" si="24"/>
        <v>TX0071340_001</v>
      </c>
      <c r="D1544" s="2" t="s">
        <v>3620</v>
      </c>
    </row>
    <row r="1545" spans="1:4" x14ac:dyDescent="0.25">
      <c r="A1545" s="2" t="s">
        <v>6208</v>
      </c>
      <c r="B1545" s="2" t="s">
        <v>2921</v>
      </c>
      <c r="C1545" s="2" t="str">
        <f t="shared" si="24"/>
        <v>TX0071382_001</v>
      </c>
      <c r="D1545" s="2" t="s">
        <v>3128</v>
      </c>
    </row>
    <row r="1546" spans="1:4" x14ac:dyDescent="0.25">
      <c r="A1546" s="2" t="s">
        <v>6209</v>
      </c>
      <c r="B1546" s="2" t="s">
        <v>2921</v>
      </c>
      <c r="C1546" s="2" t="str">
        <f t="shared" si="24"/>
        <v>TX0071412_001</v>
      </c>
      <c r="D1546" s="2" t="s">
        <v>3782</v>
      </c>
    </row>
    <row r="1547" spans="1:4" x14ac:dyDescent="0.25">
      <c r="A1547" s="2" t="s">
        <v>6210</v>
      </c>
      <c r="B1547" s="2" t="s">
        <v>2921</v>
      </c>
      <c r="C1547" s="2" t="str">
        <f t="shared" si="24"/>
        <v>TX0071510_001</v>
      </c>
      <c r="D1547" s="2" t="s">
        <v>3783</v>
      </c>
    </row>
    <row r="1548" spans="1:4" x14ac:dyDescent="0.25">
      <c r="A1548" s="2" t="s">
        <v>6211</v>
      </c>
      <c r="B1548" s="2" t="s">
        <v>2921</v>
      </c>
      <c r="C1548" s="2" t="str">
        <f t="shared" si="24"/>
        <v>TX0071528_001</v>
      </c>
      <c r="D1548" s="2" t="s">
        <v>3784</v>
      </c>
    </row>
    <row r="1549" spans="1:4" x14ac:dyDescent="0.25">
      <c r="A1549" s="2" t="s">
        <v>6212</v>
      </c>
      <c r="B1549" s="2" t="s">
        <v>2921</v>
      </c>
      <c r="C1549" s="2" t="str">
        <f t="shared" si="24"/>
        <v>TX0071544_001</v>
      </c>
      <c r="D1549" s="2" t="s">
        <v>3785</v>
      </c>
    </row>
    <row r="1550" spans="1:4" x14ac:dyDescent="0.25">
      <c r="A1550" s="2" t="s">
        <v>6213</v>
      </c>
      <c r="B1550" s="2" t="s">
        <v>2921</v>
      </c>
      <c r="C1550" s="2" t="str">
        <f t="shared" si="24"/>
        <v>TX0071579_001</v>
      </c>
      <c r="D1550" s="2" t="s">
        <v>3785</v>
      </c>
    </row>
    <row r="1551" spans="1:4" x14ac:dyDescent="0.25">
      <c r="A1551" s="2" t="s">
        <v>6213</v>
      </c>
      <c r="B1551" s="2" t="s">
        <v>2921</v>
      </c>
      <c r="C1551" s="2" t="str">
        <f t="shared" si="24"/>
        <v>TX0071579_001</v>
      </c>
      <c r="D1551" s="2" t="s">
        <v>3785</v>
      </c>
    </row>
    <row r="1552" spans="1:4" x14ac:dyDescent="0.25">
      <c r="A1552" s="2" t="s">
        <v>6214</v>
      </c>
      <c r="B1552" s="2" t="s">
        <v>2921</v>
      </c>
      <c r="C1552" s="2" t="str">
        <f t="shared" si="24"/>
        <v>TX0071609_001</v>
      </c>
      <c r="D1552" s="2" t="s">
        <v>3786</v>
      </c>
    </row>
    <row r="1553" spans="1:4" x14ac:dyDescent="0.25">
      <c r="A1553" s="2" t="s">
        <v>6215</v>
      </c>
      <c r="B1553" s="2" t="s">
        <v>2921</v>
      </c>
      <c r="C1553" s="2" t="str">
        <f t="shared" si="24"/>
        <v>TX0071625_001</v>
      </c>
      <c r="D1553" s="2" t="s">
        <v>3787</v>
      </c>
    </row>
    <row r="1554" spans="1:4" x14ac:dyDescent="0.25">
      <c r="A1554" s="2" t="s">
        <v>6216</v>
      </c>
      <c r="B1554" s="2" t="s">
        <v>2921</v>
      </c>
      <c r="C1554" s="2" t="str">
        <f t="shared" si="24"/>
        <v>TX0071633_001</v>
      </c>
      <c r="D1554" s="2" t="s">
        <v>3788</v>
      </c>
    </row>
    <row r="1555" spans="1:4" x14ac:dyDescent="0.25">
      <c r="A1555" s="2" t="s">
        <v>6217</v>
      </c>
      <c r="B1555" s="2" t="s">
        <v>2921</v>
      </c>
      <c r="C1555" s="2" t="str">
        <f t="shared" si="24"/>
        <v>TX0071650_001</v>
      </c>
      <c r="D1555" s="2" t="s">
        <v>3789</v>
      </c>
    </row>
    <row r="1556" spans="1:4" x14ac:dyDescent="0.25">
      <c r="A1556" s="2" t="s">
        <v>6218</v>
      </c>
      <c r="B1556" s="2" t="s">
        <v>2921</v>
      </c>
      <c r="C1556" s="2" t="str">
        <f t="shared" si="24"/>
        <v>TX0071765_001</v>
      </c>
      <c r="D1556" s="2" t="s">
        <v>3790</v>
      </c>
    </row>
    <row r="1557" spans="1:4" x14ac:dyDescent="0.25">
      <c r="A1557" s="2" t="s">
        <v>6219</v>
      </c>
      <c r="B1557" s="2" t="s">
        <v>2921</v>
      </c>
      <c r="C1557" s="2" t="str">
        <f t="shared" si="24"/>
        <v>TX0071790_001</v>
      </c>
      <c r="D1557" s="2" t="s">
        <v>3791</v>
      </c>
    </row>
    <row r="1558" spans="1:4" x14ac:dyDescent="0.25">
      <c r="A1558" s="2" t="s">
        <v>6220</v>
      </c>
      <c r="B1558" s="2" t="s">
        <v>2921</v>
      </c>
      <c r="C1558" s="2" t="str">
        <f t="shared" si="24"/>
        <v>TX0071803_001</v>
      </c>
      <c r="D1558" s="2" t="s">
        <v>3792</v>
      </c>
    </row>
    <row r="1559" spans="1:4" x14ac:dyDescent="0.25">
      <c r="A1559" s="2" t="s">
        <v>6221</v>
      </c>
      <c r="B1559" s="2" t="s">
        <v>2921</v>
      </c>
      <c r="C1559" s="2" t="str">
        <f t="shared" si="24"/>
        <v>TX0071820_001</v>
      </c>
      <c r="D1559" s="2" t="s">
        <v>3793</v>
      </c>
    </row>
    <row r="1560" spans="1:4" x14ac:dyDescent="0.25">
      <c r="A1560" s="2" t="s">
        <v>6222</v>
      </c>
      <c r="B1560" s="2" t="s">
        <v>2921</v>
      </c>
      <c r="C1560" s="2" t="str">
        <f t="shared" si="24"/>
        <v>TX0071889_001</v>
      </c>
      <c r="D1560" s="2" t="s">
        <v>3509</v>
      </c>
    </row>
    <row r="1561" spans="1:4" x14ac:dyDescent="0.25">
      <c r="A1561" s="2" t="s">
        <v>6223</v>
      </c>
      <c r="B1561" s="2" t="s">
        <v>2921</v>
      </c>
      <c r="C1561" s="2" t="str">
        <f t="shared" si="24"/>
        <v>TX0071978_001</v>
      </c>
      <c r="D1561" s="2" t="s">
        <v>3794</v>
      </c>
    </row>
    <row r="1562" spans="1:4" x14ac:dyDescent="0.25">
      <c r="A1562" s="2" t="s">
        <v>6224</v>
      </c>
      <c r="B1562" s="2" t="s">
        <v>2921</v>
      </c>
      <c r="C1562" s="2" t="str">
        <f t="shared" si="24"/>
        <v>TX0072087_001</v>
      </c>
      <c r="D1562" s="2" t="s">
        <v>3795</v>
      </c>
    </row>
    <row r="1563" spans="1:4" x14ac:dyDescent="0.25">
      <c r="A1563" s="2" t="s">
        <v>6225</v>
      </c>
      <c r="B1563" s="2" t="s">
        <v>2921</v>
      </c>
      <c r="C1563" s="2" t="str">
        <f t="shared" si="24"/>
        <v>TX0072109_001</v>
      </c>
      <c r="D1563" s="2" t="s">
        <v>3796</v>
      </c>
    </row>
    <row r="1564" spans="1:4" x14ac:dyDescent="0.25">
      <c r="A1564" s="2" t="s">
        <v>6226</v>
      </c>
      <c r="B1564" s="2" t="s">
        <v>2921</v>
      </c>
      <c r="C1564" s="2" t="str">
        <f t="shared" si="24"/>
        <v>TX0072150_001</v>
      </c>
      <c r="D1564" s="2" t="s">
        <v>3797</v>
      </c>
    </row>
    <row r="1565" spans="1:4" x14ac:dyDescent="0.25">
      <c r="A1565" s="2" t="s">
        <v>6227</v>
      </c>
      <c r="B1565" s="2" t="s">
        <v>2921</v>
      </c>
      <c r="C1565" s="2" t="str">
        <f t="shared" si="24"/>
        <v>TX0072168_001</v>
      </c>
      <c r="D1565" s="2" t="s">
        <v>3798</v>
      </c>
    </row>
    <row r="1566" spans="1:4" x14ac:dyDescent="0.25">
      <c r="A1566" s="2" t="s">
        <v>6227</v>
      </c>
      <c r="B1566" s="2" t="s">
        <v>2923</v>
      </c>
      <c r="C1566" s="2" t="str">
        <f t="shared" si="24"/>
        <v>TX0072168_002</v>
      </c>
      <c r="D1566" s="2" t="s">
        <v>3798</v>
      </c>
    </row>
    <row r="1567" spans="1:4" x14ac:dyDescent="0.25">
      <c r="A1567" s="2" t="s">
        <v>6228</v>
      </c>
      <c r="B1567" s="2" t="s">
        <v>2921</v>
      </c>
      <c r="C1567" s="2" t="str">
        <f t="shared" si="24"/>
        <v>TX0072184_001</v>
      </c>
      <c r="D1567" s="2" t="s">
        <v>3799</v>
      </c>
    </row>
    <row r="1568" spans="1:4" x14ac:dyDescent="0.25">
      <c r="A1568" s="2" t="s">
        <v>6229</v>
      </c>
      <c r="B1568" s="2" t="s">
        <v>2921</v>
      </c>
      <c r="C1568" s="2" t="str">
        <f t="shared" si="24"/>
        <v>TX0072320_001</v>
      </c>
      <c r="D1568" s="2" t="s">
        <v>3800</v>
      </c>
    </row>
    <row r="1569" spans="1:4" x14ac:dyDescent="0.25">
      <c r="A1569" s="2" t="s">
        <v>6229</v>
      </c>
      <c r="B1569" s="2" t="s">
        <v>2923</v>
      </c>
      <c r="C1569" s="2" t="str">
        <f t="shared" si="24"/>
        <v>TX0072320_002</v>
      </c>
      <c r="D1569" s="2" t="s">
        <v>3800</v>
      </c>
    </row>
    <row r="1570" spans="1:4" x14ac:dyDescent="0.25">
      <c r="A1570" s="2" t="s">
        <v>6229</v>
      </c>
      <c r="B1570" s="2" t="s">
        <v>2924</v>
      </c>
      <c r="C1570" s="2" t="str">
        <f t="shared" si="24"/>
        <v>TX0072320_003</v>
      </c>
      <c r="D1570" s="2" t="s">
        <v>3801</v>
      </c>
    </row>
    <row r="1571" spans="1:4" x14ac:dyDescent="0.25">
      <c r="A1571" s="2" t="s">
        <v>6229</v>
      </c>
      <c r="B1571" s="2" t="s">
        <v>2936</v>
      </c>
      <c r="C1571" s="2" t="str">
        <f t="shared" si="24"/>
        <v>TX0072320_004</v>
      </c>
      <c r="D1571" s="2" t="s">
        <v>3800</v>
      </c>
    </row>
    <row r="1572" spans="1:4" x14ac:dyDescent="0.25">
      <c r="A1572" s="2" t="s">
        <v>6229</v>
      </c>
      <c r="B1572" s="2" t="s">
        <v>2940</v>
      </c>
      <c r="C1572" s="2" t="str">
        <f t="shared" si="24"/>
        <v>TX0072320_006</v>
      </c>
      <c r="D1572" s="2" t="s">
        <v>3800</v>
      </c>
    </row>
    <row r="1573" spans="1:4" x14ac:dyDescent="0.25">
      <c r="A1573" s="2" t="s">
        <v>6230</v>
      </c>
      <c r="B1573" s="2" t="s">
        <v>2921</v>
      </c>
      <c r="C1573" s="2" t="str">
        <f t="shared" si="24"/>
        <v>TX0072338_001</v>
      </c>
      <c r="D1573" s="2" t="s">
        <v>3802</v>
      </c>
    </row>
    <row r="1574" spans="1:4" x14ac:dyDescent="0.25">
      <c r="A1574" s="2" t="s">
        <v>6231</v>
      </c>
      <c r="B1574" s="2" t="s">
        <v>2921</v>
      </c>
      <c r="C1574" s="2" t="str">
        <f t="shared" si="24"/>
        <v>TX0072346_001</v>
      </c>
      <c r="D1574" s="2" t="s">
        <v>3803</v>
      </c>
    </row>
    <row r="1575" spans="1:4" x14ac:dyDescent="0.25">
      <c r="A1575" s="2" t="s">
        <v>6232</v>
      </c>
      <c r="B1575" s="2" t="s">
        <v>2921</v>
      </c>
      <c r="C1575" s="2" t="str">
        <f t="shared" si="24"/>
        <v>TX0072354_001</v>
      </c>
      <c r="D1575" s="2" t="s">
        <v>3804</v>
      </c>
    </row>
    <row r="1576" spans="1:4" x14ac:dyDescent="0.25">
      <c r="A1576" s="2" t="s">
        <v>6233</v>
      </c>
      <c r="B1576" s="2" t="s">
        <v>2921</v>
      </c>
      <c r="C1576" s="2" t="str">
        <f t="shared" si="24"/>
        <v>TX0072362_001</v>
      </c>
      <c r="D1576" s="2" t="s">
        <v>3805</v>
      </c>
    </row>
    <row r="1577" spans="1:4" x14ac:dyDescent="0.25">
      <c r="A1577" s="2" t="s">
        <v>6234</v>
      </c>
      <c r="B1577" s="2" t="s">
        <v>2921</v>
      </c>
      <c r="C1577" s="2" t="str">
        <f t="shared" si="24"/>
        <v>TX0072508_001</v>
      </c>
      <c r="D1577" s="2" t="s">
        <v>3806</v>
      </c>
    </row>
    <row r="1578" spans="1:4" x14ac:dyDescent="0.25">
      <c r="A1578" s="2" t="s">
        <v>6235</v>
      </c>
      <c r="B1578" s="2" t="s">
        <v>2921</v>
      </c>
      <c r="C1578" s="2" t="str">
        <f t="shared" si="24"/>
        <v>TX0072524_001</v>
      </c>
      <c r="D1578" s="2" t="s">
        <v>3807</v>
      </c>
    </row>
    <row r="1579" spans="1:4" x14ac:dyDescent="0.25">
      <c r="A1579" s="2" t="s">
        <v>6236</v>
      </c>
      <c r="B1579" s="2" t="s">
        <v>2921</v>
      </c>
      <c r="C1579" s="2" t="str">
        <f t="shared" si="24"/>
        <v>TX0072541_001</v>
      </c>
      <c r="D1579" s="2" t="s">
        <v>3808</v>
      </c>
    </row>
    <row r="1580" spans="1:4" x14ac:dyDescent="0.25">
      <c r="A1580" s="2" t="s">
        <v>6237</v>
      </c>
      <c r="B1580" s="2" t="s">
        <v>2921</v>
      </c>
      <c r="C1580" s="2" t="str">
        <f t="shared" si="24"/>
        <v>TX0072567_001</v>
      </c>
      <c r="D1580" s="2" t="s">
        <v>3809</v>
      </c>
    </row>
    <row r="1581" spans="1:4" x14ac:dyDescent="0.25">
      <c r="A1581" s="2" t="s">
        <v>6238</v>
      </c>
      <c r="B1581" s="2" t="s">
        <v>2921</v>
      </c>
      <c r="C1581" s="2" t="str">
        <f t="shared" si="24"/>
        <v>TX0072591_001</v>
      </c>
      <c r="D1581" s="2" t="s">
        <v>3810</v>
      </c>
    </row>
    <row r="1582" spans="1:4" x14ac:dyDescent="0.25">
      <c r="A1582" s="2" t="s">
        <v>6239</v>
      </c>
      <c r="B1582" s="2" t="s">
        <v>2921</v>
      </c>
      <c r="C1582" s="2" t="str">
        <f t="shared" si="24"/>
        <v>TX0072702_001</v>
      </c>
      <c r="D1582" s="2" t="s">
        <v>3811</v>
      </c>
    </row>
    <row r="1583" spans="1:4" x14ac:dyDescent="0.25">
      <c r="A1583" s="2" t="s">
        <v>6240</v>
      </c>
      <c r="B1583" s="2" t="s">
        <v>2921</v>
      </c>
      <c r="C1583" s="2" t="str">
        <f t="shared" si="24"/>
        <v>TX0072711_001</v>
      </c>
      <c r="D1583" s="2" t="s">
        <v>3812</v>
      </c>
    </row>
    <row r="1584" spans="1:4" x14ac:dyDescent="0.25">
      <c r="A1584" s="2" t="s">
        <v>6241</v>
      </c>
      <c r="B1584" s="2" t="s">
        <v>2934</v>
      </c>
      <c r="C1584" s="2" t="str">
        <f t="shared" si="24"/>
        <v>TX0072737_005</v>
      </c>
      <c r="D1584" s="2" t="s">
        <v>3813</v>
      </c>
    </row>
    <row r="1585" spans="1:4" x14ac:dyDescent="0.25">
      <c r="A1585" s="2" t="s">
        <v>6241</v>
      </c>
      <c r="B1585" s="2" t="s">
        <v>2940</v>
      </c>
      <c r="C1585" s="2" t="str">
        <f t="shared" si="24"/>
        <v>TX0072737_006</v>
      </c>
      <c r="D1585" s="2" t="s">
        <v>3813</v>
      </c>
    </row>
    <row r="1586" spans="1:4" x14ac:dyDescent="0.25">
      <c r="A1586" s="2" t="s">
        <v>6241</v>
      </c>
      <c r="B1586" s="2" t="s">
        <v>2924</v>
      </c>
      <c r="C1586" s="2" t="str">
        <f t="shared" si="24"/>
        <v>TX0072737_003</v>
      </c>
      <c r="D1586" s="2" t="s">
        <v>3813</v>
      </c>
    </row>
    <row r="1587" spans="1:4" x14ac:dyDescent="0.25">
      <c r="A1587" s="2" t="s">
        <v>6241</v>
      </c>
      <c r="B1587" s="2" t="s">
        <v>2936</v>
      </c>
      <c r="C1587" s="2" t="str">
        <f t="shared" si="24"/>
        <v>TX0072737_004</v>
      </c>
      <c r="D1587" s="2" t="s">
        <v>3813</v>
      </c>
    </row>
    <row r="1588" spans="1:4" x14ac:dyDescent="0.25">
      <c r="A1588" s="2" t="s">
        <v>6241</v>
      </c>
      <c r="B1588" s="2" t="s">
        <v>2921</v>
      </c>
      <c r="C1588" s="2" t="str">
        <f t="shared" si="24"/>
        <v>TX0072737_001</v>
      </c>
      <c r="D1588" s="2" t="s">
        <v>3813</v>
      </c>
    </row>
    <row r="1589" spans="1:4" x14ac:dyDescent="0.25">
      <c r="A1589" s="2" t="s">
        <v>6241</v>
      </c>
      <c r="B1589" s="2" t="s">
        <v>2923</v>
      </c>
      <c r="C1589" s="2" t="str">
        <f t="shared" si="24"/>
        <v>TX0072737_002</v>
      </c>
      <c r="D1589" s="2" t="s">
        <v>3813</v>
      </c>
    </row>
    <row r="1590" spans="1:4" x14ac:dyDescent="0.25">
      <c r="A1590" s="2" t="s">
        <v>6242</v>
      </c>
      <c r="B1590" s="2" t="s">
        <v>2921</v>
      </c>
      <c r="C1590" s="2" t="str">
        <f t="shared" si="24"/>
        <v>TX0072770_001</v>
      </c>
      <c r="D1590" s="2" t="s">
        <v>3814</v>
      </c>
    </row>
    <row r="1591" spans="1:4" x14ac:dyDescent="0.25">
      <c r="A1591" s="2" t="s">
        <v>6243</v>
      </c>
      <c r="B1591" s="2" t="s">
        <v>2921</v>
      </c>
      <c r="C1591" s="2" t="str">
        <f t="shared" si="24"/>
        <v>TX0072800_001</v>
      </c>
      <c r="D1591" s="2" t="s">
        <v>3815</v>
      </c>
    </row>
    <row r="1592" spans="1:4" x14ac:dyDescent="0.25">
      <c r="A1592" s="2" t="s">
        <v>6244</v>
      </c>
      <c r="B1592" s="2" t="s">
        <v>2921</v>
      </c>
      <c r="C1592" s="2" t="str">
        <f t="shared" si="24"/>
        <v>TX0072818_001</v>
      </c>
      <c r="D1592" s="2" t="s">
        <v>3816</v>
      </c>
    </row>
    <row r="1593" spans="1:4" x14ac:dyDescent="0.25">
      <c r="A1593" s="2" t="s">
        <v>6244</v>
      </c>
      <c r="B1593" s="2" t="s">
        <v>2923</v>
      </c>
      <c r="C1593" s="2" t="str">
        <f t="shared" si="24"/>
        <v>TX0072818_002</v>
      </c>
      <c r="D1593" s="2" t="s">
        <v>3816</v>
      </c>
    </row>
    <row r="1594" spans="1:4" x14ac:dyDescent="0.25">
      <c r="A1594" s="2" t="s">
        <v>6245</v>
      </c>
      <c r="B1594" s="2" t="s">
        <v>2921</v>
      </c>
      <c r="C1594" s="2" t="str">
        <f t="shared" si="24"/>
        <v>TX0072834_001</v>
      </c>
      <c r="D1594" s="2" t="s">
        <v>3093</v>
      </c>
    </row>
    <row r="1595" spans="1:4" x14ac:dyDescent="0.25">
      <c r="A1595" s="2" t="s">
        <v>6246</v>
      </c>
      <c r="B1595" s="2" t="s">
        <v>2921</v>
      </c>
      <c r="C1595" s="2" t="str">
        <f t="shared" si="24"/>
        <v>TX0072885_001</v>
      </c>
      <c r="D1595" s="2" t="s">
        <v>3817</v>
      </c>
    </row>
    <row r="1596" spans="1:4" x14ac:dyDescent="0.25">
      <c r="A1596" s="2" t="s">
        <v>6247</v>
      </c>
      <c r="B1596" s="2" t="s">
        <v>2921</v>
      </c>
      <c r="C1596" s="2" t="str">
        <f t="shared" si="24"/>
        <v>TX0072893_001</v>
      </c>
      <c r="D1596" s="2" t="s">
        <v>3818</v>
      </c>
    </row>
    <row r="1597" spans="1:4" x14ac:dyDescent="0.25">
      <c r="A1597" s="2" t="s">
        <v>6248</v>
      </c>
      <c r="B1597" s="2" t="s">
        <v>2921</v>
      </c>
      <c r="C1597" s="2" t="str">
        <f t="shared" si="24"/>
        <v>TX0072974_001</v>
      </c>
      <c r="D1597" s="2" t="s">
        <v>3164</v>
      </c>
    </row>
    <row r="1598" spans="1:4" x14ac:dyDescent="0.25">
      <c r="A1598" s="2" t="s">
        <v>6249</v>
      </c>
      <c r="B1598" s="2" t="s">
        <v>2921</v>
      </c>
      <c r="C1598" s="2" t="str">
        <f t="shared" si="24"/>
        <v>TX0072982_001</v>
      </c>
      <c r="D1598" s="2" t="s">
        <v>3819</v>
      </c>
    </row>
    <row r="1599" spans="1:4" x14ac:dyDescent="0.25">
      <c r="A1599" s="2" t="s">
        <v>6249</v>
      </c>
      <c r="B1599" s="2" t="s">
        <v>2923</v>
      </c>
      <c r="C1599" s="2" t="str">
        <f t="shared" si="24"/>
        <v>TX0072982_002</v>
      </c>
      <c r="D1599" s="2" t="s">
        <v>3819</v>
      </c>
    </row>
    <row r="1600" spans="1:4" x14ac:dyDescent="0.25">
      <c r="A1600" s="2" t="s">
        <v>6250</v>
      </c>
      <c r="B1600" s="2" t="s">
        <v>2921</v>
      </c>
      <c r="C1600" s="2" t="str">
        <f t="shared" si="24"/>
        <v>TX0073008_001</v>
      </c>
      <c r="D1600" s="2" t="s">
        <v>3820</v>
      </c>
    </row>
    <row r="1601" spans="1:4" x14ac:dyDescent="0.25">
      <c r="A1601" s="2" t="s">
        <v>6251</v>
      </c>
      <c r="B1601" s="2" t="s">
        <v>2921</v>
      </c>
      <c r="C1601" s="2" t="str">
        <f t="shared" si="24"/>
        <v>TX0073032_001</v>
      </c>
      <c r="D1601" s="2" t="s">
        <v>3821</v>
      </c>
    </row>
    <row r="1602" spans="1:4" x14ac:dyDescent="0.25">
      <c r="A1602" s="2" t="s">
        <v>6252</v>
      </c>
      <c r="B1602" s="2" t="s">
        <v>2921</v>
      </c>
      <c r="C1602" s="2" t="str">
        <f t="shared" si="24"/>
        <v>TX0073105_001</v>
      </c>
      <c r="D1602" s="2" t="s">
        <v>3822</v>
      </c>
    </row>
    <row r="1603" spans="1:4" x14ac:dyDescent="0.25">
      <c r="A1603" s="2" t="s">
        <v>6253</v>
      </c>
      <c r="B1603" s="2" t="s">
        <v>2921</v>
      </c>
      <c r="C1603" s="2" t="str">
        <f t="shared" ref="C1603:C1666" si="25">A1603 &amp; "_" &amp; B1603</f>
        <v>TX0073121_001</v>
      </c>
      <c r="D1603" s="2" t="s">
        <v>3660</v>
      </c>
    </row>
    <row r="1604" spans="1:4" x14ac:dyDescent="0.25">
      <c r="A1604" s="2" t="s">
        <v>6253</v>
      </c>
      <c r="B1604" s="2" t="s">
        <v>2923</v>
      </c>
      <c r="C1604" s="2" t="str">
        <f t="shared" si="25"/>
        <v>TX0073121_002</v>
      </c>
      <c r="D1604" s="2" t="s">
        <v>3660</v>
      </c>
    </row>
    <row r="1605" spans="1:4" x14ac:dyDescent="0.25">
      <c r="A1605" s="2" t="s">
        <v>6253</v>
      </c>
      <c r="B1605" s="2" t="s">
        <v>2924</v>
      </c>
      <c r="C1605" s="2" t="str">
        <f t="shared" si="25"/>
        <v>TX0073121_003</v>
      </c>
      <c r="D1605" s="2" t="s">
        <v>3660</v>
      </c>
    </row>
    <row r="1606" spans="1:4" x14ac:dyDescent="0.25">
      <c r="A1606" s="2" t="s">
        <v>6253</v>
      </c>
      <c r="B1606" s="2" t="s">
        <v>2936</v>
      </c>
      <c r="C1606" s="2" t="str">
        <f t="shared" si="25"/>
        <v>TX0073121_004</v>
      </c>
      <c r="D1606" s="2" t="s">
        <v>3660</v>
      </c>
    </row>
    <row r="1607" spans="1:4" x14ac:dyDescent="0.25">
      <c r="A1607" s="2" t="s">
        <v>6254</v>
      </c>
      <c r="B1607" s="2" t="s">
        <v>2921</v>
      </c>
      <c r="C1607" s="2" t="str">
        <f t="shared" si="25"/>
        <v>TX0073229_001</v>
      </c>
      <c r="D1607" s="2" t="s">
        <v>3823</v>
      </c>
    </row>
    <row r="1608" spans="1:4" x14ac:dyDescent="0.25">
      <c r="A1608" s="2" t="s">
        <v>6255</v>
      </c>
      <c r="B1608" s="2" t="s">
        <v>2921</v>
      </c>
      <c r="C1608" s="2" t="str">
        <f t="shared" si="25"/>
        <v>TX0073423_001</v>
      </c>
      <c r="D1608" s="2" t="s">
        <v>3824</v>
      </c>
    </row>
    <row r="1609" spans="1:4" x14ac:dyDescent="0.25">
      <c r="A1609" s="2" t="s">
        <v>6255</v>
      </c>
      <c r="B1609" s="2" t="s">
        <v>2923</v>
      </c>
      <c r="C1609" s="2" t="str">
        <f t="shared" si="25"/>
        <v>TX0073423_002</v>
      </c>
      <c r="D1609" s="2" t="s">
        <v>3824</v>
      </c>
    </row>
    <row r="1610" spans="1:4" x14ac:dyDescent="0.25">
      <c r="A1610" s="2" t="s">
        <v>6256</v>
      </c>
      <c r="B1610" s="2" t="s">
        <v>2921</v>
      </c>
      <c r="C1610" s="2" t="str">
        <f t="shared" si="25"/>
        <v>TX0073946_001</v>
      </c>
      <c r="D1610" s="2" t="s">
        <v>3825</v>
      </c>
    </row>
    <row r="1611" spans="1:4" x14ac:dyDescent="0.25">
      <c r="A1611" s="2" t="s">
        <v>6257</v>
      </c>
      <c r="B1611" s="2" t="s">
        <v>2921</v>
      </c>
      <c r="C1611" s="2" t="str">
        <f t="shared" si="25"/>
        <v>TX0073954_001</v>
      </c>
      <c r="D1611" s="2" t="s">
        <v>3182</v>
      </c>
    </row>
    <row r="1612" spans="1:4" x14ac:dyDescent="0.25">
      <c r="A1612" s="2" t="s">
        <v>6257</v>
      </c>
      <c r="B1612" s="2" t="s">
        <v>2923</v>
      </c>
      <c r="C1612" s="2" t="str">
        <f t="shared" si="25"/>
        <v>TX0073954_002</v>
      </c>
      <c r="D1612" s="2" t="s">
        <v>3182</v>
      </c>
    </row>
    <row r="1613" spans="1:4" x14ac:dyDescent="0.25">
      <c r="A1613" s="2" t="s">
        <v>6257</v>
      </c>
      <c r="B1613" s="2" t="s">
        <v>2924</v>
      </c>
      <c r="C1613" s="2" t="str">
        <f t="shared" si="25"/>
        <v>TX0073954_003</v>
      </c>
      <c r="D1613" s="2" t="s">
        <v>3182</v>
      </c>
    </row>
    <row r="1614" spans="1:4" x14ac:dyDescent="0.25">
      <c r="A1614" s="2" t="s">
        <v>6258</v>
      </c>
      <c r="B1614" s="2" t="s">
        <v>2921</v>
      </c>
      <c r="C1614" s="2" t="str">
        <f t="shared" si="25"/>
        <v>TX0074004_001</v>
      </c>
      <c r="D1614" s="2" t="s">
        <v>3826</v>
      </c>
    </row>
    <row r="1615" spans="1:4" x14ac:dyDescent="0.25">
      <c r="A1615" s="2" t="s">
        <v>6259</v>
      </c>
      <c r="B1615" s="2" t="s">
        <v>2921</v>
      </c>
      <c r="C1615" s="2" t="str">
        <f t="shared" si="25"/>
        <v>TX0074021_001</v>
      </c>
      <c r="D1615" s="2" t="s">
        <v>3827</v>
      </c>
    </row>
    <row r="1616" spans="1:4" x14ac:dyDescent="0.25">
      <c r="A1616" s="2" t="s">
        <v>6260</v>
      </c>
      <c r="B1616" s="2" t="s">
        <v>2921</v>
      </c>
      <c r="C1616" s="2" t="str">
        <f t="shared" si="25"/>
        <v>TX0074047_001</v>
      </c>
      <c r="D1616" s="2" t="s">
        <v>3048</v>
      </c>
    </row>
    <row r="1617" spans="1:4" x14ac:dyDescent="0.25">
      <c r="A1617" s="2" t="s">
        <v>6261</v>
      </c>
      <c r="B1617" s="2" t="s">
        <v>2921</v>
      </c>
      <c r="C1617" s="2" t="str">
        <f t="shared" si="25"/>
        <v>TX0074136_001</v>
      </c>
      <c r="D1617" s="2" t="s">
        <v>3828</v>
      </c>
    </row>
    <row r="1618" spans="1:4" x14ac:dyDescent="0.25">
      <c r="A1618" s="2" t="s">
        <v>6262</v>
      </c>
      <c r="B1618" s="2" t="s">
        <v>2921</v>
      </c>
      <c r="C1618" s="2" t="str">
        <f t="shared" si="25"/>
        <v>TX0074217_001</v>
      </c>
      <c r="D1618" s="2" t="s">
        <v>3829</v>
      </c>
    </row>
    <row r="1619" spans="1:4" x14ac:dyDescent="0.25">
      <c r="A1619" s="2" t="s">
        <v>6263</v>
      </c>
      <c r="B1619" s="2" t="s">
        <v>2921</v>
      </c>
      <c r="C1619" s="2" t="str">
        <f t="shared" si="25"/>
        <v>TX0074233_001</v>
      </c>
      <c r="D1619" s="2" t="s">
        <v>3830</v>
      </c>
    </row>
    <row r="1620" spans="1:4" x14ac:dyDescent="0.25">
      <c r="A1620" s="2" t="s">
        <v>6264</v>
      </c>
      <c r="B1620" s="2" t="s">
        <v>2921</v>
      </c>
      <c r="C1620" s="2" t="str">
        <f t="shared" si="25"/>
        <v>TX0074250_001</v>
      </c>
      <c r="D1620" s="2" t="s">
        <v>3831</v>
      </c>
    </row>
    <row r="1621" spans="1:4" x14ac:dyDescent="0.25">
      <c r="A1621" s="2" t="s">
        <v>6265</v>
      </c>
      <c r="B1621" s="2" t="s">
        <v>2921</v>
      </c>
      <c r="C1621" s="2" t="str">
        <f t="shared" si="25"/>
        <v>TX0074276_001</v>
      </c>
      <c r="D1621" s="2" t="s">
        <v>3832</v>
      </c>
    </row>
    <row r="1622" spans="1:4" x14ac:dyDescent="0.25">
      <c r="A1622" s="2" t="s">
        <v>6265</v>
      </c>
      <c r="B1622" s="2" t="s">
        <v>2923</v>
      </c>
      <c r="C1622" s="2" t="str">
        <f t="shared" si="25"/>
        <v>TX0074276_002</v>
      </c>
      <c r="D1622" s="2" t="s">
        <v>3832</v>
      </c>
    </row>
    <row r="1623" spans="1:4" x14ac:dyDescent="0.25">
      <c r="A1623" s="2" t="s">
        <v>6265</v>
      </c>
      <c r="B1623" s="2" t="s">
        <v>2924</v>
      </c>
      <c r="C1623" s="2" t="str">
        <f t="shared" si="25"/>
        <v>TX0074276_003</v>
      </c>
      <c r="D1623" s="2" t="s">
        <v>3832</v>
      </c>
    </row>
    <row r="1624" spans="1:4" x14ac:dyDescent="0.25">
      <c r="A1624" s="2" t="s">
        <v>6266</v>
      </c>
      <c r="B1624" s="2" t="s">
        <v>2921</v>
      </c>
      <c r="C1624" s="2" t="str">
        <f t="shared" si="25"/>
        <v>TX0074284_001</v>
      </c>
      <c r="D1624" s="2" t="s">
        <v>3833</v>
      </c>
    </row>
    <row r="1625" spans="1:4" x14ac:dyDescent="0.25">
      <c r="A1625" s="2" t="s">
        <v>6267</v>
      </c>
      <c r="B1625" s="2" t="s">
        <v>2921</v>
      </c>
      <c r="C1625" s="2" t="str">
        <f t="shared" si="25"/>
        <v>TX0074292_001</v>
      </c>
      <c r="D1625" s="2" t="s">
        <v>3834</v>
      </c>
    </row>
    <row r="1626" spans="1:4" x14ac:dyDescent="0.25">
      <c r="A1626" s="2" t="s">
        <v>6267</v>
      </c>
      <c r="B1626" s="2" t="s">
        <v>2923</v>
      </c>
      <c r="C1626" s="2" t="str">
        <f t="shared" si="25"/>
        <v>TX0074292_002</v>
      </c>
      <c r="D1626" s="2" t="s">
        <v>3834</v>
      </c>
    </row>
    <row r="1627" spans="1:4" x14ac:dyDescent="0.25">
      <c r="A1627" s="2" t="s">
        <v>6268</v>
      </c>
      <c r="B1627" s="2" t="s">
        <v>2921</v>
      </c>
      <c r="C1627" s="2" t="str">
        <f t="shared" si="25"/>
        <v>TX0074322_001</v>
      </c>
      <c r="D1627" s="2" t="s">
        <v>3835</v>
      </c>
    </row>
    <row r="1628" spans="1:4" x14ac:dyDescent="0.25">
      <c r="A1628" s="2" t="s">
        <v>6269</v>
      </c>
      <c r="B1628" s="2" t="s">
        <v>2921</v>
      </c>
      <c r="C1628" s="2" t="str">
        <f t="shared" si="25"/>
        <v>TX0074331_001</v>
      </c>
      <c r="D1628" s="2" t="s">
        <v>3836</v>
      </c>
    </row>
    <row r="1629" spans="1:4" x14ac:dyDescent="0.25">
      <c r="A1629" s="2" t="s">
        <v>6270</v>
      </c>
      <c r="B1629" s="2" t="s">
        <v>2921</v>
      </c>
      <c r="C1629" s="2" t="str">
        <f t="shared" si="25"/>
        <v>TX0074403_001</v>
      </c>
      <c r="D1629" s="2" t="s">
        <v>3837</v>
      </c>
    </row>
    <row r="1630" spans="1:4" x14ac:dyDescent="0.25">
      <c r="A1630" s="2" t="s">
        <v>6271</v>
      </c>
      <c r="B1630" s="2" t="s">
        <v>2934</v>
      </c>
      <c r="C1630" s="2" t="str">
        <f t="shared" si="25"/>
        <v>TX0074438_005</v>
      </c>
      <c r="D1630" s="2" t="s">
        <v>3838</v>
      </c>
    </row>
    <row r="1631" spans="1:4" x14ac:dyDescent="0.25">
      <c r="A1631" s="2" t="s">
        <v>6271</v>
      </c>
      <c r="B1631" s="2" t="s">
        <v>2921</v>
      </c>
      <c r="C1631" s="2" t="str">
        <f t="shared" si="25"/>
        <v>TX0074438_001</v>
      </c>
      <c r="D1631" s="2" t="s">
        <v>3838</v>
      </c>
    </row>
    <row r="1632" spans="1:4" x14ac:dyDescent="0.25">
      <c r="A1632" s="2" t="s">
        <v>6271</v>
      </c>
      <c r="B1632" s="2" t="s">
        <v>2923</v>
      </c>
      <c r="C1632" s="2" t="str">
        <f t="shared" si="25"/>
        <v>TX0074438_002</v>
      </c>
      <c r="D1632" s="2" t="s">
        <v>3838</v>
      </c>
    </row>
    <row r="1633" spans="1:4" x14ac:dyDescent="0.25">
      <c r="A1633" s="2" t="s">
        <v>6271</v>
      </c>
      <c r="B1633" s="2" t="s">
        <v>2936</v>
      </c>
      <c r="C1633" s="2" t="str">
        <f t="shared" si="25"/>
        <v>TX0074438_004</v>
      </c>
      <c r="D1633" s="2" t="s">
        <v>3838</v>
      </c>
    </row>
    <row r="1634" spans="1:4" x14ac:dyDescent="0.25">
      <c r="A1634" s="2" t="s">
        <v>6272</v>
      </c>
      <c r="B1634" s="2" t="s">
        <v>2921</v>
      </c>
      <c r="C1634" s="2" t="str">
        <f t="shared" si="25"/>
        <v>TX0074446_001</v>
      </c>
      <c r="D1634" s="2" t="s">
        <v>3839</v>
      </c>
    </row>
    <row r="1635" spans="1:4" x14ac:dyDescent="0.25">
      <c r="A1635" s="2" t="s">
        <v>6273</v>
      </c>
      <c r="B1635" s="2" t="s">
        <v>2921</v>
      </c>
      <c r="C1635" s="2" t="str">
        <f t="shared" si="25"/>
        <v>TX0074632_001</v>
      </c>
      <c r="D1635" s="2" t="s">
        <v>3840</v>
      </c>
    </row>
    <row r="1636" spans="1:4" x14ac:dyDescent="0.25">
      <c r="A1636" s="2" t="s">
        <v>6274</v>
      </c>
      <c r="B1636" s="2" t="s">
        <v>2921</v>
      </c>
      <c r="C1636" s="2" t="str">
        <f t="shared" si="25"/>
        <v>TX0074683_001</v>
      </c>
      <c r="D1636" s="2" t="s">
        <v>3841</v>
      </c>
    </row>
    <row r="1637" spans="1:4" x14ac:dyDescent="0.25">
      <c r="A1637" s="2" t="s">
        <v>6275</v>
      </c>
      <c r="B1637" s="2" t="s">
        <v>2921</v>
      </c>
      <c r="C1637" s="2" t="str">
        <f t="shared" si="25"/>
        <v>TX0074799_001</v>
      </c>
      <c r="D1637" s="2" t="s">
        <v>3842</v>
      </c>
    </row>
    <row r="1638" spans="1:4" x14ac:dyDescent="0.25">
      <c r="A1638" s="2" t="s">
        <v>6276</v>
      </c>
      <c r="B1638" s="2" t="s">
        <v>2921</v>
      </c>
      <c r="C1638" s="2" t="str">
        <f t="shared" si="25"/>
        <v>TX0074853_001</v>
      </c>
      <c r="D1638" s="2" t="s">
        <v>3843</v>
      </c>
    </row>
    <row r="1639" spans="1:4" x14ac:dyDescent="0.25">
      <c r="A1639" s="2" t="s">
        <v>6277</v>
      </c>
      <c r="B1639" s="2" t="s">
        <v>2921</v>
      </c>
      <c r="C1639" s="2" t="str">
        <f t="shared" si="25"/>
        <v>TX0074861_001</v>
      </c>
      <c r="D1639" s="2" t="s">
        <v>3844</v>
      </c>
    </row>
    <row r="1640" spans="1:4" x14ac:dyDescent="0.25">
      <c r="A1640" s="2" t="s">
        <v>6278</v>
      </c>
      <c r="B1640" s="2" t="s">
        <v>2921</v>
      </c>
      <c r="C1640" s="2" t="str">
        <f t="shared" si="25"/>
        <v>TX0074870_001</v>
      </c>
      <c r="D1640" s="2" t="s">
        <v>3845</v>
      </c>
    </row>
    <row r="1641" spans="1:4" x14ac:dyDescent="0.25">
      <c r="A1641" s="2" t="s">
        <v>6279</v>
      </c>
      <c r="B1641" s="2" t="s">
        <v>2921</v>
      </c>
      <c r="C1641" s="2" t="str">
        <f t="shared" si="25"/>
        <v>TX0074888_001</v>
      </c>
      <c r="D1641" s="2" t="s">
        <v>3846</v>
      </c>
    </row>
    <row r="1642" spans="1:4" x14ac:dyDescent="0.25">
      <c r="A1642" s="2" t="s">
        <v>6280</v>
      </c>
      <c r="B1642" s="2" t="s">
        <v>2921</v>
      </c>
      <c r="C1642" s="2" t="str">
        <f t="shared" si="25"/>
        <v>TX0074896_001</v>
      </c>
      <c r="D1642" s="2" t="s">
        <v>3847</v>
      </c>
    </row>
    <row r="1643" spans="1:4" x14ac:dyDescent="0.25">
      <c r="A1643" s="2" t="s">
        <v>6281</v>
      </c>
      <c r="B1643" s="2" t="s">
        <v>2921</v>
      </c>
      <c r="C1643" s="2" t="str">
        <f t="shared" si="25"/>
        <v>TX0075132_001</v>
      </c>
      <c r="D1643" s="2" t="s">
        <v>3848</v>
      </c>
    </row>
    <row r="1644" spans="1:4" x14ac:dyDescent="0.25">
      <c r="A1644" s="2" t="s">
        <v>6282</v>
      </c>
      <c r="B1644" s="2" t="s">
        <v>2921</v>
      </c>
      <c r="C1644" s="2" t="str">
        <f t="shared" si="25"/>
        <v>TX0075159_001</v>
      </c>
      <c r="D1644" s="2" t="s">
        <v>3849</v>
      </c>
    </row>
    <row r="1645" spans="1:4" x14ac:dyDescent="0.25">
      <c r="A1645" s="2" t="s">
        <v>6283</v>
      </c>
      <c r="B1645" s="2" t="s">
        <v>2921</v>
      </c>
      <c r="C1645" s="2" t="str">
        <f t="shared" si="25"/>
        <v>TX0075167_001</v>
      </c>
      <c r="D1645" s="2" t="s">
        <v>3850</v>
      </c>
    </row>
    <row r="1646" spans="1:4" x14ac:dyDescent="0.25">
      <c r="A1646" s="2" t="s">
        <v>6284</v>
      </c>
      <c r="B1646" s="2" t="s">
        <v>2921</v>
      </c>
      <c r="C1646" s="2" t="str">
        <f t="shared" si="25"/>
        <v>TX0075183_001</v>
      </c>
      <c r="D1646" s="2" t="s">
        <v>3851</v>
      </c>
    </row>
    <row r="1647" spans="1:4" x14ac:dyDescent="0.25">
      <c r="A1647" s="2" t="s">
        <v>6285</v>
      </c>
      <c r="B1647" s="2" t="s">
        <v>2921</v>
      </c>
      <c r="C1647" s="2" t="str">
        <f t="shared" si="25"/>
        <v>TX0075221_001</v>
      </c>
      <c r="D1647" s="2" t="s">
        <v>3852</v>
      </c>
    </row>
    <row r="1648" spans="1:4" x14ac:dyDescent="0.25">
      <c r="A1648" s="2" t="s">
        <v>6286</v>
      </c>
      <c r="B1648" s="2" t="s">
        <v>2934</v>
      </c>
      <c r="C1648" s="2" t="str">
        <f t="shared" si="25"/>
        <v>TX0075302_005</v>
      </c>
      <c r="D1648" s="2" t="s">
        <v>3853</v>
      </c>
    </row>
    <row r="1649" spans="1:4" x14ac:dyDescent="0.25">
      <c r="A1649" s="2" t="s">
        <v>6286</v>
      </c>
      <c r="B1649" s="2" t="s">
        <v>2921</v>
      </c>
      <c r="C1649" s="2" t="str">
        <f t="shared" si="25"/>
        <v>TX0075302_001</v>
      </c>
      <c r="D1649" s="2" t="s">
        <v>3853</v>
      </c>
    </row>
    <row r="1650" spans="1:4" x14ac:dyDescent="0.25">
      <c r="A1650" s="2" t="s">
        <v>6286</v>
      </c>
      <c r="B1650" s="2" t="s">
        <v>2923</v>
      </c>
      <c r="C1650" s="2" t="str">
        <f t="shared" si="25"/>
        <v>TX0075302_002</v>
      </c>
      <c r="D1650" s="2" t="s">
        <v>3853</v>
      </c>
    </row>
    <row r="1651" spans="1:4" x14ac:dyDescent="0.25">
      <c r="A1651" s="2" t="s">
        <v>6286</v>
      </c>
      <c r="B1651" s="2" t="s">
        <v>2924</v>
      </c>
      <c r="C1651" s="2" t="str">
        <f t="shared" si="25"/>
        <v>TX0075302_003</v>
      </c>
      <c r="D1651" s="2" t="s">
        <v>3853</v>
      </c>
    </row>
    <row r="1652" spans="1:4" x14ac:dyDescent="0.25">
      <c r="A1652" s="2" t="s">
        <v>6286</v>
      </c>
      <c r="B1652" s="2" t="s">
        <v>2936</v>
      </c>
      <c r="C1652" s="2" t="str">
        <f t="shared" si="25"/>
        <v>TX0075302_004</v>
      </c>
      <c r="D1652" s="2" t="s">
        <v>3853</v>
      </c>
    </row>
    <row r="1653" spans="1:4" x14ac:dyDescent="0.25">
      <c r="A1653" s="2" t="s">
        <v>6287</v>
      </c>
      <c r="B1653" s="2" t="s">
        <v>2959</v>
      </c>
      <c r="C1653" s="2" t="str">
        <f t="shared" si="25"/>
        <v>TX0075311_007</v>
      </c>
      <c r="D1653" s="2" t="s">
        <v>3854</v>
      </c>
    </row>
    <row r="1654" spans="1:4" x14ac:dyDescent="0.25">
      <c r="A1654" s="2" t="s">
        <v>6287</v>
      </c>
      <c r="B1654" s="2" t="s">
        <v>2923</v>
      </c>
      <c r="C1654" s="2" t="str">
        <f t="shared" si="25"/>
        <v>TX0075311_002</v>
      </c>
      <c r="D1654" s="2" t="s">
        <v>3854</v>
      </c>
    </row>
    <row r="1655" spans="1:4" x14ac:dyDescent="0.25">
      <c r="A1655" s="2" t="s">
        <v>6287</v>
      </c>
      <c r="B1655" s="2" t="s">
        <v>2924</v>
      </c>
      <c r="C1655" s="2" t="str">
        <f t="shared" si="25"/>
        <v>TX0075311_003</v>
      </c>
      <c r="D1655" s="2" t="s">
        <v>3854</v>
      </c>
    </row>
    <row r="1656" spans="1:4" x14ac:dyDescent="0.25">
      <c r="A1656" s="2" t="s">
        <v>6287</v>
      </c>
      <c r="B1656" s="2" t="s">
        <v>2936</v>
      </c>
      <c r="C1656" s="2" t="str">
        <f t="shared" si="25"/>
        <v>TX0075311_004</v>
      </c>
      <c r="D1656" s="2" t="s">
        <v>3854</v>
      </c>
    </row>
    <row r="1657" spans="1:4" x14ac:dyDescent="0.25">
      <c r="A1657" s="2" t="s">
        <v>6287</v>
      </c>
      <c r="B1657" s="2" t="s">
        <v>2934</v>
      </c>
      <c r="C1657" s="2" t="str">
        <f t="shared" si="25"/>
        <v>TX0075311_005</v>
      </c>
      <c r="D1657" s="2" t="s">
        <v>3854</v>
      </c>
    </row>
    <row r="1658" spans="1:4" x14ac:dyDescent="0.25">
      <c r="A1658" s="2" t="s">
        <v>6287</v>
      </c>
      <c r="B1658" s="2" t="s">
        <v>2940</v>
      </c>
      <c r="C1658" s="2" t="str">
        <f t="shared" si="25"/>
        <v>TX0075311_006</v>
      </c>
      <c r="D1658" s="2" t="s">
        <v>3854</v>
      </c>
    </row>
    <row r="1659" spans="1:4" x14ac:dyDescent="0.25">
      <c r="A1659" s="2" t="s">
        <v>6287</v>
      </c>
      <c r="B1659" s="2" t="s">
        <v>2921</v>
      </c>
      <c r="C1659" s="2" t="str">
        <f t="shared" si="25"/>
        <v>TX0075311_001</v>
      </c>
      <c r="D1659" s="2" t="s">
        <v>3854</v>
      </c>
    </row>
    <row r="1660" spans="1:4" x14ac:dyDescent="0.25">
      <c r="A1660" s="2" t="s">
        <v>6288</v>
      </c>
      <c r="B1660" s="2" t="s">
        <v>2921</v>
      </c>
      <c r="C1660" s="2" t="str">
        <f t="shared" si="25"/>
        <v>TX0075388_001</v>
      </c>
      <c r="D1660" s="2" t="s">
        <v>3433</v>
      </c>
    </row>
    <row r="1661" spans="1:4" x14ac:dyDescent="0.25">
      <c r="A1661" s="2" t="s">
        <v>6289</v>
      </c>
      <c r="B1661" s="2" t="s">
        <v>2921</v>
      </c>
      <c r="C1661" s="2" t="str">
        <f t="shared" si="25"/>
        <v>TX0075396_001</v>
      </c>
      <c r="D1661" s="2" t="s">
        <v>3855</v>
      </c>
    </row>
    <row r="1662" spans="1:4" x14ac:dyDescent="0.25">
      <c r="A1662" s="2" t="s">
        <v>6290</v>
      </c>
      <c r="B1662" s="2" t="s">
        <v>2921</v>
      </c>
      <c r="C1662" s="2" t="str">
        <f t="shared" si="25"/>
        <v>TX0075418_001</v>
      </c>
      <c r="D1662" s="2" t="s">
        <v>3856</v>
      </c>
    </row>
    <row r="1663" spans="1:4" x14ac:dyDescent="0.25">
      <c r="A1663" s="2" t="s">
        <v>6291</v>
      </c>
      <c r="B1663" s="2" t="s">
        <v>2921</v>
      </c>
      <c r="C1663" s="2" t="str">
        <f t="shared" si="25"/>
        <v>TX0075434_001</v>
      </c>
      <c r="D1663" s="2" t="s">
        <v>3286</v>
      </c>
    </row>
    <row r="1664" spans="1:4" x14ac:dyDescent="0.25">
      <c r="A1664" s="2" t="s">
        <v>6292</v>
      </c>
      <c r="B1664" s="2" t="s">
        <v>2921</v>
      </c>
      <c r="C1664" s="2" t="str">
        <f t="shared" si="25"/>
        <v>TX0075442_001</v>
      </c>
      <c r="D1664" s="2" t="s">
        <v>3857</v>
      </c>
    </row>
    <row r="1665" spans="1:4" x14ac:dyDescent="0.25">
      <c r="A1665" s="2" t="s">
        <v>6293</v>
      </c>
      <c r="B1665" s="2" t="s">
        <v>2921</v>
      </c>
      <c r="C1665" s="2" t="str">
        <f t="shared" si="25"/>
        <v>TX0075451_001</v>
      </c>
      <c r="D1665" s="2" t="s">
        <v>3858</v>
      </c>
    </row>
    <row r="1666" spans="1:4" x14ac:dyDescent="0.25">
      <c r="A1666" s="2" t="s">
        <v>6294</v>
      </c>
      <c r="B1666" s="2" t="s">
        <v>2921</v>
      </c>
      <c r="C1666" s="2" t="str">
        <f t="shared" si="25"/>
        <v>TX0075540_001</v>
      </c>
      <c r="D1666" s="2" t="s">
        <v>3700</v>
      </c>
    </row>
    <row r="1667" spans="1:4" x14ac:dyDescent="0.25">
      <c r="A1667" s="2" t="s">
        <v>6295</v>
      </c>
      <c r="B1667" s="2" t="s">
        <v>2921</v>
      </c>
      <c r="C1667" s="2" t="str">
        <f t="shared" ref="C1667:C1730" si="26">A1667 &amp; "_" &amp; B1667</f>
        <v>TX0075591_001</v>
      </c>
      <c r="D1667" s="2" t="s">
        <v>3859</v>
      </c>
    </row>
    <row r="1668" spans="1:4" x14ac:dyDescent="0.25">
      <c r="A1668" s="2" t="s">
        <v>6296</v>
      </c>
      <c r="B1668" s="2" t="s">
        <v>2921</v>
      </c>
      <c r="C1668" s="2" t="str">
        <f t="shared" si="26"/>
        <v>TX0075604_001</v>
      </c>
      <c r="D1668" s="2" t="s">
        <v>3860</v>
      </c>
    </row>
    <row r="1669" spans="1:4" x14ac:dyDescent="0.25">
      <c r="A1669" s="2" t="s">
        <v>6297</v>
      </c>
      <c r="B1669" s="2" t="s">
        <v>2921</v>
      </c>
      <c r="C1669" s="2" t="str">
        <f t="shared" si="26"/>
        <v>TX0075639_001</v>
      </c>
      <c r="D1669" s="2" t="s">
        <v>3861</v>
      </c>
    </row>
    <row r="1670" spans="1:4" x14ac:dyDescent="0.25">
      <c r="A1670" s="2" t="s">
        <v>6298</v>
      </c>
      <c r="B1670" s="2" t="s">
        <v>2921</v>
      </c>
      <c r="C1670" s="2" t="str">
        <f t="shared" si="26"/>
        <v>TX0075647_001</v>
      </c>
      <c r="D1670" s="2" t="s">
        <v>3862</v>
      </c>
    </row>
    <row r="1671" spans="1:4" x14ac:dyDescent="0.25">
      <c r="A1671" s="2" t="s">
        <v>6299</v>
      </c>
      <c r="B1671" s="2" t="s">
        <v>2921</v>
      </c>
      <c r="C1671" s="2" t="str">
        <f t="shared" si="26"/>
        <v>TX0075663_001</v>
      </c>
      <c r="D1671" s="2" t="s">
        <v>3110</v>
      </c>
    </row>
    <row r="1672" spans="1:4" x14ac:dyDescent="0.25">
      <c r="A1672" s="2" t="s">
        <v>6300</v>
      </c>
      <c r="B1672" s="2" t="s">
        <v>2921</v>
      </c>
      <c r="C1672" s="2" t="str">
        <f t="shared" si="26"/>
        <v>TX0075671_001</v>
      </c>
      <c r="D1672" s="2" t="s">
        <v>3863</v>
      </c>
    </row>
    <row r="1673" spans="1:4" x14ac:dyDescent="0.25">
      <c r="A1673" s="2" t="s">
        <v>6301</v>
      </c>
      <c r="B1673" s="2" t="s">
        <v>2921</v>
      </c>
      <c r="C1673" s="2" t="str">
        <f t="shared" si="26"/>
        <v>TX0075680_001</v>
      </c>
      <c r="D1673" s="2" t="s">
        <v>3864</v>
      </c>
    </row>
    <row r="1674" spans="1:4" x14ac:dyDescent="0.25">
      <c r="A1674" s="2" t="s">
        <v>6302</v>
      </c>
      <c r="B1674" s="2" t="s">
        <v>2921</v>
      </c>
      <c r="C1674" s="2" t="str">
        <f t="shared" si="26"/>
        <v>TX0075698_001</v>
      </c>
      <c r="D1674" s="2" t="s">
        <v>3865</v>
      </c>
    </row>
    <row r="1675" spans="1:4" x14ac:dyDescent="0.25">
      <c r="A1675" s="2" t="s">
        <v>6303</v>
      </c>
      <c r="B1675" s="2" t="s">
        <v>2921</v>
      </c>
      <c r="C1675" s="2" t="str">
        <f t="shared" si="26"/>
        <v>TX0075701_001</v>
      </c>
      <c r="D1675" s="2" t="s">
        <v>3866</v>
      </c>
    </row>
    <row r="1676" spans="1:4" x14ac:dyDescent="0.25">
      <c r="A1676" s="2" t="s">
        <v>6304</v>
      </c>
      <c r="B1676" s="2" t="s">
        <v>2921</v>
      </c>
      <c r="C1676" s="2" t="str">
        <f t="shared" si="26"/>
        <v>TX0075761_001</v>
      </c>
      <c r="D1676" s="2" t="s">
        <v>3867</v>
      </c>
    </row>
    <row r="1677" spans="1:4" x14ac:dyDescent="0.25">
      <c r="A1677" s="2" t="s">
        <v>6305</v>
      </c>
      <c r="B1677" s="2" t="s">
        <v>2921</v>
      </c>
      <c r="C1677" s="2" t="str">
        <f t="shared" si="26"/>
        <v>TX0075779_001</v>
      </c>
      <c r="D1677" s="2" t="s">
        <v>3868</v>
      </c>
    </row>
    <row r="1678" spans="1:4" x14ac:dyDescent="0.25">
      <c r="A1678" s="2" t="s">
        <v>6306</v>
      </c>
      <c r="B1678" s="2" t="s">
        <v>2921</v>
      </c>
      <c r="C1678" s="2" t="str">
        <f t="shared" si="26"/>
        <v>TX0075795_001</v>
      </c>
      <c r="D1678" s="2" t="s">
        <v>3869</v>
      </c>
    </row>
    <row r="1679" spans="1:4" x14ac:dyDescent="0.25">
      <c r="A1679" s="2" t="s">
        <v>6307</v>
      </c>
      <c r="B1679" s="2" t="s">
        <v>2921</v>
      </c>
      <c r="C1679" s="2" t="str">
        <f t="shared" si="26"/>
        <v>TX0075809_001</v>
      </c>
      <c r="D1679" s="2" t="s">
        <v>3870</v>
      </c>
    </row>
    <row r="1680" spans="1:4" x14ac:dyDescent="0.25">
      <c r="A1680" s="2" t="s">
        <v>6308</v>
      </c>
      <c r="B1680" s="2" t="s">
        <v>2921</v>
      </c>
      <c r="C1680" s="2" t="str">
        <f t="shared" si="26"/>
        <v>TX0075841_001</v>
      </c>
      <c r="D1680" s="2" t="s">
        <v>3871</v>
      </c>
    </row>
    <row r="1681" spans="1:4" x14ac:dyDescent="0.25">
      <c r="A1681" s="2" t="s">
        <v>6309</v>
      </c>
      <c r="B1681" s="2" t="s">
        <v>2921</v>
      </c>
      <c r="C1681" s="2" t="str">
        <f t="shared" si="26"/>
        <v>TX0075850_001</v>
      </c>
      <c r="D1681" s="2" t="s">
        <v>3872</v>
      </c>
    </row>
    <row r="1682" spans="1:4" x14ac:dyDescent="0.25">
      <c r="A1682" s="2" t="s">
        <v>6310</v>
      </c>
      <c r="B1682" s="2" t="s">
        <v>2921</v>
      </c>
      <c r="C1682" s="2" t="str">
        <f t="shared" si="26"/>
        <v>TX0075884_001</v>
      </c>
      <c r="D1682" s="2" t="s">
        <v>3873</v>
      </c>
    </row>
    <row r="1683" spans="1:4" x14ac:dyDescent="0.25">
      <c r="A1683" s="2" t="s">
        <v>6311</v>
      </c>
      <c r="B1683" s="2" t="s">
        <v>2921</v>
      </c>
      <c r="C1683" s="2" t="str">
        <f t="shared" si="26"/>
        <v>TX0075906_001</v>
      </c>
      <c r="D1683" s="2" t="s">
        <v>3874</v>
      </c>
    </row>
    <row r="1684" spans="1:4" x14ac:dyDescent="0.25">
      <c r="A1684" s="2" t="s">
        <v>6312</v>
      </c>
      <c r="B1684" s="2" t="s">
        <v>2921</v>
      </c>
      <c r="C1684" s="2" t="str">
        <f t="shared" si="26"/>
        <v>TX0075931_001</v>
      </c>
      <c r="D1684" s="2" t="s">
        <v>3411</v>
      </c>
    </row>
    <row r="1685" spans="1:4" x14ac:dyDescent="0.25">
      <c r="A1685" s="2" t="s">
        <v>6313</v>
      </c>
      <c r="B1685" s="2" t="s">
        <v>2921</v>
      </c>
      <c r="C1685" s="2" t="str">
        <f t="shared" si="26"/>
        <v>TX0075949_001</v>
      </c>
      <c r="D1685" s="2" t="s">
        <v>3875</v>
      </c>
    </row>
    <row r="1686" spans="1:4" x14ac:dyDescent="0.25">
      <c r="A1686" s="2" t="s">
        <v>6314</v>
      </c>
      <c r="B1686" s="2" t="s">
        <v>2921</v>
      </c>
      <c r="C1686" s="2" t="str">
        <f t="shared" si="26"/>
        <v>TX0075957_001</v>
      </c>
      <c r="D1686" s="2" t="s">
        <v>3876</v>
      </c>
    </row>
    <row r="1687" spans="1:4" x14ac:dyDescent="0.25">
      <c r="A1687" s="2" t="s">
        <v>6315</v>
      </c>
      <c r="B1687" s="2" t="s">
        <v>2921</v>
      </c>
      <c r="C1687" s="2" t="str">
        <f t="shared" si="26"/>
        <v>TX0075981_001</v>
      </c>
      <c r="D1687" s="2" t="s">
        <v>3877</v>
      </c>
    </row>
    <row r="1688" spans="1:4" x14ac:dyDescent="0.25">
      <c r="A1688" s="2" t="s">
        <v>6315</v>
      </c>
      <c r="B1688" s="2" t="s">
        <v>2921</v>
      </c>
      <c r="C1688" s="2" t="str">
        <f t="shared" si="26"/>
        <v>TX0075981_001</v>
      </c>
      <c r="D1688" s="2" t="s">
        <v>3877</v>
      </c>
    </row>
    <row r="1689" spans="1:4" x14ac:dyDescent="0.25">
      <c r="A1689" s="2" t="s">
        <v>6316</v>
      </c>
      <c r="B1689" s="2" t="s">
        <v>2921</v>
      </c>
      <c r="C1689" s="2" t="str">
        <f t="shared" si="26"/>
        <v>TX0076015_001</v>
      </c>
      <c r="D1689" s="2" t="s">
        <v>3878</v>
      </c>
    </row>
    <row r="1690" spans="1:4" x14ac:dyDescent="0.25">
      <c r="A1690" s="2" t="s">
        <v>6317</v>
      </c>
      <c r="B1690" s="2" t="s">
        <v>2921</v>
      </c>
      <c r="C1690" s="2" t="str">
        <f t="shared" si="26"/>
        <v>TX0076023_001</v>
      </c>
      <c r="D1690" s="2" t="s">
        <v>2966</v>
      </c>
    </row>
    <row r="1691" spans="1:4" x14ac:dyDescent="0.25">
      <c r="A1691" s="2" t="s">
        <v>6318</v>
      </c>
      <c r="B1691" s="2" t="s">
        <v>2921</v>
      </c>
      <c r="C1691" s="2" t="str">
        <f t="shared" si="26"/>
        <v>TX0076082_001</v>
      </c>
      <c r="D1691" s="2" t="s">
        <v>3879</v>
      </c>
    </row>
    <row r="1692" spans="1:4" x14ac:dyDescent="0.25">
      <c r="A1692" s="2" t="s">
        <v>6319</v>
      </c>
      <c r="B1692" s="2" t="s">
        <v>2921</v>
      </c>
      <c r="C1692" s="2" t="str">
        <f t="shared" si="26"/>
        <v>TX0076091_001</v>
      </c>
      <c r="D1692" s="2" t="s">
        <v>3880</v>
      </c>
    </row>
    <row r="1693" spans="1:4" x14ac:dyDescent="0.25">
      <c r="A1693" s="2" t="s">
        <v>6320</v>
      </c>
      <c r="B1693" s="2" t="s">
        <v>2921</v>
      </c>
      <c r="C1693" s="2" t="str">
        <f t="shared" si="26"/>
        <v>TX0076104_001</v>
      </c>
      <c r="D1693" s="2" t="s">
        <v>3881</v>
      </c>
    </row>
    <row r="1694" spans="1:4" x14ac:dyDescent="0.25">
      <c r="A1694" s="2" t="s">
        <v>6321</v>
      </c>
      <c r="B1694" s="2" t="s">
        <v>2921</v>
      </c>
      <c r="C1694" s="2" t="str">
        <f t="shared" si="26"/>
        <v>TX0076392_001</v>
      </c>
      <c r="D1694" s="2" t="s">
        <v>3882</v>
      </c>
    </row>
    <row r="1695" spans="1:4" x14ac:dyDescent="0.25">
      <c r="A1695" s="2" t="s">
        <v>6322</v>
      </c>
      <c r="B1695" s="2" t="s">
        <v>2921</v>
      </c>
      <c r="C1695" s="2" t="str">
        <f t="shared" si="26"/>
        <v>TX0076422_001</v>
      </c>
      <c r="D1695" s="2" t="s">
        <v>3883</v>
      </c>
    </row>
    <row r="1696" spans="1:4" x14ac:dyDescent="0.25">
      <c r="A1696" s="2" t="s">
        <v>6323</v>
      </c>
      <c r="B1696" s="2" t="s">
        <v>2921</v>
      </c>
      <c r="C1696" s="2" t="str">
        <f t="shared" si="26"/>
        <v>TX0076465_001</v>
      </c>
      <c r="D1696" s="2" t="s">
        <v>2930</v>
      </c>
    </row>
    <row r="1697" spans="1:4" x14ac:dyDescent="0.25">
      <c r="A1697" s="2" t="s">
        <v>6324</v>
      </c>
      <c r="B1697" s="2" t="s">
        <v>2921</v>
      </c>
      <c r="C1697" s="2" t="str">
        <f t="shared" si="26"/>
        <v>TX0076481_001</v>
      </c>
      <c r="D1697" s="2" t="s">
        <v>3884</v>
      </c>
    </row>
    <row r="1698" spans="1:4" x14ac:dyDescent="0.25">
      <c r="A1698" s="2" t="s">
        <v>6325</v>
      </c>
      <c r="B1698" s="2" t="s">
        <v>2921</v>
      </c>
      <c r="C1698" s="2" t="str">
        <f t="shared" si="26"/>
        <v>TX0076503_001</v>
      </c>
      <c r="D1698" s="2" t="s">
        <v>3885</v>
      </c>
    </row>
    <row r="1699" spans="1:4" x14ac:dyDescent="0.25">
      <c r="A1699" s="2" t="s">
        <v>6326</v>
      </c>
      <c r="B1699" s="2" t="s">
        <v>2921</v>
      </c>
      <c r="C1699" s="2" t="str">
        <f t="shared" si="26"/>
        <v>TX0076538_001</v>
      </c>
      <c r="D1699" s="2" t="s">
        <v>3886</v>
      </c>
    </row>
    <row r="1700" spans="1:4" x14ac:dyDescent="0.25">
      <c r="A1700" s="2" t="s">
        <v>6327</v>
      </c>
      <c r="B1700" s="2" t="s">
        <v>2921</v>
      </c>
      <c r="C1700" s="2" t="str">
        <f t="shared" si="26"/>
        <v>TX0076554_001</v>
      </c>
      <c r="D1700" s="2" t="s">
        <v>3887</v>
      </c>
    </row>
    <row r="1701" spans="1:4" x14ac:dyDescent="0.25">
      <c r="A1701" s="2" t="s">
        <v>6328</v>
      </c>
      <c r="B1701" s="2" t="s">
        <v>2921</v>
      </c>
      <c r="C1701" s="2" t="str">
        <f t="shared" si="26"/>
        <v>TX0076651_001</v>
      </c>
      <c r="D1701" s="2" t="s">
        <v>3888</v>
      </c>
    </row>
    <row r="1702" spans="1:4" x14ac:dyDescent="0.25">
      <c r="A1702" s="2" t="s">
        <v>6329</v>
      </c>
      <c r="B1702" s="2" t="s">
        <v>2921</v>
      </c>
      <c r="C1702" s="2" t="str">
        <f t="shared" si="26"/>
        <v>TX0076660_001</v>
      </c>
      <c r="D1702" s="2" t="s">
        <v>3889</v>
      </c>
    </row>
    <row r="1703" spans="1:4" x14ac:dyDescent="0.25">
      <c r="A1703" s="2" t="s">
        <v>6330</v>
      </c>
      <c r="B1703" s="2" t="s">
        <v>2921</v>
      </c>
      <c r="C1703" s="2" t="str">
        <f t="shared" si="26"/>
        <v>TX0076767_001</v>
      </c>
      <c r="D1703" s="2" t="s">
        <v>3890</v>
      </c>
    </row>
    <row r="1704" spans="1:4" x14ac:dyDescent="0.25">
      <c r="A1704" s="2" t="s">
        <v>6331</v>
      </c>
      <c r="B1704" s="2" t="s">
        <v>2921</v>
      </c>
      <c r="C1704" s="2" t="str">
        <f t="shared" si="26"/>
        <v>TX0076775_001</v>
      </c>
      <c r="D1704" s="2" t="s">
        <v>3891</v>
      </c>
    </row>
    <row r="1705" spans="1:4" x14ac:dyDescent="0.25">
      <c r="A1705" s="2" t="s">
        <v>6332</v>
      </c>
      <c r="B1705" s="2" t="s">
        <v>2921</v>
      </c>
      <c r="C1705" s="2" t="str">
        <f t="shared" si="26"/>
        <v>TX0076791_001</v>
      </c>
      <c r="D1705" s="2" t="s">
        <v>3892</v>
      </c>
    </row>
    <row r="1706" spans="1:4" x14ac:dyDescent="0.25">
      <c r="A1706" s="2" t="s">
        <v>6333</v>
      </c>
      <c r="B1706" s="2" t="s">
        <v>2921</v>
      </c>
      <c r="C1706" s="2" t="str">
        <f t="shared" si="26"/>
        <v>TX0076856_001</v>
      </c>
      <c r="D1706" s="2" t="s">
        <v>3893</v>
      </c>
    </row>
    <row r="1707" spans="1:4" x14ac:dyDescent="0.25">
      <c r="A1707" s="2" t="s">
        <v>6334</v>
      </c>
      <c r="B1707" s="2" t="s">
        <v>2921</v>
      </c>
      <c r="C1707" s="2" t="str">
        <f t="shared" si="26"/>
        <v>TX0076945_001</v>
      </c>
      <c r="D1707" s="2" t="s">
        <v>3894</v>
      </c>
    </row>
    <row r="1708" spans="1:4" x14ac:dyDescent="0.25">
      <c r="A1708" s="2" t="s">
        <v>6335</v>
      </c>
      <c r="B1708" s="2" t="s">
        <v>2921</v>
      </c>
      <c r="C1708" s="2" t="str">
        <f t="shared" si="26"/>
        <v>TX0076953_001</v>
      </c>
      <c r="D1708" s="2" t="s">
        <v>3697</v>
      </c>
    </row>
    <row r="1709" spans="1:4" x14ac:dyDescent="0.25">
      <c r="A1709" s="2" t="s">
        <v>6335</v>
      </c>
      <c r="B1709" s="2" t="s">
        <v>2923</v>
      </c>
      <c r="C1709" s="2" t="str">
        <f t="shared" si="26"/>
        <v>TX0076953_002</v>
      </c>
      <c r="D1709" s="2" t="s">
        <v>3697</v>
      </c>
    </row>
    <row r="1710" spans="1:4" x14ac:dyDescent="0.25">
      <c r="A1710" s="2" t="s">
        <v>6336</v>
      </c>
      <c r="B1710" s="2" t="s">
        <v>2921</v>
      </c>
      <c r="C1710" s="2" t="str">
        <f t="shared" si="26"/>
        <v>TX0076996_001</v>
      </c>
      <c r="D1710" s="2" t="s">
        <v>2980</v>
      </c>
    </row>
    <row r="1711" spans="1:4" x14ac:dyDescent="0.25">
      <c r="A1711" s="2" t="s">
        <v>6336</v>
      </c>
      <c r="B1711" s="2" t="s">
        <v>2923</v>
      </c>
      <c r="C1711" s="2" t="str">
        <f t="shared" si="26"/>
        <v>TX0076996_002</v>
      </c>
      <c r="D1711" s="2" t="s">
        <v>2980</v>
      </c>
    </row>
    <row r="1712" spans="1:4" x14ac:dyDescent="0.25">
      <c r="A1712" s="2" t="s">
        <v>6336</v>
      </c>
      <c r="B1712" s="2" t="s">
        <v>2924</v>
      </c>
      <c r="C1712" s="2" t="str">
        <f t="shared" si="26"/>
        <v>TX0076996_003</v>
      </c>
      <c r="D1712" s="2" t="s">
        <v>2980</v>
      </c>
    </row>
    <row r="1713" spans="1:4" x14ac:dyDescent="0.25">
      <c r="A1713" s="2" t="s">
        <v>6337</v>
      </c>
      <c r="B1713" s="2" t="s">
        <v>2921</v>
      </c>
      <c r="C1713" s="2" t="str">
        <f t="shared" si="26"/>
        <v>TX0077062_001</v>
      </c>
      <c r="D1713" s="2" t="s">
        <v>3895</v>
      </c>
    </row>
    <row r="1714" spans="1:4" x14ac:dyDescent="0.25">
      <c r="A1714" s="2" t="s">
        <v>6338</v>
      </c>
      <c r="B1714" s="2" t="s">
        <v>2921</v>
      </c>
      <c r="C1714" s="2" t="str">
        <f t="shared" si="26"/>
        <v>TX0077178_001</v>
      </c>
      <c r="D1714" s="2" t="s">
        <v>3896</v>
      </c>
    </row>
    <row r="1715" spans="1:4" x14ac:dyDescent="0.25">
      <c r="A1715" s="2" t="s">
        <v>6339</v>
      </c>
      <c r="B1715" s="2" t="s">
        <v>2923</v>
      </c>
      <c r="C1715" s="2" t="str">
        <f t="shared" si="26"/>
        <v>TX0077232_002</v>
      </c>
      <c r="D1715" s="2" t="s">
        <v>3897</v>
      </c>
    </row>
    <row r="1716" spans="1:4" x14ac:dyDescent="0.25">
      <c r="A1716" s="2" t="s">
        <v>6339</v>
      </c>
      <c r="B1716" s="2" t="s">
        <v>2921</v>
      </c>
      <c r="C1716" s="2" t="str">
        <f t="shared" si="26"/>
        <v>TX0077232_001</v>
      </c>
      <c r="D1716" s="2" t="s">
        <v>3897</v>
      </c>
    </row>
    <row r="1717" spans="1:4" x14ac:dyDescent="0.25">
      <c r="A1717" s="2" t="s">
        <v>6340</v>
      </c>
      <c r="B1717" s="2" t="s">
        <v>2921</v>
      </c>
      <c r="C1717" s="2" t="str">
        <f t="shared" si="26"/>
        <v>TX0077241_001</v>
      </c>
      <c r="D1717" s="2" t="s">
        <v>3898</v>
      </c>
    </row>
    <row r="1718" spans="1:4" x14ac:dyDescent="0.25">
      <c r="A1718" s="2" t="s">
        <v>6341</v>
      </c>
      <c r="B1718" s="2" t="s">
        <v>2921</v>
      </c>
      <c r="C1718" s="2" t="str">
        <f t="shared" si="26"/>
        <v>TX0077291_001</v>
      </c>
      <c r="D1718" s="2" t="s">
        <v>3899</v>
      </c>
    </row>
    <row r="1719" spans="1:4" x14ac:dyDescent="0.25">
      <c r="A1719" s="2" t="s">
        <v>6342</v>
      </c>
      <c r="B1719" s="2" t="s">
        <v>2921</v>
      </c>
      <c r="C1719" s="2" t="str">
        <f t="shared" si="26"/>
        <v>TX0077399_001</v>
      </c>
      <c r="D1719" s="2" t="s">
        <v>3899</v>
      </c>
    </row>
    <row r="1720" spans="1:4" x14ac:dyDescent="0.25">
      <c r="A1720" s="2" t="s">
        <v>6343</v>
      </c>
      <c r="B1720" s="2" t="s">
        <v>2921</v>
      </c>
      <c r="C1720" s="2" t="str">
        <f t="shared" si="26"/>
        <v>TX0077429_001</v>
      </c>
      <c r="D1720" s="2" t="s">
        <v>3900</v>
      </c>
    </row>
    <row r="1721" spans="1:4" x14ac:dyDescent="0.25">
      <c r="A1721" s="2" t="s">
        <v>6344</v>
      </c>
      <c r="B1721" s="2" t="s">
        <v>2921</v>
      </c>
      <c r="C1721" s="2" t="str">
        <f t="shared" si="26"/>
        <v>TX0077470_001</v>
      </c>
      <c r="D1721" s="2" t="s">
        <v>3901</v>
      </c>
    </row>
    <row r="1722" spans="1:4" x14ac:dyDescent="0.25">
      <c r="A1722" s="2" t="s">
        <v>6345</v>
      </c>
      <c r="B1722" s="2" t="s">
        <v>2921</v>
      </c>
      <c r="C1722" s="2" t="str">
        <f t="shared" si="26"/>
        <v>TX0077526_001</v>
      </c>
      <c r="D1722" s="2" t="s">
        <v>3902</v>
      </c>
    </row>
    <row r="1723" spans="1:4" x14ac:dyDescent="0.25">
      <c r="A1723" s="2" t="s">
        <v>6346</v>
      </c>
      <c r="B1723" s="2" t="s">
        <v>2921</v>
      </c>
      <c r="C1723" s="2" t="str">
        <f t="shared" si="26"/>
        <v>TX0077534_001</v>
      </c>
      <c r="D1723" s="2" t="s">
        <v>2996</v>
      </c>
    </row>
    <row r="1724" spans="1:4" x14ac:dyDescent="0.25">
      <c r="A1724" s="2" t="s">
        <v>6347</v>
      </c>
      <c r="B1724" s="2" t="s">
        <v>2940</v>
      </c>
      <c r="C1724" s="2" t="str">
        <f t="shared" si="26"/>
        <v>TX0077577_006</v>
      </c>
      <c r="D1724" s="2" t="s">
        <v>3903</v>
      </c>
    </row>
    <row r="1725" spans="1:4" x14ac:dyDescent="0.25">
      <c r="A1725" s="2" t="s">
        <v>6347</v>
      </c>
      <c r="B1725" s="2" t="s">
        <v>2959</v>
      </c>
      <c r="C1725" s="2" t="str">
        <f t="shared" si="26"/>
        <v>TX0077577_007</v>
      </c>
      <c r="D1725" s="2" t="s">
        <v>3903</v>
      </c>
    </row>
    <row r="1726" spans="1:4" x14ac:dyDescent="0.25">
      <c r="A1726" s="2" t="s">
        <v>6347</v>
      </c>
      <c r="B1726" s="2" t="s">
        <v>2923</v>
      </c>
      <c r="C1726" s="2" t="str">
        <f t="shared" si="26"/>
        <v>TX0077577_002</v>
      </c>
      <c r="D1726" s="2" t="s">
        <v>3903</v>
      </c>
    </row>
    <row r="1727" spans="1:4" x14ac:dyDescent="0.25">
      <c r="A1727" s="2" t="s">
        <v>6347</v>
      </c>
      <c r="B1727" s="2" t="s">
        <v>2924</v>
      </c>
      <c r="C1727" s="2" t="str">
        <f t="shared" si="26"/>
        <v>TX0077577_003</v>
      </c>
      <c r="D1727" s="2" t="s">
        <v>3903</v>
      </c>
    </row>
    <row r="1728" spans="1:4" x14ac:dyDescent="0.25">
      <c r="A1728" s="2" t="s">
        <v>6347</v>
      </c>
      <c r="B1728" s="2" t="s">
        <v>2921</v>
      </c>
      <c r="C1728" s="2" t="str">
        <f t="shared" si="26"/>
        <v>TX0077577_001</v>
      </c>
      <c r="D1728" s="2" t="s">
        <v>3903</v>
      </c>
    </row>
    <row r="1729" spans="1:4" x14ac:dyDescent="0.25">
      <c r="A1729" s="2" t="s">
        <v>6347</v>
      </c>
      <c r="B1729" s="2" t="s">
        <v>2934</v>
      </c>
      <c r="C1729" s="2" t="str">
        <f t="shared" si="26"/>
        <v>TX0077577_005</v>
      </c>
      <c r="D1729" s="2" t="s">
        <v>3903</v>
      </c>
    </row>
    <row r="1730" spans="1:4" x14ac:dyDescent="0.25">
      <c r="A1730" s="2" t="s">
        <v>6348</v>
      </c>
      <c r="B1730" s="2" t="s">
        <v>2921</v>
      </c>
      <c r="C1730" s="2" t="str">
        <f t="shared" si="26"/>
        <v>TX0077763_001</v>
      </c>
      <c r="D1730" s="2" t="s">
        <v>3904</v>
      </c>
    </row>
    <row r="1731" spans="1:4" x14ac:dyDescent="0.25">
      <c r="A1731" s="2" t="s">
        <v>6349</v>
      </c>
      <c r="B1731" s="2" t="s">
        <v>2921</v>
      </c>
      <c r="C1731" s="2" t="str">
        <f t="shared" ref="C1731:C1794" si="27">A1731 &amp; "_" &amp; B1731</f>
        <v>TX0077771_001</v>
      </c>
      <c r="D1731" s="2" t="s">
        <v>3905</v>
      </c>
    </row>
    <row r="1732" spans="1:4" x14ac:dyDescent="0.25">
      <c r="A1732" s="2" t="s">
        <v>6350</v>
      </c>
      <c r="B1732" s="2" t="s">
        <v>2934</v>
      </c>
      <c r="C1732" s="2" t="str">
        <f t="shared" si="27"/>
        <v>TX0077801_005</v>
      </c>
      <c r="D1732" s="2" t="s">
        <v>3538</v>
      </c>
    </row>
    <row r="1733" spans="1:4" x14ac:dyDescent="0.25">
      <c r="A1733" s="2" t="s">
        <v>6350</v>
      </c>
      <c r="B1733" s="2" t="s">
        <v>2940</v>
      </c>
      <c r="C1733" s="2" t="str">
        <f t="shared" si="27"/>
        <v>TX0077801_006</v>
      </c>
      <c r="D1733" s="2" t="s">
        <v>3538</v>
      </c>
    </row>
    <row r="1734" spans="1:4" x14ac:dyDescent="0.25">
      <c r="A1734" s="2" t="s">
        <v>6350</v>
      </c>
      <c r="B1734" s="2" t="s">
        <v>2923</v>
      </c>
      <c r="C1734" s="2" t="str">
        <f t="shared" si="27"/>
        <v>TX0077801_002</v>
      </c>
      <c r="D1734" s="2" t="s">
        <v>3538</v>
      </c>
    </row>
    <row r="1735" spans="1:4" x14ac:dyDescent="0.25">
      <c r="A1735" s="2" t="s">
        <v>6350</v>
      </c>
      <c r="B1735" s="2" t="s">
        <v>2924</v>
      </c>
      <c r="C1735" s="2" t="str">
        <f t="shared" si="27"/>
        <v>TX0077801_003</v>
      </c>
      <c r="D1735" s="2" t="s">
        <v>3538</v>
      </c>
    </row>
    <row r="1736" spans="1:4" x14ac:dyDescent="0.25">
      <c r="A1736" s="2" t="s">
        <v>6350</v>
      </c>
      <c r="B1736" s="2" t="s">
        <v>2936</v>
      </c>
      <c r="C1736" s="2" t="str">
        <f t="shared" si="27"/>
        <v>TX0077801_004</v>
      </c>
      <c r="D1736" s="2" t="s">
        <v>3538</v>
      </c>
    </row>
    <row r="1737" spans="1:4" x14ac:dyDescent="0.25">
      <c r="A1737" s="2" t="s">
        <v>6350</v>
      </c>
      <c r="B1737" s="2" t="s">
        <v>2921</v>
      </c>
      <c r="C1737" s="2" t="str">
        <f t="shared" si="27"/>
        <v>TX0077801_001</v>
      </c>
      <c r="D1737" s="2" t="s">
        <v>3538</v>
      </c>
    </row>
    <row r="1738" spans="1:4" x14ac:dyDescent="0.25">
      <c r="A1738" s="2" t="s">
        <v>6351</v>
      </c>
      <c r="B1738" s="2" t="s">
        <v>2921</v>
      </c>
      <c r="C1738" s="2" t="str">
        <f t="shared" si="27"/>
        <v>TX0077810_001</v>
      </c>
      <c r="D1738" s="2" t="s">
        <v>3906</v>
      </c>
    </row>
    <row r="1739" spans="1:4" x14ac:dyDescent="0.25">
      <c r="A1739" s="2" t="s">
        <v>6352</v>
      </c>
      <c r="B1739" s="2" t="s">
        <v>2923</v>
      </c>
      <c r="C1739" s="2" t="str">
        <f t="shared" si="27"/>
        <v>TX0077887_002</v>
      </c>
      <c r="D1739" s="2" t="s">
        <v>3042</v>
      </c>
    </row>
    <row r="1740" spans="1:4" x14ac:dyDescent="0.25">
      <c r="A1740" s="2" t="s">
        <v>6353</v>
      </c>
      <c r="B1740" s="2" t="s">
        <v>2921</v>
      </c>
      <c r="C1740" s="2" t="str">
        <f t="shared" si="27"/>
        <v>TX0077941_001</v>
      </c>
      <c r="D1740" s="2" t="s">
        <v>3907</v>
      </c>
    </row>
    <row r="1741" spans="1:4" x14ac:dyDescent="0.25">
      <c r="A1741" s="2" t="s">
        <v>6354</v>
      </c>
      <c r="B1741" s="2" t="s">
        <v>2921</v>
      </c>
      <c r="C1741" s="2" t="str">
        <f t="shared" si="27"/>
        <v>TX0078247_001</v>
      </c>
      <c r="D1741" s="2" t="s">
        <v>3908</v>
      </c>
    </row>
    <row r="1742" spans="1:4" x14ac:dyDescent="0.25">
      <c r="A1742" s="2" t="s">
        <v>6355</v>
      </c>
      <c r="B1742" s="2" t="s">
        <v>2921</v>
      </c>
      <c r="C1742" s="2" t="str">
        <f t="shared" si="27"/>
        <v>TX0078255_001</v>
      </c>
      <c r="D1742" s="2" t="s">
        <v>3909</v>
      </c>
    </row>
    <row r="1743" spans="1:4" x14ac:dyDescent="0.25">
      <c r="A1743" s="2" t="s">
        <v>6356</v>
      </c>
      <c r="B1743" s="2" t="s">
        <v>2921</v>
      </c>
      <c r="C1743" s="2" t="str">
        <f t="shared" si="27"/>
        <v>TX0078263_001</v>
      </c>
      <c r="D1743" s="2" t="s">
        <v>3910</v>
      </c>
    </row>
    <row r="1744" spans="1:4" x14ac:dyDescent="0.25">
      <c r="A1744" s="2" t="s">
        <v>6357</v>
      </c>
      <c r="B1744" s="2" t="s">
        <v>2921</v>
      </c>
      <c r="C1744" s="2" t="str">
        <f t="shared" si="27"/>
        <v>TX0078344_001</v>
      </c>
      <c r="D1744" s="2" t="s">
        <v>3911</v>
      </c>
    </row>
    <row r="1745" spans="1:4" x14ac:dyDescent="0.25">
      <c r="A1745" s="2" t="s">
        <v>6358</v>
      </c>
      <c r="B1745" s="2" t="s">
        <v>2921</v>
      </c>
      <c r="C1745" s="2" t="str">
        <f t="shared" si="27"/>
        <v>TX0078433_001</v>
      </c>
      <c r="D1745" s="2" t="s">
        <v>3912</v>
      </c>
    </row>
    <row r="1746" spans="1:4" x14ac:dyDescent="0.25">
      <c r="A1746" s="2" t="s">
        <v>6359</v>
      </c>
      <c r="B1746" s="2" t="s">
        <v>2921</v>
      </c>
      <c r="C1746" s="2" t="str">
        <f t="shared" si="27"/>
        <v>TX0078441_001</v>
      </c>
      <c r="D1746" s="2" t="s">
        <v>3913</v>
      </c>
    </row>
    <row r="1747" spans="1:4" x14ac:dyDescent="0.25">
      <c r="A1747" s="2" t="s">
        <v>6360</v>
      </c>
      <c r="B1747" s="2" t="s">
        <v>2921</v>
      </c>
      <c r="C1747" s="2" t="str">
        <f t="shared" si="27"/>
        <v>TX0078565_001</v>
      </c>
      <c r="D1747" s="2" t="s">
        <v>3155</v>
      </c>
    </row>
    <row r="1748" spans="1:4" x14ac:dyDescent="0.25">
      <c r="A1748" s="2" t="s">
        <v>6361</v>
      </c>
      <c r="B1748" s="2" t="s">
        <v>2923</v>
      </c>
      <c r="C1748" s="2" t="str">
        <f t="shared" si="27"/>
        <v>TX0078646_002</v>
      </c>
      <c r="D1748" s="2" t="s">
        <v>3914</v>
      </c>
    </row>
    <row r="1749" spans="1:4" x14ac:dyDescent="0.25">
      <c r="A1749" s="2" t="s">
        <v>6362</v>
      </c>
      <c r="B1749" s="2" t="s">
        <v>2921</v>
      </c>
      <c r="C1749" s="2" t="str">
        <f t="shared" si="27"/>
        <v>TX0078743_001</v>
      </c>
      <c r="D1749" s="2" t="s">
        <v>3915</v>
      </c>
    </row>
    <row r="1750" spans="1:4" x14ac:dyDescent="0.25">
      <c r="A1750" s="2" t="s">
        <v>6363</v>
      </c>
      <c r="B1750" s="2" t="s">
        <v>2921</v>
      </c>
      <c r="C1750" s="2" t="str">
        <f t="shared" si="27"/>
        <v>TX0078751_001</v>
      </c>
      <c r="D1750" s="2" t="s">
        <v>3916</v>
      </c>
    </row>
    <row r="1751" spans="1:4" x14ac:dyDescent="0.25">
      <c r="A1751" s="2" t="s">
        <v>6364</v>
      </c>
      <c r="B1751" s="2" t="s">
        <v>2921</v>
      </c>
      <c r="C1751" s="2" t="str">
        <f t="shared" si="27"/>
        <v>TX0078808_001</v>
      </c>
      <c r="D1751" s="2" t="s">
        <v>3917</v>
      </c>
    </row>
    <row r="1752" spans="1:4" x14ac:dyDescent="0.25">
      <c r="A1752" s="2" t="s">
        <v>6365</v>
      </c>
      <c r="B1752" s="2" t="s">
        <v>2921</v>
      </c>
      <c r="C1752" s="2" t="str">
        <f t="shared" si="27"/>
        <v>TX0078824_001</v>
      </c>
      <c r="D1752" s="2" t="s">
        <v>3918</v>
      </c>
    </row>
    <row r="1753" spans="1:4" x14ac:dyDescent="0.25">
      <c r="A1753" s="2" t="s">
        <v>6366</v>
      </c>
      <c r="B1753" s="2" t="s">
        <v>2921</v>
      </c>
      <c r="C1753" s="2" t="str">
        <f t="shared" si="27"/>
        <v>TX0078841_001</v>
      </c>
      <c r="D1753" s="2" t="s">
        <v>3919</v>
      </c>
    </row>
    <row r="1754" spans="1:4" x14ac:dyDescent="0.25">
      <c r="A1754" s="2" t="s">
        <v>6367</v>
      </c>
      <c r="B1754" s="2" t="s">
        <v>2921</v>
      </c>
      <c r="C1754" s="2" t="str">
        <f t="shared" si="27"/>
        <v>TX0078883_001</v>
      </c>
      <c r="D1754" s="2" t="s">
        <v>3920</v>
      </c>
    </row>
    <row r="1755" spans="1:4" x14ac:dyDescent="0.25">
      <c r="A1755" s="2" t="s">
        <v>6368</v>
      </c>
      <c r="B1755" s="2" t="s">
        <v>2921</v>
      </c>
      <c r="C1755" s="2" t="str">
        <f t="shared" si="27"/>
        <v>TX0078891_001</v>
      </c>
      <c r="D1755" s="2" t="s">
        <v>3921</v>
      </c>
    </row>
    <row r="1756" spans="1:4" x14ac:dyDescent="0.25">
      <c r="A1756" s="2" t="s">
        <v>6369</v>
      </c>
      <c r="B1756" s="2" t="s">
        <v>2921</v>
      </c>
      <c r="C1756" s="2" t="str">
        <f t="shared" si="27"/>
        <v>TX0078905_001</v>
      </c>
      <c r="D1756" s="2" t="s">
        <v>3922</v>
      </c>
    </row>
    <row r="1757" spans="1:4" x14ac:dyDescent="0.25">
      <c r="A1757" s="2" t="s">
        <v>6370</v>
      </c>
      <c r="B1757" s="2" t="s">
        <v>2921</v>
      </c>
      <c r="C1757" s="2" t="str">
        <f t="shared" si="27"/>
        <v>TX0078930_001</v>
      </c>
      <c r="D1757" s="2" t="s">
        <v>3923</v>
      </c>
    </row>
    <row r="1758" spans="1:4" x14ac:dyDescent="0.25">
      <c r="A1758" s="2" t="s">
        <v>6371</v>
      </c>
      <c r="B1758" s="2" t="s">
        <v>2921</v>
      </c>
      <c r="C1758" s="2" t="str">
        <f t="shared" si="27"/>
        <v>TX0078964_001</v>
      </c>
      <c r="D1758" s="2" t="s">
        <v>3924</v>
      </c>
    </row>
    <row r="1759" spans="1:4" x14ac:dyDescent="0.25">
      <c r="A1759" s="2" t="s">
        <v>6372</v>
      </c>
      <c r="B1759" s="2" t="s">
        <v>2921</v>
      </c>
      <c r="C1759" s="2" t="str">
        <f t="shared" si="27"/>
        <v>TX0079006_001</v>
      </c>
      <c r="D1759" s="2" t="s">
        <v>3925</v>
      </c>
    </row>
    <row r="1760" spans="1:4" x14ac:dyDescent="0.25">
      <c r="A1760" s="2" t="s">
        <v>6373</v>
      </c>
      <c r="B1760" s="2" t="s">
        <v>2921</v>
      </c>
      <c r="C1760" s="2" t="str">
        <f t="shared" si="27"/>
        <v>TX0079057_001</v>
      </c>
      <c r="D1760" s="2" t="s">
        <v>3926</v>
      </c>
    </row>
    <row r="1761" spans="1:4" x14ac:dyDescent="0.25">
      <c r="A1761" s="2" t="s">
        <v>6374</v>
      </c>
      <c r="B1761" s="2" t="s">
        <v>2921</v>
      </c>
      <c r="C1761" s="2" t="str">
        <f t="shared" si="27"/>
        <v>TX0079138_001</v>
      </c>
      <c r="D1761" s="2" t="s">
        <v>3927</v>
      </c>
    </row>
    <row r="1762" spans="1:4" x14ac:dyDescent="0.25">
      <c r="A1762" s="2" t="s">
        <v>6375</v>
      </c>
      <c r="B1762" s="2" t="s">
        <v>2921</v>
      </c>
      <c r="C1762" s="2" t="str">
        <f t="shared" si="27"/>
        <v>TX0079146_001</v>
      </c>
      <c r="D1762" s="2" t="s">
        <v>3928</v>
      </c>
    </row>
    <row r="1763" spans="1:4" x14ac:dyDescent="0.25">
      <c r="A1763" s="2" t="s">
        <v>6376</v>
      </c>
      <c r="B1763" s="2" t="s">
        <v>2921</v>
      </c>
      <c r="C1763" s="2" t="str">
        <f t="shared" si="27"/>
        <v>TX0079201_001</v>
      </c>
      <c r="D1763" s="2" t="s">
        <v>3929</v>
      </c>
    </row>
    <row r="1764" spans="1:4" x14ac:dyDescent="0.25">
      <c r="A1764" s="2" t="s">
        <v>6377</v>
      </c>
      <c r="B1764" s="2" t="s">
        <v>2921</v>
      </c>
      <c r="C1764" s="2" t="str">
        <f t="shared" si="27"/>
        <v>TX0079235_001</v>
      </c>
      <c r="D1764" s="2" t="s">
        <v>3930</v>
      </c>
    </row>
    <row r="1765" spans="1:4" x14ac:dyDescent="0.25">
      <c r="A1765" s="2" t="s">
        <v>6378</v>
      </c>
      <c r="B1765" s="2" t="s">
        <v>2921</v>
      </c>
      <c r="C1765" s="2" t="str">
        <f t="shared" si="27"/>
        <v>TX0079260_001</v>
      </c>
      <c r="D1765" s="2" t="s">
        <v>3931</v>
      </c>
    </row>
    <row r="1766" spans="1:4" x14ac:dyDescent="0.25">
      <c r="A1766" s="2" t="s">
        <v>6379</v>
      </c>
      <c r="B1766" s="2" t="s">
        <v>2921</v>
      </c>
      <c r="C1766" s="2" t="str">
        <f t="shared" si="27"/>
        <v>TX0079359_001</v>
      </c>
      <c r="D1766" s="2" t="s">
        <v>3932</v>
      </c>
    </row>
    <row r="1767" spans="1:4" x14ac:dyDescent="0.25">
      <c r="A1767" s="2" t="s">
        <v>6380</v>
      </c>
      <c r="B1767" s="2" t="s">
        <v>2921</v>
      </c>
      <c r="C1767" s="2" t="str">
        <f t="shared" si="27"/>
        <v>TX0079383_001</v>
      </c>
      <c r="D1767" s="2" t="s">
        <v>3286</v>
      </c>
    </row>
    <row r="1768" spans="1:4" x14ac:dyDescent="0.25">
      <c r="A1768" s="2" t="s">
        <v>6381</v>
      </c>
      <c r="B1768" s="2" t="s">
        <v>2921</v>
      </c>
      <c r="C1768" s="2" t="str">
        <f t="shared" si="27"/>
        <v>TX0079391_001</v>
      </c>
      <c r="D1768" s="2" t="s">
        <v>3933</v>
      </c>
    </row>
    <row r="1769" spans="1:4" x14ac:dyDescent="0.25">
      <c r="A1769" s="2" t="s">
        <v>6382</v>
      </c>
      <c r="B1769" s="2" t="s">
        <v>2921</v>
      </c>
      <c r="C1769" s="2" t="str">
        <f t="shared" si="27"/>
        <v>TX0079529_001</v>
      </c>
      <c r="D1769" s="2" t="s">
        <v>3934</v>
      </c>
    </row>
    <row r="1770" spans="1:4" x14ac:dyDescent="0.25">
      <c r="A1770" s="2" t="s">
        <v>6383</v>
      </c>
      <c r="B1770" s="2" t="s">
        <v>2921</v>
      </c>
      <c r="C1770" s="2" t="str">
        <f t="shared" si="27"/>
        <v>TX0079537_001</v>
      </c>
      <c r="D1770" s="2" t="s">
        <v>3935</v>
      </c>
    </row>
    <row r="1771" spans="1:4" x14ac:dyDescent="0.25">
      <c r="A1771" s="2" t="s">
        <v>6384</v>
      </c>
      <c r="B1771" s="2" t="s">
        <v>2936</v>
      </c>
      <c r="C1771" s="2" t="str">
        <f t="shared" si="27"/>
        <v>TX0079561_004</v>
      </c>
      <c r="D1771" s="2" t="s">
        <v>3936</v>
      </c>
    </row>
    <row r="1772" spans="1:4" x14ac:dyDescent="0.25">
      <c r="A1772" s="2" t="s">
        <v>6385</v>
      </c>
      <c r="B1772" s="2" t="s">
        <v>2921</v>
      </c>
      <c r="C1772" s="2" t="str">
        <f t="shared" si="27"/>
        <v>TX0079618_001</v>
      </c>
      <c r="D1772" s="2" t="s">
        <v>3937</v>
      </c>
    </row>
    <row r="1773" spans="1:4" x14ac:dyDescent="0.25">
      <c r="A1773" s="2" t="s">
        <v>6385</v>
      </c>
      <c r="B1773" s="2" t="s">
        <v>2921</v>
      </c>
      <c r="C1773" s="2" t="str">
        <f t="shared" si="27"/>
        <v>TX0079618_001</v>
      </c>
      <c r="D1773" s="2" t="s">
        <v>3937</v>
      </c>
    </row>
    <row r="1774" spans="1:4" x14ac:dyDescent="0.25">
      <c r="A1774" s="2" t="s">
        <v>6386</v>
      </c>
      <c r="B1774" s="2" t="s">
        <v>2921</v>
      </c>
      <c r="C1774" s="2" t="str">
        <f t="shared" si="27"/>
        <v>TX0079634_001</v>
      </c>
      <c r="D1774" s="2" t="s">
        <v>3938</v>
      </c>
    </row>
    <row r="1775" spans="1:4" x14ac:dyDescent="0.25">
      <c r="A1775" s="2" t="s">
        <v>6387</v>
      </c>
      <c r="B1775" s="2" t="s">
        <v>2921</v>
      </c>
      <c r="C1775" s="2" t="str">
        <f t="shared" si="27"/>
        <v>TX0079707_001</v>
      </c>
      <c r="D1775" s="2" t="s">
        <v>3939</v>
      </c>
    </row>
    <row r="1776" spans="1:4" x14ac:dyDescent="0.25">
      <c r="A1776" s="2" t="s">
        <v>6388</v>
      </c>
      <c r="B1776" s="2" t="s">
        <v>2921</v>
      </c>
      <c r="C1776" s="2" t="str">
        <f t="shared" si="27"/>
        <v>TX0079782_001</v>
      </c>
      <c r="D1776" s="2" t="s">
        <v>3940</v>
      </c>
    </row>
    <row r="1777" spans="1:4" x14ac:dyDescent="0.25">
      <c r="A1777" s="2" t="s">
        <v>6389</v>
      </c>
      <c r="B1777" s="2" t="s">
        <v>2921</v>
      </c>
      <c r="C1777" s="2" t="str">
        <f t="shared" si="27"/>
        <v>TX0079804_001</v>
      </c>
      <c r="D1777" s="2" t="s">
        <v>3941</v>
      </c>
    </row>
    <row r="1778" spans="1:4" x14ac:dyDescent="0.25">
      <c r="A1778" s="2" t="s">
        <v>6390</v>
      </c>
      <c r="B1778" s="2" t="s">
        <v>2921</v>
      </c>
      <c r="C1778" s="2" t="str">
        <f t="shared" si="27"/>
        <v>TX0079812_001</v>
      </c>
      <c r="D1778" s="2" t="s">
        <v>3942</v>
      </c>
    </row>
    <row r="1779" spans="1:4" x14ac:dyDescent="0.25">
      <c r="A1779" s="2" t="s">
        <v>6391</v>
      </c>
      <c r="B1779" s="2" t="s">
        <v>2921</v>
      </c>
      <c r="C1779" s="2" t="str">
        <f t="shared" si="27"/>
        <v>TX0079821_001</v>
      </c>
      <c r="D1779" s="2" t="s">
        <v>3943</v>
      </c>
    </row>
    <row r="1780" spans="1:4" x14ac:dyDescent="0.25">
      <c r="A1780" s="2" t="s">
        <v>6392</v>
      </c>
      <c r="B1780" s="2" t="s">
        <v>2921</v>
      </c>
      <c r="C1780" s="2" t="str">
        <f t="shared" si="27"/>
        <v>TX0081256_001</v>
      </c>
      <c r="D1780" s="2" t="s">
        <v>3944</v>
      </c>
    </row>
    <row r="1781" spans="1:4" x14ac:dyDescent="0.25">
      <c r="A1781" s="2" t="s">
        <v>6393</v>
      </c>
      <c r="B1781" s="2" t="s">
        <v>2921</v>
      </c>
      <c r="C1781" s="2" t="str">
        <f t="shared" si="27"/>
        <v>TX0081264_001</v>
      </c>
      <c r="D1781" s="2" t="s">
        <v>3945</v>
      </c>
    </row>
    <row r="1782" spans="1:4" x14ac:dyDescent="0.25">
      <c r="A1782" s="2" t="s">
        <v>6394</v>
      </c>
      <c r="B1782" s="2" t="s">
        <v>2921</v>
      </c>
      <c r="C1782" s="2" t="str">
        <f t="shared" si="27"/>
        <v>TX0081337_001</v>
      </c>
      <c r="D1782" s="2" t="s">
        <v>3946</v>
      </c>
    </row>
    <row r="1783" spans="1:4" x14ac:dyDescent="0.25">
      <c r="A1783" s="2" t="s">
        <v>6395</v>
      </c>
      <c r="B1783" s="2" t="s">
        <v>2921</v>
      </c>
      <c r="C1783" s="2" t="str">
        <f t="shared" si="27"/>
        <v>TX0082210_001</v>
      </c>
      <c r="D1783" s="2" t="s">
        <v>3947</v>
      </c>
    </row>
    <row r="1784" spans="1:4" x14ac:dyDescent="0.25">
      <c r="A1784" s="2" t="s">
        <v>6396</v>
      </c>
      <c r="B1784" s="2" t="s">
        <v>2921</v>
      </c>
      <c r="C1784" s="2" t="str">
        <f t="shared" si="27"/>
        <v>TX0082261_001</v>
      </c>
      <c r="D1784" s="2" t="s">
        <v>3948</v>
      </c>
    </row>
    <row r="1785" spans="1:4" x14ac:dyDescent="0.25">
      <c r="A1785" s="2" t="s">
        <v>6397</v>
      </c>
      <c r="B1785" s="2" t="s">
        <v>2921</v>
      </c>
      <c r="C1785" s="2" t="str">
        <f t="shared" si="27"/>
        <v>TX0082309_001</v>
      </c>
      <c r="D1785" s="2" t="s">
        <v>3949</v>
      </c>
    </row>
    <row r="1786" spans="1:4" x14ac:dyDescent="0.25">
      <c r="A1786" s="2" t="s">
        <v>6398</v>
      </c>
      <c r="B1786" s="2" t="s">
        <v>2921</v>
      </c>
      <c r="C1786" s="2" t="str">
        <f t="shared" si="27"/>
        <v>TX0082317_001</v>
      </c>
      <c r="D1786" s="2" t="s">
        <v>3950</v>
      </c>
    </row>
    <row r="1787" spans="1:4" x14ac:dyDescent="0.25">
      <c r="A1787" s="2" t="s">
        <v>6399</v>
      </c>
      <c r="B1787" s="2" t="s">
        <v>2921</v>
      </c>
      <c r="C1787" s="2" t="str">
        <f t="shared" si="27"/>
        <v>TX0082457_001</v>
      </c>
      <c r="D1787" s="2" t="s">
        <v>3951</v>
      </c>
    </row>
    <row r="1788" spans="1:4" x14ac:dyDescent="0.25">
      <c r="A1788" s="2" t="s">
        <v>6400</v>
      </c>
      <c r="B1788" s="2" t="s">
        <v>2921</v>
      </c>
      <c r="C1788" s="2" t="str">
        <f t="shared" si="27"/>
        <v>TX0082589_001</v>
      </c>
      <c r="D1788" s="2" t="s">
        <v>3952</v>
      </c>
    </row>
    <row r="1789" spans="1:4" x14ac:dyDescent="0.25">
      <c r="A1789" s="2" t="s">
        <v>6401</v>
      </c>
      <c r="B1789" s="2" t="s">
        <v>2923</v>
      </c>
      <c r="C1789" s="2" t="str">
        <f t="shared" si="27"/>
        <v>TX0082651_002</v>
      </c>
      <c r="D1789" s="2" t="s">
        <v>3047</v>
      </c>
    </row>
    <row r="1790" spans="1:4" x14ac:dyDescent="0.25">
      <c r="A1790" s="2" t="s">
        <v>6401</v>
      </c>
      <c r="B1790" s="2" t="s">
        <v>2921</v>
      </c>
      <c r="C1790" s="2" t="str">
        <f t="shared" si="27"/>
        <v>TX0082651_001</v>
      </c>
      <c r="D1790" s="2" t="s">
        <v>3047</v>
      </c>
    </row>
    <row r="1791" spans="1:4" x14ac:dyDescent="0.25">
      <c r="A1791" s="2" t="s">
        <v>6401</v>
      </c>
      <c r="B1791" s="2" t="s">
        <v>2924</v>
      </c>
      <c r="C1791" s="2" t="str">
        <f t="shared" si="27"/>
        <v>TX0082651_003</v>
      </c>
      <c r="D1791" s="2" t="s">
        <v>3047</v>
      </c>
    </row>
    <row r="1792" spans="1:4" x14ac:dyDescent="0.25">
      <c r="A1792" s="2" t="s">
        <v>6401</v>
      </c>
      <c r="B1792" s="2" t="s">
        <v>2936</v>
      </c>
      <c r="C1792" s="2" t="str">
        <f t="shared" si="27"/>
        <v>TX0082651_004</v>
      </c>
      <c r="D1792" s="2" t="s">
        <v>3047</v>
      </c>
    </row>
    <row r="1793" spans="1:4" x14ac:dyDescent="0.25">
      <c r="A1793" s="2" t="s">
        <v>6401</v>
      </c>
      <c r="B1793" s="2" t="s">
        <v>2934</v>
      </c>
      <c r="C1793" s="2" t="str">
        <f t="shared" si="27"/>
        <v>TX0082651_005</v>
      </c>
      <c r="D1793" s="2" t="s">
        <v>3047</v>
      </c>
    </row>
    <row r="1794" spans="1:4" x14ac:dyDescent="0.25">
      <c r="A1794" s="2" t="s">
        <v>6401</v>
      </c>
      <c r="B1794" s="2" t="s">
        <v>2940</v>
      </c>
      <c r="C1794" s="2" t="str">
        <f t="shared" si="27"/>
        <v>TX0082651_006</v>
      </c>
      <c r="D1794" s="2" t="s">
        <v>3047</v>
      </c>
    </row>
    <row r="1795" spans="1:4" x14ac:dyDescent="0.25">
      <c r="A1795" s="2" t="s">
        <v>6401</v>
      </c>
      <c r="B1795" s="2" t="s">
        <v>2959</v>
      </c>
      <c r="C1795" s="2" t="str">
        <f t="shared" ref="C1795:C1858" si="28">A1795 &amp; "_" &amp; B1795</f>
        <v>TX0082651_007</v>
      </c>
      <c r="D1795" s="2" t="s">
        <v>3047</v>
      </c>
    </row>
    <row r="1796" spans="1:4" x14ac:dyDescent="0.25">
      <c r="A1796" s="2" t="s">
        <v>6401</v>
      </c>
      <c r="B1796" s="2" t="s">
        <v>2946</v>
      </c>
      <c r="C1796" s="2" t="str">
        <f t="shared" si="28"/>
        <v>TX0082651_008</v>
      </c>
      <c r="D1796" s="2" t="s">
        <v>3047</v>
      </c>
    </row>
    <row r="1797" spans="1:4" x14ac:dyDescent="0.25">
      <c r="A1797" s="2" t="s">
        <v>6402</v>
      </c>
      <c r="B1797" s="2" t="s">
        <v>2936</v>
      </c>
      <c r="C1797" s="2" t="str">
        <f t="shared" si="28"/>
        <v>TX0082791_004</v>
      </c>
      <c r="D1797" s="2" t="s">
        <v>3953</v>
      </c>
    </row>
    <row r="1798" spans="1:4" x14ac:dyDescent="0.25">
      <c r="A1798" s="2" t="s">
        <v>6403</v>
      </c>
      <c r="B1798" s="2" t="s">
        <v>2921</v>
      </c>
      <c r="C1798" s="2" t="str">
        <f t="shared" si="28"/>
        <v>TX0082830_001</v>
      </c>
      <c r="D1798" s="2" t="s">
        <v>3954</v>
      </c>
    </row>
    <row r="1799" spans="1:4" x14ac:dyDescent="0.25">
      <c r="A1799" s="2" t="s">
        <v>6404</v>
      </c>
      <c r="B1799" s="2" t="s">
        <v>2921</v>
      </c>
      <c r="C1799" s="2" t="str">
        <f t="shared" si="28"/>
        <v>TX0082856_001</v>
      </c>
      <c r="D1799" s="2" t="s">
        <v>3446</v>
      </c>
    </row>
    <row r="1800" spans="1:4" x14ac:dyDescent="0.25">
      <c r="A1800" s="2" t="s">
        <v>6405</v>
      </c>
      <c r="B1800" s="2" t="s">
        <v>2921</v>
      </c>
      <c r="C1800" s="2" t="str">
        <f t="shared" si="28"/>
        <v>TX0082988_001</v>
      </c>
      <c r="D1800" s="2" t="s">
        <v>3955</v>
      </c>
    </row>
    <row r="1801" spans="1:4" x14ac:dyDescent="0.25">
      <c r="A1801" s="2" t="s">
        <v>6406</v>
      </c>
      <c r="B1801" s="2" t="s">
        <v>2921</v>
      </c>
      <c r="C1801" s="2" t="str">
        <f t="shared" si="28"/>
        <v>TX0083003_001</v>
      </c>
      <c r="D1801" s="2" t="s">
        <v>3956</v>
      </c>
    </row>
    <row r="1802" spans="1:4" x14ac:dyDescent="0.25">
      <c r="A1802" s="2" t="s">
        <v>6407</v>
      </c>
      <c r="B1802" s="2" t="s">
        <v>2921</v>
      </c>
      <c r="C1802" s="2" t="str">
        <f t="shared" si="28"/>
        <v>TX0083011_001</v>
      </c>
      <c r="D1802" s="2" t="s">
        <v>3957</v>
      </c>
    </row>
    <row r="1803" spans="1:4" x14ac:dyDescent="0.25">
      <c r="A1803" s="2" t="s">
        <v>6408</v>
      </c>
      <c r="B1803" s="2" t="s">
        <v>2921</v>
      </c>
      <c r="C1803" s="2" t="str">
        <f t="shared" si="28"/>
        <v>TX0083062_001</v>
      </c>
      <c r="D1803" s="2" t="s">
        <v>3958</v>
      </c>
    </row>
    <row r="1804" spans="1:4" x14ac:dyDescent="0.25">
      <c r="A1804" s="2" t="s">
        <v>6409</v>
      </c>
      <c r="B1804" s="2" t="s">
        <v>2921</v>
      </c>
      <c r="C1804" s="2" t="str">
        <f t="shared" si="28"/>
        <v>TX0083089_001</v>
      </c>
      <c r="D1804" s="2" t="s">
        <v>3959</v>
      </c>
    </row>
    <row r="1805" spans="1:4" x14ac:dyDescent="0.25">
      <c r="A1805" s="2" t="s">
        <v>6410</v>
      </c>
      <c r="B1805" s="2" t="s">
        <v>2923</v>
      </c>
      <c r="C1805" s="2" t="str">
        <f t="shared" si="28"/>
        <v>TX0083101_002</v>
      </c>
      <c r="D1805" s="2" t="s">
        <v>3838</v>
      </c>
    </row>
    <row r="1806" spans="1:4" x14ac:dyDescent="0.25">
      <c r="A1806" s="2" t="s">
        <v>6410</v>
      </c>
      <c r="B1806" s="2" t="s">
        <v>2924</v>
      </c>
      <c r="C1806" s="2" t="str">
        <f t="shared" si="28"/>
        <v>TX0083101_003</v>
      </c>
      <c r="D1806" s="2" t="s">
        <v>3838</v>
      </c>
    </row>
    <row r="1807" spans="1:4" x14ac:dyDescent="0.25">
      <c r="A1807" s="2" t="s">
        <v>6410</v>
      </c>
      <c r="B1807" s="2" t="s">
        <v>2936</v>
      </c>
      <c r="C1807" s="2" t="str">
        <f t="shared" si="28"/>
        <v>TX0083101_004</v>
      </c>
      <c r="D1807" s="2" t="s">
        <v>3838</v>
      </c>
    </row>
    <row r="1808" spans="1:4" x14ac:dyDescent="0.25">
      <c r="A1808" s="2" t="s">
        <v>6411</v>
      </c>
      <c r="B1808" s="2" t="s">
        <v>2921</v>
      </c>
      <c r="C1808" s="2" t="str">
        <f t="shared" si="28"/>
        <v>TX0083127_001</v>
      </c>
      <c r="D1808" s="2" t="s">
        <v>3909</v>
      </c>
    </row>
    <row r="1809" spans="1:4" x14ac:dyDescent="0.25">
      <c r="A1809" s="2" t="s">
        <v>6412</v>
      </c>
      <c r="B1809" s="2" t="s">
        <v>2921</v>
      </c>
      <c r="C1809" s="2" t="str">
        <f t="shared" si="28"/>
        <v>TX0083178_001</v>
      </c>
      <c r="D1809" s="2" t="s">
        <v>3960</v>
      </c>
    </row>
    <row r="1810" spans="1:4" x14ac:dyDescent="0.25">
      <c r="A1810" s="2" t="s">
        <v>6413</v>
      </c>
      <c r="B1810" s="2" t="s">
        <v>2921</v>
      </c>
      <c r="C1810" s="2" t="str">
        <f t="shared" si="28"/>
        <v>TX0083208_001</v>
      </c>
      <c r="D1810" s="2" t="s">
        <v>3961</v>
      </c>
    </row>
    <row r="1811" spans="1:4" x14ac:dyDescent="0.25">
      <c r="A1811" s="2" t="s">
        <v>6414</v>
      </c>
      <c r="B1811" s="2" t="s">
        <v>2921</v>
      </c>
      <c r="C1811" s="2" t="str">
        <f t="shared" si="28"/>
        <v>TX0083216_001</v>
      </c>
      <c r="D1811" s="2" t="s">
        <v>3961</v>
      </c>
    </row>
    <row r="1812" spans="1:4" x14ac:dyDescent="0.25">
      <c r="A1812" s="2" t="s">
        <v>6415</v>
      </c>
      <c r="B1812" s="2" t="s">
        <v>2921</v>
      </c>
      <c r="C1812" s="2" t="str">
        <f t="shared" si="28"/>
        <v>TX0083381_001</v>
      </c>
      <c r="D1812" s="2" t="s">
        <v>3962</v>
      </c>
    </row>
    <row r="1813" spans="1:4" x14ac:dyDescent="0.25">
      <c r="A1813" s="2" t="s">
        <v>6416</v>
      </c>
      <c r="B1813" s="2" t="s">
        <v>2921</v>
      </c>
      <c r="C1813" s="2" t="str">
        <f t="shared" si="28"/>
        <v>TX0083429_001</v>
      </c>
      <c r="D1813" s="2" t="s">
        <v>3963</v>
      </c>
    </row>
    <row r="1814" spans="1:4" x14ac:dyDescent="0.25">
      <c r="A1814" s="2" t="s">
        <v>6417</v>
      </c>
      <c r="B1814" s="2" t="s">
        <v>2921</v>
      </c>
      <c r="C1814" s="2" t="str">
        <f t="shared" si="28"/>
        <v>TX0083437_001</v>
      </c>
      <c r="D1814" s="2" t="s">
        <v>3964</v>
      </c>
    </row>
    <row r="1815" spans="1:4" x14ac:dyDescent="0.25">
      <c r="A1815" s="2" t="s">
        <v>6418</v>
      </c>
      <c r="B1815" s="2" t="s">
        <v>2921</v>
      </c>
      <c r="C1815" s="2" t="str">
        <f t="shared" si="28"/>
        <v>TX0083445_001</v>
      </c>
      <c r="D1815" s="2" t="s">
        <v>3965</v>
      </c>
    </row>
    <row r="1816" spans="1:4" x14ac:dyDescent="0.25">
      <c r="A1816" s="2" t="s">
        <v>6419</v>
      </c>
      <c r="B1816" s="2" t="s">
        <v>2921</v>
      </c>
      <c r="C1816" s="2" t="str">
        <f t="shared" si="28"/>
        <v>TX0083496_001</v>
      </c>
      <c r="D1816" s="2" t="s">
        <v>3966</v>
      </c>
    </row>
    <row r="1817" spans="1:4" x14ac:dyDescent="0.25">
      <c r="A1817" s="2" t="s">
        <v>6420</v>
      </c>
      <c r="B1817" s="2" t="s">
        <v>2921</v>
      </c>
      <c r="C1817" s="2" t="str">
        <f t="shared" si="28"/>
        <v>TX0083500_001</v>
      </c>
      <c r="D1817" s="2" t="s">
        <v>3967</v>
      </c>
    </row>
    <row r="1818" spans="1:4" x14ac:dyDescent="0.25">
      <c r="A1818" s="2" t="s">
        <v>6421</v>
      </c>
      <c r="B1818" s="2" t="s">
        <v>2921</v>
      </c>
      <c r="C1818" s="2" t="str">
        <f t="shared" si="28"/>
        <v>TX0083712_001</v>
      </c>
      <c r="D1818" s="2" t="s">
        <v>3968</v>
      </c>
    </row>
    <row r="1819" spans="1:4" x14ac:dyDescent="0.25">
      <c r="A1819" s="2" t="s">
        <v>6422</v>
      </c>
      <c r="B1819" s="2" t="s">
        <v>2921</v>
      </c>
      <c r="C1819" s="2" t="str">
        <f t="shared" si="28"/>
        <v>TX0083801_001</v>
      </c>
      <c r="D1819" s="2" t="s">
        <v>3969</v>
      </c>
    </row>
    <row r="1820" spans="1:4" x14ac:dyDescent="0.25">
      <c r="A1820" s="2" t="s">
        <v>6423</v>
      </c>
      <c r="B1820" s="2" t="s">
        <v>2921</v>
      </c>
      <c r="C1820" s="2" t="str">
        <f t="shared" si="28"/>
        <v>TX0083828_001</v>
      </c>
      <c r="D1820" s="2" t="s">
        <v>3970</v>
      </c>
    </row>
    <row r="1821" spans="1:4" x14ac:dyDescent="0.25">
      <c r="A1821" s="2" t="s">
        <v>6424</v>
      </c>
      <c r="B1821" s="2" t="s">
        <v>2921</v>
      </c>
      <c r="C1821" s="2" t="str">
        <f t="shared" si="28"/>
        <v>TX0083836_001</v>
      </c>
      <c r="D1821" s="2" t="s">
        <v>3971</v>
      </c>
    </row>
    <row r="1822" spans="1:4" x14ac:dyDescent="0.25">
      <c r="A1822" s="2" t="s">
        <v>6425</v>
      </c>
      <c r="B1822" s="2" t="s">
        <v>2921</v>
      </c>
      <c r="C1822" s="2" t="str">
        <f t="shared" si="28"/>
        <v>TX0083887_001</v>
      </c>
      <c r="D1822" s="2" t="s">
        <v>3972</v>
      </c>
    </row>
    <row r="1823" spans="1:4" x14ac:dyDescent="0.25">
      <c r="A1823" s="2" t="s">
        <v>6426</v>
      </c>
      <c r="B1823" s="2" t="s">
        <v>2921</v>
      </c>
      <c r="C1823" s="2" t="str">
        <f t="shared" si="28"/>
        <v>TX0083933_001</v>
      </c>
      <c r="D1823" s="2" t="s">
        <v>3895</v>
      </c>
    </row>
    <row r="1824" spans="1:4" x14ac:dyDescent="0.25">
      <c r="A1824" s="2" t="s">
        <v>6427</v>
      </c>
      <c r="B1824" s="2" t="s">
        <v>2921</v>
      </c>
      <c r="C1824" s="2" t="str">
        <f t="shared" si="28"/>
        <v>TX0083950_001</v>
      </c>
      <c r="D1824" s="2" t="s">
        <v>3286</v>
      </c>
    </row>
    <row r="1825" spans="1:4" x14ac:dyDescent="0.25">
      <c r="A1825" s="2" t="s">
        <v>6428</v>
      </c>
      <c r="B1825" s="2" t="s">
        <v>2921</v>
      </c>
      <c r="C1825" s="2" t="str">
        <f t="shared" si="28"/>
        <v>TX0083976_001</v>
      </c>
      <c r="D1825" s="2" t="s">
        <v>3286</v>
      </c>
    </row>
    <row r="1826" spans="1:4" x14ac:dyDescent="0.25">
      <c r="A1826" s="2" t="s">
        <v>6429</v>
      </c>
      <c r="B1826" s="2" t="s">
        <v>2921</v>
      </c>
      <c r="C1826" s="2" t="str">
        <f t="shared" si="28"/>
        <v>TX0084018_001</v>
      </c>
      <c r="D1826" s="2" t="s">
        <v>3446</v>
      </c>
    </row>
    <row r="1827" spans="1:4" x14ac:dyDescent="0.25">
      <c r="A1827" s="2" t="s">
        <v>6430</v>
      </c>
      <c r="B1827" s="2" t="s">
        <v>2921</v>
      </c>
      <c r="C1827" s="2" t="str">
        <f t="shared" si="28"/>
        <v>TX0084042_001</v>
      </c>
      <c r="D1827" s="2" t="s">
        <v>3973</v>
      </c>
    </row>
    <row r="1828" spans="1:4" x14ac:dyDescent="0.25">
      <c r="A1828" s="2" t="s">
        <v>6431</v>
      </c>
      <c r="B1828" s="2" t="s">
        <v>2921</v>
      </c>
      <c r="C1828" s="2" t="str">
        <f t="shared" si="28"/>
        <v>TX0084051_001</v>
      </c>
      <c r="D1828" s="2" t="s">
        <v>3974</v>
      </c>
    </row>
    <row r="1829" spans="1:4" x14ac:dyDescent="0.25">
      <c r="A1829" s="2" t="s">
        <v>6432</v>
      </c>
      <c r="B1829" s="2" t="s">
        <v>2921</v>
      </c>
      <c r="C1829" s="2" t="str">
        <f t="shared" si="28"/>
        <v>TX0084085_001</v>
      </c>
      <c r="D1829" s="2" t="s">
        <v>3975</v>
      </c>
    </row>
    <row r="1830" spans="1:4" x14ac:dyDescent="0.25">
      <c r="A1830" s="2" t="s">
        <v>6433</v>
      </c>
      <c r="B1830" s="2" t="s">
        <v>2921</v>
      </c>
      <c r="C1830" s="2" t="str">
        <f t="shared" si="28"/>
        <v>TX0084093_001</v>
      </c>
      <c r="D1830" s="2" t="s">
        <v>3976</v>
      </c>
    </row>
    <row r="1831" spans="1:4" x14ac:dyDescent="0.25">
      <c r="A1831" s="2" t="s">
        <v>6434</v>
      </c>
      <c r="B1831" s="2" t="s">
        <v>2924</v>
      </c>
      <c r="C1831" s="2" t="str">
        <f t="shared" si="28"/>
        <v>TX0084115_003</v>
      </c>
      <c r="D1831" s="2" t="s">
        <v>3977</v>
      </c>
    </row>
    <row r="1832" spans="1:4" x14ac:dyDescent="0.25">
      <c r="A1832" s="2" t="s">
        <v>6434</v>
      </c>
      <c r="B1832" s="2" t="s">
        <v>2921</v>
      </c>
      <c r="C1832" s="2" t="str">
        <f t="shared" si="28"/>
        <v>TX0084115_001</v>
      </c>
      <c r="D1832" s="2" t="s">
        <v>3977</v>
      </c>
    </row>
    <row r="1833" spans="1:4" x14ac:dyDescent="0.25">
      <c r="A1833" s="2" t="s">
        <v>6434</v>
      </c>
      <c r="B1833" s="2" t="s">
        <v>2923</v>
      </c>
      <c r="C1833" s="2" t="str">
        <f t="shared" si="28"/>
        <v>TX0084115_002</v>
      </c>
      <c r="D1833" s="2" t="s">
        <v>3977</v>
      </c>
    </row>
    <row r="1834" spans="1:4" x14ac:dyDescent="0.25">
      <c r="A1834" s="2" t="s">
        <v>6435</v>
      </c>
      <c r="B1834" s="2" t="s">
        <v>2921</v>
      </c>
      <c r="C1834" s="2" t="str">
        <f t="shared" si="28"/>
        <v>TX0084298_001</v>
      </c>
      <c r="D1834" s="2" t="s">
        <v>3978</v>
      </c>
    </row>
    <row r="1835" spans="1:4" x14ac:dyDescent="0.25">
      <c r="A1835" s="2" t="s">
        <v>6436</v>
      </c>
      <c r="B1835" s="2" t="s">
        <v>2921</v>
      </c>
      <c r="C1835" s="2" t="str">
        <f t="shared" si="28"/>
        <v>TX0084328_001</v>
      </c>
      <c r="D1835" s="2" t="s">
        <v>3979</v>
      </c>
    </row>
    <row r="1836" spans="1:4" x14ac:dyDescent="0.25">
      <c r="A1836" s="2" t="s">
        <v>6437</v>
      </c>
      <c r="B1836" s="2" t="s">
        <v>2921</v>
      </c>
      <c r="C1836" s="2" t="str">
        <f t="shared" si="28"/>
        <v>TX0084395_001</v>
      </c>
      <c r="D1836" s="2" t="s">
        <v>3980</v>
      </c>
    </row>
    <row r="1837" spans="1:4" x14ac:dyDescent="0.25">
      <c r="A1837" s="2" t="s">
        <v>6438</v>
      </c>
      <c r="B1837" s="2" t="s">
        <v>2921</v>
      </c>
      <c r="C1837" s="2" t="str">
        <f t="shared" si="28"/>
        <v>TX0084425_001</v>
      </c>
      <c r="D1837" s="2" t="s">
        <v>3981</v>
      </c>
    </row>
    <row r="1838" spans="1:4" x14ac:dyDescent="0.25">
      <c r="A1838" s="2" t="s">
        <v>6439</v>
      </c>
      <c r="B1838" s="2" t="s">
        <v>2921</v>
      </c>
      <c r="C1838" s="2" t="str">
        <f t="shared" si="28"/>
        <v>TX0084468_001</v>
      </c>
      <c r="D1838" s="2" t="s">
        <v>3982</v>
      </c>
    </row>
    <row r="1839" spans="1:4" x14ac:dyDescent="0.25">
      <c r="A1839" s="2" t="s">
        <v>6440</v>
      </c>
      <c r="B1839" s="2" t="s">
        <v>2921</v>
      </c>
      <c r="C1839" s="2" t="str">
        <f t="shared" si="28"/>
        <v>TX0084484_001</v>
      </c>
      <c r="D1839" s="2" t="s">
        <v>3983</v>
      </c>
    </row>
    <row r="1840" spans="1:4" x14ac:dyDescent="0.25">
      <c r="A1840" s="2" t="s">
        <v>6441</v>
      </c>
      <c r="B1840" s="2" t="s">
        <v>2921</v>
      </c>
      <c r="C1840" s="2" t="str">
        <f t="shared" si="28"/>
        <v>TX0084531_001</v>
      </c>
      <c r="D1840" s="2" t="s">
        <v>3984</v>
      </c>
    </row>
    <row r="1841" spans="1:4" x14ac:dyDescent="0.25">
      <c r="A1841" s="2" t="s">
        <v>6442</v>
      </c>
      <c r="B1841" s="2" t="s">
        <v>2921</v>
      </c>
      <c r="C1841" s="2" t="str">
        <f t="shared" si="28"/>
        <v>TX0084557_001</v>
      </c>
      <c r="D1841" s="2" t="s">
        <v>3529</v>
      </c>
    </row>
    <row r="1842" spans="1:4" x14ac:dyDescent="0.25">
      <c r="A1842" s="2" t="s">
        <v>6443</v>
      </c>
      <c r="B1842" s="2" t="s">
        <v>2921</v>
      </c>
      <c r="C1842" s="2" t="str">
        <f t="shared" si="28"/>
        <v>TX0084581_001</v>
      </c>
      <c r="D1842" s="2" t="s">
        <v>3012</v>
      </c>
    </row>
    <row r="1843" spans="1:4" x14ac:dyDescent="0.25">
      <c r="A1843" s="2" t="s">
        <v>6443</v>
      </c>
      <c r="B1843" s="2" t="s">
        <v>2923</v>
      </c>
      <c r="C1843" s="2" t="str">
        <f t="shared" si="28"/>
        <v>TX0084581_002</v>
      </c>
      <c r="D1843" s="2" t="s">
        <v>3012</v>
      </c>
    </row>
    <row r="1844" spans="1:4" x14ac:dyDescent="0.25">
      <c r="A1844" s="2" t="s">
        <v>6444</v>
      </c>
      <c r="B1844" s="2" t="s">
        <v>2921</v>
      </c>
      <c r="C1844" s="2" t="str">
        <f t="shared" si="28"/>
        <v>TX0084638_001</v>
      </c>
      <c r="D1844" s="2" t="s">
        <v>3985</v>
      </c>
    </row>
    <row r="1845" spans="1:4" x14ac:dyDescent="0.25">
      <c r="A1845" s="2" t="s">
        <v>6445</v>
      </c>
      <c r="B1845" s="2" t="s">
        <v>2921</v>
      </c>
      <c r="C1845" s="2" t="str">
        <f t="shared" si="28"/>
        <v>TX0084671_001</v>
      </c>
      <c r="D1845" s="2" t="s">
        <v>3986</v>
      </c>
    </row>
    <row r="1846" spans="1:4" x14ac:dyDescent="0.25">
      <c r="A1846" s="2" t="s">
        <v>6446</v>
      </c>
      <c r="B1846" s="2" t="s">
        <v>2921</v>
      </c>
      <c r="C1846" s="2" t="str">
        <f t="shared" si="28"/>
        <v>TX0084719_001</v>
      </c>
      <c r="D1846" s="2" t="s">
        <v>3987</v>
      </c>
    </row>
    <row r="1847" spans="1:4" x14ac:dyDescent="0.25">
      <c r="A1847" s="2" t="s">
        <v>6447</v>
      </c>
      <c r="B1847" s="2" t="s">
        <v>2921</v>
      </c>
      <c r="C1847" s="2" t="str">
        <f t="shared" si="28"/>
        <v>TX0084760_001</v>
      </c>
      <c r="D1847" s="2" t="s">
        <v>3895</v>
      </c>
    </row>
    <row r="1848" spans="1:4" x14ac:dyDescent="0.25">
      <c r="A1848" s="2" t="s">
        <v>6448</v>
      </c>
      <c r="B1848" s="2" t="s">
        <v>2921</v>
      </c>
      <c r="C1848" s="2" t="str">
        <f t="shared" si="28"/>
        <v>TX0084808_001</v>
      </c>
      <c r="D1848" s="2" t="s">
        <v>3988</v>
      </c>
    </row>
    <row r="1849" spans="1:4" x14ac:dyDescent="0.25">
      <c r="A1849" s="2" t="s">
        <v>6449</v>
      </c>
      <c r="B1849" s="2" t="s">
        <v>2921</v>
      </c>
      <c r="C1849" s="2" t="str">
        <f t="shared" si="28"/>
        <v>TX0084875_001</v>
      </c>
      <c r="D1849" s="2" t="s">
        <v>3110</v>
      </c>
    </row>
    <row r="1850" spans="1:4" x14ac:dyDescent="0.25">
      <c r="A1850" s="2" t="s">
        <v>6450</v>
      </c>
      <c r="B1850" s="2" t="s">
        <v>2921</v>
      </c>
      <c r="C1850" s="2" t="str">
        <f t="shared" si="28"/>
        <v>TX0085316_001</v>
      </c>
      <c r="D1850" s="2" t="s">
        <v>2963</v>
      </c>
    </row>
    <row r="1851" spans="1:4" x14ac:dyDescent="0.25">
      <c r="A1851" s="2" t="s">
        <v>6451</v>
      </c>
      <c r="B1851" s="2" t="s">
        <v>2921</v>
      </c>
      <c r="C1851" s="2" t="str">
        <f t="shared" si="28"/>
        <v>TX0085332_001</v>
      </c>
      <c r="D1851" s="2" t="s">
        <v>3989</v>
      </c>
    </row>
    <row r="1852" spans="1:4" x14ac:dyDescent="0.25">
      <c r="A1852" s="2" t="s">
        <v>6452</v>
      </c>
      <c r="B1852" s="2" t="s">
        <v>2921</v>
      </c>
      <c r="C1852" s="2" t="str">
        <f t="shared" si="28"/>
        <v>TX0085383_001</v>
      </c>
      <c r="D1852" s="2" t="s">
        <v>3453</v>
      </c>
    </row>
    <row r="1853" spans="1:4" x14ac:dyDescent="0.25">
      <c r="A1853" s="2" t="s">
        <v>6453</v>
      </c>
      <c r="B1853" s="2" t="s">
        <v>2921</v>
      </c>
      <c r="C1853" s="2" t="str">
        <f t="shared" si="28"/>
        <v>TX0085413_001</v>
      </c>
      <c r="D1853" s="2" t="s">
        <v>3990</v>
      </c>
    </row>
    <row r="1854" spans="1:4" x14ac:dyDescent="0.25">
      <c r="A1854" s="2" t="s">
        <v>6454</v>
      </c>
      <c r="B1854" s="2" t="s">
        <v>2921</v>
      </c>
      <c r="C1854" s="2" t="str">
        <f t="shared" si="28"/>
        <v>TX0085448_001</v>
      </c>
      <c r="D1854" s="2" t="s">
        <v>3991</v>
      </c>
    </row>
    <row r="1855" spans="1:4" x14ac:dyDescent="0.25">
      <c r="A1855" s="2" t="s">
        <v>6455</v>
      </c>
      <c r="B1855" s="2" t="s">
        <v>2921</v>
      </c>
      <c r="C1855" s="2" t="str">
        <f t="shared" si="28"/>
        <v>TX0085456_001</v>
      </c>
      <c r="D1855" s="2" t="s">
        <v>3992</v>
      </c>
    </row>
    <row r="1856" spans="1:4" x14ac:dyDescent="0.25">
      <c r="A1856" s="2" t="s">
        <v>6456</v>
      </c>
      <c r="B1856" s="2" t="s">
        <v>2942</v>
      </c>
      <c r="C1856" s="2" t="str">
        <f t="shared" si="28"/>
        <v>TX0085570_013</v>
      </c>
      <c r="D1856" s="2" t="s">
        <v>3993</v>
      </c>
    </row>
    <row r="1857" spans="1:4" x14ac:dyDescent="0.25">
      <c r="A1857" s="2" t="s">
        <v>6456</v>
      </c>
      <c r="B1857" s="2" t="s">
        <v>2944</v>
      </c>
      <c r="C1857" s="2" t="str">
        <f t="shared" si="28"/>
        <v>TX0085570_014</v>
      </c>
      <c r="D1857" s="2" t="s">
        <v>3993</v>
      </c>
    </row>
    <row r="1858" spans="1:4" x14ac:dyDescent="0.25">
      <c r="A1858" s="2" t="s">
        <v>6456</v>
      </c>
      <c r="B1858" s="2" t="s">
        <v>2921</v>
      </c>
      <c r="C1858" s="2" t="str">
        <f t="shared" si="28"/>
        <v>TX0085570_001</v>
      </c>
      <c r="D1858" s="2" t="s">
        <v>3993</v>
      </c>
    </row>
    <row r="1859" spans="1:4" x14ac:dyDescent="0.25">
      <c r="A1859" s="2" t="s">
        <v>6456</v>
      </c>
      <c r="B1859" s="2" t="s">
        <v>2923</v>
      </c>
      <c r="C1859" s="2" t="str">
        <f t="shared" ref="C1859:C1922" si="29">A1859 &amp; "_" &amp; B1859</f>
        <v>TX0085570_002</v>
      </c>
      <c r="D1859" s="2" t="s">
        <v>3993</v>
      </c>
    </row>
    <row r="1860" spans="1:4" x14ac:dyDescent="0.25">
      <c r="A1860" s="2" t="s">
        <v>6456</v>
      </c>
      <c r="B1860" s="2" t="s">
        <v>2924</v>
      </c>
      <c r="C1860" s="2" t="str">
        <f t="shared" si="29"/>
        <v>TX0085570_003</v>
      </c>
      <c r="D1860" s="2" t="s">
        <v>3993</v>
      </c>
    </row>
    <row r="1861" spans="1:4" x14ac:dyDescent="0.25">
      <c r="A1861" s="2" t="s">
        <v>6456</v>
      </c>
      <c r="B1861" s="2" t="s">
        <v>2936</v>
      </c>
      <c r="C1861" s="2" t="str">
        <f t="shared" si="29"/>
        <v>TX0085570_004</v>
      </c>
      <c r="D1861" s="2" t="s">
        <v>3993</v>
      </c>
    </row>
    <row r="1862" spans="1:4" x14ac:dyDescent="0.25">
      <c r="A1862" s="2" t="s">
        <v>6456</v>
      </c>
      <c r="B1862" s="2" t="s">
        <v>2934</v>
      </c>
      <c r="C1862" s="2" t="str">
        <f t="shared" si="29"/>
        <v>TX0085570_005</v>
      </c>
      <c r="D1862" s="2" t="s">
        <v>3993</v>
      </c>
    </row>
    <row r="1863" spans="1:4" x14ac:dyDescent="0.25">
      <c r="A1863" s="2" t="s">
        <v>6456</v>
      </c>
      <c r="B1863" s="2" t="s">
        <v>2940</v>
      </c>
      <c r="C1863" s="2" t="str">
        <f t="shared" si="29"/>
        <v>TX0085570_006</v>
      </c>
      <c r="D1863" s="2" t="s">
        <v>3993</v>
      </c>
    </row>
    <row r="1864" spans="1:4" x14ac:dyDescent="0.25">
      <c r="A1864" s="2" t="s">
        <v>6456</v>
      </c>
      <c r="B1864" s="2" t="s">
        <v>2959</v>
      </c>
      <c r="C1864" s="2" t="str">
        <f t="shared" si="29"/>
        <v>TX0085570_007</v>
      </c>
      <c r="D1864" s="2" t="s">
        <v>3993</v>
      </c>
    </row>
    <row r="1865" spans="1:4" x14ac:dyDescent="0.25">
      <c r="A1865" s="2" t="s">
        <v>6456</v>
      </c>
      <c r="B1865" s="2" t="s">
        <v>2946</v>
      </c>
      <c r="C1865" s="2" t="str">
        <f t="shared" si="29"/>
        <v>TX0085570_008</v>
      </c>
      <c r="D1865" s="2" t="s">
        <v>3993</v>
      </c>
    </row>
    <row r="1866" spans="1:4" x14ac:dyDescent="0.25">
      <c r="A1866" s="2" t="s">
        <v>6456</v>
      </c>
      <c r="B1866" s="2" t="s">
        <v>2969</v>
      </c>
      <c r="C1866" s="2" t="str">
        <f t="shared" si="29"/>
        <v>TX0085570_009</v>
      </c>
      <c r="D1866" s="2" t="s">
        <v>3993</v>
      </c>
    </row>
    <row r="1867" spans="1:4" x14ac:dyDescent="0.25">
      <c r="A1867" s="2" t="s">
        <v>6456</v>
      </c>
      <c r="B1867" s="2" t="s">
        <v>2947</v>
      </c>
      <c r="C1867" s="2" t="str">
        <f t="shared" si="29"/>
        <v>TX0085570_010</v>
      </c>
      <c r="D1867" s="2" t="s">
        <v>3993</v>
      </c>
    </row>
    <row r="1868" spans="1:4" x14ac:dyDescent="0.25">
      <c r="A1868" s="2" t="s">
        <v>6456</v>
      </c>
      <c r="B1868" s="2" t="s">
        <v>2948</v>
      </c>
      <c r="C1868" s="2" t="str">
        <f t="shared" si="29"/>
        <v>TX0085570_011</v>
      </c>
      <c r="D1868" s="2" t="s">
        <v>3993</v>
      </c>
    </row>
    <row r="1869" spans="1:4" x14ac:dyDescent="0.25">
      <c r="A1869" s="2" t="s">
        <v>6456</v>
      </c>
      <c r="B1869" s="2" t="s">
        <v>2949</v>
      </c>
      <c r="C1869" s="2" t="str">
        <f t="shared" si="29"/>
        <v>TX0085570_012</v>
      </c>
      <c r="D1869" s="2" t="s">
        <v>3993</v>
      </c>
    </row>
    <row r="1870" spans="1:4" x14ac:dyDescent="0.25">
      <c r="A1870" s="2" t="s">
        <v>6457</v>
      </c>
      <c r="B1870" s="2" t="s">
        <v>2921</v>
      </c>
      <c r="C1870" s="2" t="str">
        <f t="shared" si="29"/>
        <v>TX0085588_001</v>
      </c>
      <c r="D1870" s="2" t="s">
        <v>3994</v>
      </c>
    </row>
    <row r="1871" spans="1:4" x14ac:dyDescent="0.25">
      <c r="A1871" s="2" t="s">
        <v>6458</v>
      </c>
      <c r="B1871" s="2" t="s">
        <v>2921</v>
      </c>
      <c r="C1871" s="2" t="str">
        <f t="shared" si="29"/>
        <v>TX0085618_001</v>
      </c>
      <c r="D1871" s="2" t="s">
        <v>3995</v>
      </c>
    </row>
    <row r="1872" spans="1:4" x14ac:dyDescent="0.25">
      <c r="A1872" s="2" t="s">
        <v>6459</v>
      </c>
      <c r="B1872" s="2" t="s">
        <v>2921</v>
      </c>
      <c r="C1872" s="2" t="str">
        <f t="shared" si="29"/>
        <v>TX0085693_001</v>
      </c>
      <c r="D1872" s="2" t="s">
        <v>3286</v>
      </c>
    </row>
    <row r="1873" spans="1:4" x14ac:dyDescent="0.25">
      <c r="A1873" s="2" t="s">
        <v>6460</v>
      </c>
      <c r="B1873" s="2" t="s">
        <v>2921</v>
      </c>
      <c r="C1873" s="2" t="str">
        <f t="shared" si="29"/>
        <v>TX0085707_001</v>
      </c>
      <c r="D1873" s="2" t="s">
        <v>3996</v>
      </c>
    </row>
    <row r="1874" spans="1:4" x14ac:dyDescent="0.25">
      <c r="A1874" s="2" t="s">
        <v>6461</v>
      </c>
      <c r="B1874" s="2" t="s">
        <v>2921</v>
      </c>
      <c r="C1874" s="2" t="str">
        <f t="shared" si="29"/>
        <v>TX0085740_001</v>
      </c>
      <c r="D1874" s="2" t="s">
        <v>3997</v>
      </c>
    </row>
    <row r="1875" spans="1:4" x14ac:dyDescent="0.25">
      <c r="A1875" s="2" t="s">
        <v>6462</v>
      </c>
      <c r="B1875" s="2" t="s">
        <v>2924</v>
      </c>
      <c r="C1875" s="2" t="str">
        <f t="shared" si="29"/>
        <v>TX0085782_003</v>
      </c>
      <c r="D1875" s="2" t="s">
        <v>3998</v>
      </c>
    </row>
    <row r="1876" spans="1:4" x14ac:dyDescent="0.25">
      <c r="A1876" s="2" t="s">
        <v>6462</v>
      </c>
      <c r="B1876" s="2" t="s">
        <v>2921</v>
      </c>
      <c r="C1876" s="2" t="str">
        <f t="shared" si="29"/>
        <v>TX0085782_001</v>
      </c>
      <c r="D1876" s="2" t="s">
        <v>3998</v>
      </c>
    </row>
    <row r="1877" spans="1:4" x14ac:dyDescent="0.25">
      <c r="A1877" s="2" t="s">
        <v>6462</v>
      </c>
      <c r="B1877" s="2" t="s">
        <v>2923</v>
      </c>
      <c r="C1877" s="2" t="str">
        <f t="shared" si="29"/>
        <v>TX0085782_002</v>
      </c>
      <c r="D1877" s="2" t="s">
        <v>3998</v>
      </c>
    </row>
    <row r="1878" spans="1:4" x14ac:dyDescent="0.25">
      <c r="A1878" s="2" t="s">
        <v>6463</v>
      </c>
      <c r="B1878" s="2" t="s">
        <v>2921</v>
      </c>
      <c r="C1878" s="2" t="str">
        <f t="shared" si="29"/>
        <v>TX0085821_001</v>
      </c>
      <c r="D1878" s="2" t="s">
        <v>3748</v>
      </c>
    </row>
    <row r="1879" spans="1:4" x14ac:dyDescent="0.25">
      <c r="A1879" s="2" t="s">
        <v>6464</v>
      </c>
      <c r="B1879" s="2" t="s">
        <v>2921</v>
      </c>
      <c r="C1879" s="2" t="str">
        <f t="shared" si="29"/>
        <v>TX0085871_001</v>
      </c>
      <c r="D1879" s="2" t="s">
        <v>3999</v>
      </c>
    </row>
    <row r="1880" spans="1:4" x14ac:dyDescent="0.25">
      <c r="A1880" s="2" t="s">
        <v>6465</v>
      </c>
      <c r="B1880" s="2" t="s">
        <v>2921</v>
      </c>
      <c r="C1880" s="2" t="str">
        <f t="shared" si="29"/>
        <v>TX0085936_001</v>
      </c>
      <c r="D1880" s="2" t="s">
        <v>4000</v>
      </c>
    </row>
    <row r="1881" spans="1:4" x14ac:dyDescent="0.25">
      <c r="A1881" s="2" t="s">
        <v>6466</v>
      </c>
      <c r="B1881" s="2" t="s">
        <v>2921</v>
      </c>
      <c r="C1881" s="2" t="str">
        <f t="shared" si="29"/>
        <v>TX0085961_001</v>
      </c>
      <c r="D1881" s="2" t="s">
        <v>4001</v>
      </c>
    </row>
    <row r="1882" spans="1:4" x14ac:dyDescent="0.25">
      <c r="A1882" s="2" t="s">
        <v>6467</v>
      </c>
      <c r="B1882" s="2" t="s">
        <v>2921</v>
      </c>
      <c r="C1882" s="2" t="str">
        <f t="shared" si="29"/>
        <v>TX0085979_001</v>
      </c>
      <c r="D1882" s="2" t="s">
        <v>4002</v>
      </c>
    </row>
    <row r="1883" spans="1:4" x14ac:dyDescent="0.25">
      <c r="A1883" s="2" t="s">
        <v>6467</v>
      </c>
      <c r="B1883" s="2" t="s">
        <v>2923</v>
      </c>
      <c r="C1883" s="2" t="str">
        <f t="shared" si="29"/>
        <v>TX0085979_002</v>
      </c>
      <c r="D1883" s="2" t="s">
        <v>4002</v>
      </c>
    </row>
    <row r="1884" spans="1:4" x14ac:dyDescent="0.25">
      <c r="A1884" s="2" t="s">
        <v>6467</v>
      </c>
      <c r="B1884" s="2" t="s">
        <v>2924</v>
      </c>
      <c r="C1884" s="2" t="str">
        <f t="shared" si="29"/>
        <v>TX0085979_003</v>
      </c>
      <c r="D1884" s="2" t="s">
        <v>4002</v>
      </c>
    </row>
    <row r="1885" spans="1:4" x14ac:dyDescent="0.25">
      <c r="A1885" s="2" t="s">
        <v>6468</v>
      </c>
      <c r="B1885" s="2" t="s">
        <v>2924</v>
      </c>
      <c r="C1885" s="2" t="str">
        <f t="shared" si="29"/>
        <v>TX0086002_003</v>
      </c>
      <c r="D1885" s="2" t="s">
        <v>4003</v>
      </c>
    </row>
    <row r="1886" spans="1:4" x14ac:dyDescent="0.25">
      <c r="A1886" s="2" t="s">
        <v>6468</v>
      </c>
      <c r="B1886" s="2" t="s">
        <v>2923</v>
      </c>
      <c r="C1886" s="2" t="str">
        <f t="shared" si="29"/>
        <v>TX0086002_002</v>
      </c>
      <c r="D1886" s="2" t="s">
        <v>4003</v>
      </c>
    </row>
    <row r="1887" spans="1:4" x14ac:dyDescent="0.25">
      <c r="A1887" s="2" t="s">
        <v>6468</v>
      </c>
      <c r="B1887" s="2" t="s">
        <v>2921</v>
      </c>
      <c r="C1887" s="2" t="str">
        <f t="shared" si="29"/>
        <v>TX0086002_001</v>
      </c>
      <c r="D1887" s="2" t="s">
        <v>4003</v>
      </c>
    </row>
    <row r="1888" spans="1:4" x14ac:dyDescent="0.25">
      <c r="A1888" s="2" t="s">
        <v>6469</v>
      </c>
      <c r="B1888" s="2" t="s">
        <v>2921</v>
      </c>
      <c r="C1888" s="2" t="str">
        <f t="shared" si="29"/>
        <v>TX0086011_001</v>
      </c>
      <c r="D1888" s="2" t="s">
        <v>4004</v>
      </c>
    </row>
    <row r="1889" spans="1:4" x14ac:dyDescent="0.25">
      <c r="A1889" s="2" t="s">
        <v>6470</v>
      </c>
      <c r="B1889" s="2" t="s">
        <v>2924</v>
      </c>
      <c r="C1889" s="2" t="str">
        <f t="shared" si="29"/>
        <v>TX0086045_003</v>
      </c>
      <c r="D1889" s="2" t="s">
        <v>4005</v>
      </c>
    </row>
    <row r="1890" spans="1:4" x14ac:dyDescent="0.25">
      <c r="A1890" s="2" t="s">
        <v>6471</v>
      </c>
      <c r="B1890" s="2" t="s">
        <v>2921</v>
      </c>
      <c r="C1890" s="2" t="str">
        <f t="shared" si="29"/>
        <v>TX0086053_001</v>
      </c>
      <c r="D1890" s="2" t="s">
        <v>4006</v>
      </c>
    </row>
    <row r="1891" spans="1:4" x14ac:dyDescent="0.25">
      <c r="A1891" s="2" t="s">
        <v>6472</v>
      </c>
      <c r="B1891" s="2" t="s">
        <v>2923</v>
      </c>
      <c r="C1891" s="2" t="str">
        <f t="shared" si="29"/>
        <v>TX0086096_002</v>
      </c>
      <c r="D1891" s="2" t="s">
        <v>4007</v>
      </c>
    </row>
    <row r="1892" spans="1:4" x14ac:dyDescent="0.25">
      <c r="A1892" s="2" t="s">
        <v>6472</v>
      </c>
      <c r="B1892" s="2" t="s">
        <v>2921</v>
      </c>
      <c r="C1892" s="2" t="str">
        <f t="shared" si="29"/>
        <v>TX0086096_001</v>
      </c>
      <c r="D1892" s="2" t="s">
        <v>4007</v>
      </c>
    </row>
    <row r="1893" spans="1:4" x14ac:dyDescent="0.25">
      <c r="A1893" s="2" t="s">
        <v>6473</v>
      </c>
      <c r="B1893" s="2" t="s">
        <v>2921</v>
      </c>
      <c r="C1893" s="2" t="str">
        <f t="shared" si="29"/>
        <v>TX0086100_001</v>
      </c>
      <c r="D1893" s="2" t="s">
        <v>4008</v>
      </c>
    </row>
    <row r="1894" spans="1:4" x14ac:dyDescent="0.25">
      <c r="A1894" s="2" t="s">
        <v>6474</v>
      </c>
      <c r="B1894" s="2" t="s">
        <v>2921</v>
      </c>
      <c r="C1894" s="2" t="str">
        <f t="shared" si="29"/>
        <v>TX0086118_001</v>
      </c>
      <c r="D1894" s="2" t="s">
        <v>4009</v>
      </c>
    </row>
    <row r="1895" spans="1:4" x14ac:dyDescent="0.25">
      <c r="A1895" s="2" t="s">
        <v>6475</v>
      </c>
      <c r="B1895" s="2" t="s">
        <v>2921</v>
      </c>
      <c r="C1895" s="2" t="str">
        <f t="shared" si="29"/>
        <v>TX0086185_001</v>
      </c>
      <c r="D1895" s="2" t="s">
        <v>4010</v>
      </c>
    </row>
    <row r="1896" spans="1:4" x14ac:dyDescent="0.25">
      <c r="A1896" s="2" t="s">
        <v>6476</v>
      </c>
      <c r="B1896" s="2" t="s">
        <v>2921</v>
      </c>
      <c r="C1896" s="2" t="str">
        <f t="shared" si="29"/>
        <v>TX0086363_001</v>
      </c>
      <c r="D1896" s="2" t="s">
        <v>4011</v>
      </c>
    </row>
    <row r="1897" spans="1:4" x14ac:dyDescent="0.25">
      <c r="A1897" s="2" t="s">
        <v>6476</v>
      </c>
      <c r="B1897" s="2" t="s">
        <v>2923</v>
      </c>
      <c r="C1897" s="2" t="str">
        <f t="shared" si="29"/>
        <v>TX0086363_002</v>
      </c>
      <c r="D1897" s="2" t="s">
        <v>4011</v>
      </c>
    </row>
    <row r="1898" spans="1:4" x14ac:dyDescent="0.25">
      <c r="A1898" s="2" t="s">
        <v>6477</v>
      </c>
      <c r="B1898" s="2" t="s">
        <v>2921</v>
      </c>
      <c r="C1898" s="2" t="str">
        <f t="shared" si="29"/>
        <v>TX0086398_001</v>
      </c>
      <c r="D1898" s="2" t="s">
        <v>3059</v>
      </c>
    </row>
    <row r="1899" spans="1:4" x14ac:dyDescent="0.25">
      <c r="A1899" s="2" t="s">
        <v>6478</v>
      </c>
      <c r="B1899" s="2" t="s">
        <v>2921</v>
      </c>
      <c r="C1899" s="2" t="str">
        <f t="shared" si="29"/>
        <v>TX0086541_001</v>
      </c>
      <c r="D1899" s="2" t="s">
        <v>4012</v>
      </c>
    </row>
    <row r="1900" spans="1:4" x14ac:dyDescent="0.25">
      <c r="A1900" s="2" t="s">
        <v>6479</v>
      </c>
      <c r="B1900" s="2" t="s">
        <v>2921</v>
      </c>
      <c r="C1900" s="2" t="str">
        <f t="shared" si="29"/>
        <v>TX0086568_001</v>
      </c>
      <c r="D1900" s="2" t="s">
        <v>4013</v>
      </c>
    </row>
    <row r="1901" spans="1:4" x14ac:dyDescent="0.25">
      <c r="A1901" s="2" t="s">
        <v>6480</v>
      </c>
      <c r="B1901" s="2" t="s">
        <v>2921</v>
      </c>
      <c r="C1901" s="2" t="str">
        <f t="shared" si="29"/>
        <v>TX0086665_001</v>
      </c>
      <c r="D1901" s="2" t="s">
        <v>4014</v>
      </c>
    </row>
    <row r="1902" spans="1:4" x14ac:dyDescent="0.25">
      <c r="A1902" s="2" t="s">
        <v>6481</v>
      </c>
      <c r="B1902" s="2" t="s">
        <v>2921</v>
      </c>
      <c r="C1902" s="2" t="str">
        <f t="shared" si="29"/>
        <v>TX0086690_001</v>
      </c>
      <c r="D1902" s="2" t="s">
        <v>4015</v>
      </c>
    </row>
    <row r="1903" spans="1:4" x14ac:dyDescent="0.25">
      <c r="A1903" s="2" t="s">
        <v>6482</v>
      </c>
      <c r="B1903" s="2" t="s">
        <v>2921</v>
      </c>
      <c r="C1903" s="2" t="str">
        <f t="shared" si="29"/>
        <v>TX0087149_001</v>
      </c>
      <c r="D1903" s="2" t="s">
        <v>3365</v>
      </c>
    </row>
    <row r="1904" spans="1:4" x14ac:dyDescent="0.25">
      <c r="A1904" s="2" t="s">
        <v>6483</v>
      </c>
      <c r="B1904" s="2" t="s">
        <v>2921</v>
      </c>
      <c r="C1904" s="2" t="str">
        <f t="shared" si="29"/>
        <v>TX0087157_001</v>
      </c>
      <c r="D1904" s="2" t="s">
        <v>4016</v>
      </c>
    </row>
    <row r="1905" spans="1:4" x14ac:dyDescent="0.25">
      <c r="A1905" s="2" t="s">
        <v>6484</v>
      </c>
      <c r="B1905" s="2" t="s">
        <v>2921</v>
      </c>
      <c r="C1905" s="2" t="str">
        <f t="shared" si="29"/>
        <v>TX0087173_001</v>
      </c>
      <c r="D1905" s="2" t="s">
        <v>2980</v>
      </c>
    </row>
    <row r="1906" spans="1:4" x14ac:dyDescent="0.25">
      <c r="A1906" s="2" t="s">
        <v>6484</v>
      </c>
      <c r="B1906" s="2" t="s">
        <v>2923</v>
      </c>
      <c r="C1906" s="2" t="str">
        <f t="shared" si="29"/>
        <v>TX0087173_002</v>
      </c>
      <c r="D1906" s="2" t="s">
        <v>2980</v>
      </c>
    </row>
    <row r="1907" spans="1:4" x14ac:dyDescent="0.25">
      <c r="A1907" s="2" t="s">
        <v>6485</v>
      </c>
      <c r="B1907" s="2" t="s">
        <v>2921</v>
      </c>
      <c r="C1907" s="2" t="str">
        <f t="shared" si="29"/>
        <v>TX0087190_001</v>
      </c>
      <c r="D1907" s="2" t="s">
        <v>2995</v>
      </c>
    </row>
    <row r="1908" spans="1:4" x14ac:dyDescent="0.25">
      <c r="A1908" s="2" t="s">
        <v>6485</v>
      </c>
      <c r="B1908" s="2" t="s">
        <v>2923</v>
      </c>
      <c r="C1908" s="2" t="str">
        <f t="shared" si="29"/>
        <v>TX0087190_002</v>
      </c>
      <c r="D1908" s="2" t="s">
        <v>2995</v>
      </c>
    </row>
    <row r="1909" spans="1:4" x14ac:dyDescent="0.25">
      <c r="A1909" s="2" t="s">
        <v>6486</v>
      </c>
      <c r="B1909" s="2" t="s">
        <v>2921</v>
      </c>
      <c r="C1909" s="2" t="str">
        <f t="shared" si="29"/>
        <v>TX0087203_001</v>
      </c>
      <c r="D1909" s="2" t="s">
        <v>4017</v>
      </c>
    </row>
    <row r="1910" spans="1:4" x14ac:dyDescent="0.25">
      <c r="A1910" s="2" t="s">
        <v>6487</v>
      </c>
      <c r="B1910" s="2" t="s">
        <v>2921</v>
      </c>
      <c r="C1910" s="2" t="str">
        <f t="shared" si="29"/>
        <v>TX0087254_001</v>
      </c>
      <c r="D1910" s="2" t="s">
        <v>3735</v>
      </c>
    </row>
    <row r="1911" spans="1:4" x14ac:dyDescent="0.25">
      <c r="A1911" s="2" t="s">
        <v>6488</v>
      </c>
      <c r="B1911" s="2" t="s">
        <v>2921</v>
      </c>
      <c r="C1911" s="2" t="str">
        <f t="shared" si="29"/>
        <v>TX0087271_001</v>
      </c>
      <c r="D1911" s="2" t="s">
        <v>4018</v>
      </c>
    </row>
    <row r="1912" spans="1:4" x14ac:dyDescent="0.25">
      <c r="A1912" s="2" t="s">
        <v>6489</v>
      </c>
      <c r="B1912" s="2" t="s">
        <v>2921</v>
      </c>
      <c r="C1912" s="2" t="str">
        <f t="shared" si="29"/>
        <v>TX0087343_001</v>
      </c>
      <c r="D1912" s="2" t="s">
        <v>4019</v>
      </c>
    </row>
    <row r="1913" spans="1:4" x14ac:dyDescent="0.25">
      <c r="A1913" s="2" t="s">
        <v>6490</v>
      </c>
      <c r="B1913" s="2" t="s">
        <v>2921</v>
      </c>
      <c r="C1913" s="2" t="str">
        <f t="shared" si="29"/>
        <v>TX0087360_001</v>
      </c>
      <c r="D1913" s="2" t="s">
        <v>4020</v>
      </c>
    </row>
    <row r="1914" spans="1:4" x14ac:dyDescent="0.25">
      <c r="A1914" s="2" t="s">
        <v>6491</v>
      </c>
      <c r="B1914" s="2" t="s">
        <v>2921</v>
      </c>
      <c r="C1914" s="2" t="str">
        <f t="shared" si="29"/>
        <v>TX0087441_001</v>
      </c>
      <c r="D1914" s="2" t="s">
        <v>4021</v>
      </c>
    </row>
    <row r="1915" spans="1:4" x14ac:dyDescent="0.25">
      <c r="A1915" s="2" t="s">
        <v>6492</v>
      </c>
      <c r="B1915" s="2" t="s">
        <v>2921</v>
      </c>
      <c r="C1915" s="2" t="str">
        <f t="shared" si="29"/>
        <v>TX0087475_001</v>
      </c>
      <c r="D1915" s="2" t="s">
        <v>3748</v>
      </c>
    </row>
    <row r="1916" spans="1:4" x14ac:dyDescent="0.25">
      <c r="A1916" s="2" t="s">
        <v>6493</v>
      </c>
      <c r="B1916" s="2" t="s">
        <v>2921</v>
      </c>
      <c r="C1916" s="2" t="str">
        <f t="shared" si="29"/>
        <v>TX0087491_001</v>
      </c>
      <c r="D1916" s="2" t="s">
        <v>3694</v>
      </c>
    </row>
    <row r="1917" spans="1:4" x14ac:dyDescent="0.25">
      <c r="A1917" s="2" t="s">
        <v>6494</v>
      </c>
      <c r="B1917" s="2" t="s">
        <v>2940</v>
      </c>
      <c r="C1917" s="2" t="str">
        <f t="shared" si="29"/>
        <v>TX0087599_006</v>
      </c>
      <c r="D1917" s="2" t="s">
        <v>2922</v>
      </c>
    </row>
    <row r="1918" spans="1:4" x14ac:dyDescent="0.25">
      <c r="A1918" s="2" t="s">
        <v>6494</v>
      </c>
      <c r="B1918" s="2" t="s">
        <v>2924</v>
      </c>
      <c r="C1918" s="2" t="str">
        <f t="shared" si="29"/>
        <v>TX0087599_003</v>
      </c>
      <c r="D1918" s="2" t="s">
        <v>2922</v>
      </c>
    </row>
    <row r="1919" spans="1:4" x14ac:dyDescent="0.25">
      <c r="A1919" s="2" t="s">
        <v>6494</v>
      </c>
      <c r="B1919" s="2" t="s">
        <v>2936</v>
      </c>
      <c r="C1919" s="2" t="str">
        <f t="shared" si="29"/>
        <v>TX0087599_004</v>
      </c>
      <c r="D1919" s="2" t="s">
        <v>2922</v>
      </c>
    </row>
    <row r="1920" spans="1:4" x14ac:dyDescent="0.25">
      <c r="A1920" s="2" t="s">
        <v>6494</v>
      </c>
      <c r="B1920" s="2" t="s">
        <v>2934</v>
      </c>
      <c r="C1920" s="2" t="str">
        <f t="shared" si="29"/>
        <v>TX0087599_005</v>
      </c>
      <c r="D1920" s="2" t="s">
        <v>2922</v>
      </c>
    </row>
    <row r="1921" spans="1:4" x14ac:dyDescent="0.25">
      <c r="A1921" s="2" t="s">
        <v>6494</v>
      </c>
      <c r="B1921" s="2" t="s">
        <v>2921</v>
      </c>
      <c r="C1921" s="2" t="str">
        <f t="shared" si="29"/>
        <v>TX0087599_001</v>
      </c>
      <c r="D1921" s="2" t="s">
        <v>2922</v>
      </c>
    </row>
    <row r="1922" spans="1:4" x14ac:dyDescent="0.25">
      <c r="A1922" s="2" t="s">
        <v>6494</v>
      </c>
      <c r="B1922" s="2" t="s">
        <v>2923</v>
      </c>
      <c r="C1922" s="2" t="str">
        <f t="shared" si="29"/>
        <v>TX0087599_002</v>
      </c>
      <c r="D1922" s="2" t="s">
        <v>2922</v>
      </c>
    </row>
    <row r="1923" spans="1:4" x14ac:dyDescent="0.25">
      <c r="A1923" s="2" t="s">
        <v>6495</v>
      </c>
      <c r="B1923" s="2" t="s">
        <v>2921</v>
      </c>
      <c r="C1923" s="2" t="str">
        <f t="shared" ref="C1923:C1986" si="30">A1923 &amp; "_" &amp; B1923</f>
        <v>TX0087602_001</v>
      </c>
      <c r="D1923" s="2" t="s">
        <v>4022</v>
      </c>
    </row>
    <row r="1924" spans="1:4" x14ac:dyDescent="0.25">
      <c r="A1924" s="2" t="s">
        <v>6496</v>
      </c>
      <c r="B1924" s="2" t="s">
        <v>2921</v>
      </c>
      <c r="C1924" s="2" t="str">
        <f t="shared" si="30"/>
        <v>TX0087661_001</v>
      </c>
      <c r="D1924" s="2" t="s">
        <v>4023</v>
      </c>
    </row>
    <row r="1925" spans="1:4" x14ac:dyDescent="0.25">
      <c r="A1925" s="2" t="s">
        <v>6497</v>
      </c>
      <c r="B1925" s="2" t="s">
        <v>2959</v>
      </c>
      <c r="C1925" s="2" t="str">
        <f t="shared" si="30"/>
        <v>TX0087726_007</v>
      </c>
      <c r="D1925" s="2" t="s">
        <v>2928</v>
      </c>
    </row>
    <row r="1926" spans="1:4" x14ac:dyDescent="0.25">
      <c r="A1926" s="2" t="s">
        <v>6497</v>
      </c>
      <c r="B1926" s="2" t="s">
        <v>2923</v>
      </c>
      <c r="C1926" s="2" t="str">
        <f t="shared" si="30"/>
        <v>TX0087726_002</v>
      </c>
      <c r="D1926" s="2" t="s">
        <v>2928</v>
      </c>
    </row>
    <row r="1927" spans="1:4" x14ac:dyDescent="0.25">
      <c r="A1927" s="2" t="s">
        <v>6497</v>
      </c>
      <c r="B1927" s="2" t="s">
        <v>2924</v>
      </c>
      <c r="C1927" s="2" t="str">
        <f t="shared" si="30"/>
        <v>TX0087726_003</v>
      </c>
      <c r="D1927" s="2" t="s">
        <v>2928</v>
      </c>
    </row>
    <row r="1928" spans="1:4" x14ac:dyDescent="0.25">
      <c r="A1928" s="2" t="s">
        <v>6497</v>
      </c>
      <c r="B1928" s="2" t="s">
        <v>2936</v>
      </c>
      <c r="C1928" s="2" t="str">
        <f t="shared" si="30"/>
        <v>TX0087726_004</v>
      </c>
      <c r="D1928" s="2" t="s">
        <v>2928</v>
      </c>
    </row>
    <row r="1929" spans="1:4" x14ac:dyDescent="0.25">
      <c r="A1929" s="2" t="s">
        <v>6497</v>
      </c>
      <c r="B1929" s="2" t="s">
        <v>2934</v>
      </c>
      <c r="C1929" s="2" t="str">
        <f t="shared" si="30"/>
        <v>TX0087726_005</v>
      </c>
      <c r="D1929" s="2" t="s">
        <v>2928</v>
      </c>
    </row>
    <row r="1930" spans="1:4" x14ac:dyDescent="0.25">
      <c r="A1930" s="2" t="s">
        <v>6497</v>
      </c>
      <c r="B1930" s="2" t="s">
        <v>2940</v>
      </c>
      <c r="C1930" s="2" t="str">
        <f t="shared" si="30"/>
        <v>TX0087726_006</v>
      </c>
      <c r="D1930" s="2" t="s">
        <v>2928</v>
      </c>
    </row>
    <row r="1931" spans="1:4" x14ac:dyDescent="0.25">
      <c r="A1931" s="2" t="s">
        <v>6498</v>
      </c>
      <c r="B1931" s="2" t="s">
        <v>2921</v>
      </c>
      <c r="C1931" s="2" t="str">
        <f t="shared" si="30"/>
        <v>TX0087751_001</v>
      </c>
      <c r="D1931" s="2" t="s">
        <v>4024</v>
      </c>
    </row>
    <row r="1932" spans="1:4" x14ac:dyDescent="0.25">
      <c r="A1932" s="2" t="s">
        <v>6499</v>
      </c>
      <c r="B1932" s="2" t="s">
        <v>2921</v>
      </c>
      <c r="C1932" s="2" t="str">
        <f t="shared" si="30"/>
        <v>TX0087785_001</v>
      </c>
      <c r="D1932" s="2" t="s">
        <v>4025</v>
      </c>
    </row>
    <row r="1933" spans="1:4" x14ac:dyDescent="0.25">
      <c r="A1933" s="2" t="s">
        <v>6500</v>
      </c>
      <c r="B1933" s="2" t="s">
        <v>2923</v>
      </c>
      <c r="C1933" s="2" t="str">
        <f t="shared" si="30"/>
        <v>TX0087793_002</v>
      </c>
      <c r="D1933" s="2" t="s">
        <v>2931</v>
      </c>
    </row>
    <row r="1934" spans="1:4" x14ac:dyDescent="0.25">
      <c r="A1934" s="2" t="s">
        <v>6501</v>
      </c>
      <c r="B1934" s="2" t="s">
        <v>2921</v>
      </c>
      <c r="C1934" s="2" t="str">
        <f t="shared" si="30"/>
        <v>TX0087815_001</v>
      </c>
      <c r="D1934" s="2" t="s">
        <v>4026</v>
      </c>
    </row>
    <row r="1935" spans="1:4" x14ac:dyDescent="0.25">
      <c r="A1935" s="2" t="s">
        <v>6502</v>
      </c>
      <c r="B1935" s="2" t="s">
        <v>2921</v>
      </c>
      <c r="C1935" s="2" t="str">
        <f t="shared" si="30"/>
        <v>TX0087831_001</v>
      </c>
      <c r="D1935" s="2" t="s">
        <v>3640</v>
      </c>
    </row>
    <row r="1936" spans="1:4" x14ac:dyDescent="0.25">
      <c r="A1936" s="2" t="s">
        <v>6503</v>
      </c>
      <c r="B1936" s="2" t="s">
        <v>2921</v>
      </c>
      <c r="C1936" s="2" t="str">
        <f t="shared" si="30"/>
        <v>TX0087963_001</v>
      </c>
      <c r="D1936" s="2" t="s">
        <v>4027</v>
      </c>
    </row>
    <row r="1937" spans="1:4" x14ac:dyDescent="0.25">
      <c r="A1937" s="2" t="s">
        <v>6504</v>
      </c>
      <c r="B1937" s="2" t="s">
        <v>2921</v>
      </c>
      <c r="C1937" s="2" t="str">
        <f t="shared" si="30"/>
        <v>TX0087971_001</v>
      </c>
      <c r="D1937" s="2" t="s">
        <v>4028</v>
      </c>
    </row>
    <row r="1938" spans="1:4" x14ac:dyDescent="0.25">
      <c r="A1938" s="2" t="s">
        <v>6504</v>
      </c>
      <c r="B1938" s="2" t="s">
        <v>2923</v>
      </c>
      <c r="C1938" s="2" t="str">
        <f t="shared" si="30"/>
        <v>TX0087971_002</v>
      </c>
      <c r="D1938" s="2" t="s">
        <v>4028</v>
      </c>
    </row>
    <row r="1939" spans="1:4" x14ac:dyDescent="0.25">
      <c r="A1939" s="2" t="s">
        <v>6505</v>
      </c>
      <c r="B1939" s="2" t="s">
        <v>2921</v>
      </c>
      <c r="C1939" s="2" t="str">
        <f t="shared" si="30"/>
        <v>TX0087998_001</v>
      </c>
      <c r="D1939" s="2" t="s">
        <v>4029</v>
      </c>
    </row>
    <row r="1940" spans="1:4" x14ac:dyDescent="0.25">
      <c r="A1940" s="2" t="s">
        <v>6506</v>
      </c>
      <c r="B1940" s="2" t="s">
        <v>2921</v>
      </c>
      <c r="C1940" s="2" t="str">
        <f t="shared" si="30"/>
        <v>TX0088081_001</v>
      </c>
      <c r="D1940" s="2" t="s">
        <v>4030</v>
      </c>
    </row>
    <row r="1941" spans="1:4" x14ac:dyDescent="0.25">
      <c r="A1941" s="2" t="s">
        <v>6507</v>
      </c>
      <c r="B1941" s="2" t="s">
        <v>2921</v>
      </c>
      <c r="C1941" s="2" t="str">
        <f t="shared" si="30"/>
        <v>TX0088102_001</v>
      </c>
      <c r="D1941" s="2" t="s">
        <v>4031</v>
      </c>
    </row>
    <row r="1942" spans="1:4" x14ac:dyDescent="0.25">
      <c r="A1942" s="2" t="s">
        <v>6508</v>
      </c>
      <c r="B1942" s="2" t="s">
        <v>2921</v>
      </c>
      <c r="C1942" s="2" t="str">
        <f t="shared" si="30"/>
        <v>TX0088137_001</v>
      </c>
      <c r="D1942" s="2" t="s">
        <v>4032</v>
      </c>
    </row>
    <row r="1943" spans="1:4" x14ac:dyDescent="0.25">
      <c r="A1943" s="2" t="s">
        <v>6509</v>
      </c>
      <c r="B1943" s="2" t="s">
        <v>2921</v>
      </c>
      <c r="C1943" s="2" t="str">
        <f t="shared" si="30"/>
        <v>TX0088153_001</v>
      </c>
      <c r="D1943" s="2" t="s">
        <v>3110</v>
      </c>
    </row>
    <row r="1944" spans="1:4" x14ac:dyDescent="0.25">
      <c r="A1944" s="2" t="s">
        <v>6510</v>
      </c>
      <c r="B1944" s="2" t="s">
        <v>2921</v>
      </c>
      <c r="C1944" s="2" t="str">
        <f t="shared" si="30"/>
        <v>TX0088170_001</v>
      </c>
      <c r="D1944" s="2" t="s">
        <v>3734</v>
      </c>
    </row>
    <row r="1945" spans="1:4" x14ac:dyDescent="0.25">
      <c r="A1945" s="2" t="s">
        <v>6511</v>
      </c>
      <c r="B1945" s="2" t="s">
        <v>2921</v>
      </c>
      <c r="C1945" s="2" t="str">
        <f t="shared" si="30"/>
        <v>TX0088218_001</v>
      </c>
      <c r="D1945" s="2" t="s">
        <v>4033</v>
      </c>
    </row>
    <row r="1946" spans="1:4" x14ac:dyDescent="0.25">
      <c r="A1946" s="2" t="s">
        <v>6512</v>
      </c>
      <c r="B1946" s="2" t="s">
        <v>2921</v>
      </c>
      <c r="C1946" s="2" t="str">
        <f t="shared" si="30"/>
        <v>TX0088331_001</v>
      </c>
      <c r="D1946" s="2" t="s">
        <v>4034</v>
      </c>
    </row>
    <row r="1947" spans="1:4" x14ac:dyDescent="0.25">
      <c r="A1947" s="2" t="s">
        <v>6512</v>
      </c>
      <c r="B1947" s="2" t="s">
        <v>2923</v>
      </c>
      <c r="C1947" s="2" t="str">
        <f t="shared" si="30"/>
        <v>TX0088331_002</v>
      </c>
      <c r="D1947" s="2" t="s">
        <v>4034</v>
      </c>
    </row>
    <row r="1948" spans="1:4" x14ac:dyDescent="0.25">
      <c r="A1948" s="2" t="s">
        <v>6513</v>
      </c>
      <c r="B1948" s="2" t="s">
        <v>2921</v>
      </c>
      <c r="C1948" s="2" t="str">
        <f t="shared" si="30"/>
        <v>TX0088366_001</v>
      </c>
      <c r="D1948" s="2" t="s">
        <v>3931</v>
      </c>
    </row>
    <row r="1949" spans="1:4" x14ac:dyDescent="0.25">
      <c r="A1949" s="2" t="s">
        <v>6514</v>
      </c>
      <c r="B1949" s="2" t="s">
        <v>2921</v>
      </c>
      <c r="C1949" s="2" t="str">
        <f t="shared" si="30"/>
        <v>TX0088447_001</v>
      </c>
      <c r="D1949" s="2" t="s">
        <v>4035</v>
      </c>
    </row>
    <row r="1950" spans="1:4" x14ac:dyDescent="0.25">
      <c r="A1950" s="2" t="s">
        <v>6515</v>
      </c>
      <c r="B1950" s="2" t="s">
        <v>2921</v>
      </c>
      <c r="C1950" s="2" t="str">
        <f t="shared" si="30"/>
        <v>TX0088455_001</v>
      </c>
      <c r="D1950" s="2" t="s">
        <v>4036</v>
      </c>
    </row>
    <row r="1951" spans="1:4" x14ac:dyDescent="0.25">
      <c r="A1951" s="2" t="s">
        <v>6516</v>
      </c>
      <c r="B1951" s="2" t="s">
        <v>2921</v>
      </c>
      <c r="C1951" s="2" t="str">
        <f t="shared" si="30"/>
        <v>TX0088501_001</v>
      </c>
      <c r="D1951" s="2" t="s">
        <v>3110</v>
      </c>
    </row>
    <row r="1952" spans="1:4" x14ac:dyDescent="0.25">
      <c r="A1952" s="2" t="s">
        <v>6517</v>
      </c>
      <c r="B1952" s="2" t="s">
        <v>2921</v>
      </c>
      <c r="C1952" s="2" t="str">
        <f t="shared" si="30"/>
        <v>TX0088510_001</v>
      </c>
      <c r="D1952" s="2" t="s">
        <v>2977</v>
      </c>
    </row>
    <row r="1953" spans="1:4" x14ac:dyDescent="0.25">
      <c r="A1953" s="2" t="s">
        <v>6518</v>
      </c>
      <c r="B1953" s="2" t="s">
        <v>2921</v>
      </c>
      <c r="C1953" s="2" t="str">
        <f t="shared" si="30"/>
        <v>TX0088633_001</v>
      </c>
      <c r="D1953" s="2" t="s">
        <v>3155</v>
      </c>
    </row>
    <row r="1954" spans="1:4" x14ac:dyDescent="0.25">
      <c r="A1954" s="2" t="s">
        <v>6519</v>
      </c>
      <c r="B1954" s="2" t="s">
        <v>2921</v>
      </c>
      <c r="C1954" s="2" t="str">
        <f t="shared" si="30"/>
        <v>TX0088650_001</v>
      </c>
      <c r="D1954" s="2" t="s">
        <v>4037</v>
      </c>
    </row>
    <row r="1955" spans="1:4" x14ac:dyDescent="0.25">
      <c r="A1955" s="2" t="s">
        <v>6520</v>
      </c>
      <c r="B1955" s="2" t="s">
        <v>2921</v>
      </c>
      <c r="C1955" s="2" t="str">
        <f t="shared" si="30"/>
        <v>TX0088781_001</v>
      </c>
      <c r="D1955" s="2" t="s">
        <v>4038</v>
      </c>
    </row>
    <row r="1956" spans="1:4" x14ac:dyDescent="0.25">
      <c r="A1956" s="2" t="s">
        <v>6520</v>
      </c>
      <c r="B1956" s="2" t="s">
        <v>2923</v>
      </c>
      <c r="C1956" s="2" t="str">
        <f t="shared" si="30"/>
        <v>TX0088781_002</v>
      </c>
      <c r="D1956" s="2" t="s">
        <v>4038</v>
      </c>
    </row>
    <row r="1957" spans="1:4" x14ac:dyDescent="0.25">
      <c r="A1957" s="2" t="s">
        <v>6521</v>
      </c>
      <c r="B1957" s="2" t="s">
        <v>2921</v>
      </c>
      <c r="C1957" s="2" t="str">
        <f t="shared" si="30"/>
        <v>TX0088811_001</v>
      </c>
      <c r="D1957" s="2" t="s">
        <v>4039</v>
      </c>
    </row>
    <row r="1958" spans="1:4" x14ac:dyDescent="0.25">
      <c r="A1958" s="2" t="s">
        <v>6522</v>
      </c>
      <c r="B1958" s="2" t="s">
        <v>2921</v>
      </c>
      <c r="C1958" s="2" t="str">
        <f t="shared" si="30"/>
        <v>TX0088838_001</v>
      </c>
      <c r="D1958" s="2" t="s">
        <v>4040</v>
      </c>
    </row>
    <row r="1959" spans="1:4" x14ac:dyDescent="0.25">
      <c r="A1959" s="2" t="s">
        <v>6523</v>
      </c>
      <c r="B1959" s="2" t="s">
        <v>2921</v>
      </c>
      <c r="C1959" s="2" t="str">
        <f t="shared" si="30"/>
        <v>TX0088862_001</v>
      </c>
      <c r="D1959" s="2" t="s">
        <v>3286</v>
      </c>
    </row>
    <row r="1960" spans="1:4" x14ac:dyDescent="0.25">
      <c r="A1960" s="2" t="s">
        <v>6524</v>
      </c>
      <c r="B1960" s="2" t="s">
        <v>2921</v>
      </c>
      <c r="C1960" s="2" t="str">
        <f t="shared" si="30"/>
        <v>TX0088927_001</v>
      </c>
      <c r="D1960" s="2" t="s">
        <v>4041</v>
      </c>
    </row>
    <row r="1961" spans="1:4" x14ac:dyDescent="0.25">
      <c r="A1961" s="2" t="s">
        <v>6525</v>
      </c>
      <c r="B1961" s="2" t="s">
        <v>2921</v>
      </c>
      <c r="C1961" s="2" t="str">
        <f t="shared" si="30"/>
        <v>TX0088935_001</v>
      </c>
      <c r="D1961" s="2" t="s">
        <v>4042</v>
      </c>
    </row>
    <row r="1962" spans="1:4" x14ac:dyDescent="0.25">
      <c r="A1962" s="2" t="s">
        <v>6525</v>
      </c>
      <c r="B1962" s="2" t="s">
        <v>4043</v>
      </c>
      <c r="C1962" s="2" t="str">
        <f t="shared" si="30"/>
        <v>TX0088935_050</v>
      </c>
      <c r="D1962" s="2" t="s">
        <v>4042</v>
      </c>
    </row>
    <row r="1963" spans="1:4" x14ac:dyDescent="0.25">
      <c r="A1963" s="2" t="s">
        <v>6526</v>
      </c>
      <c r="B1963" s="2" t="s">
        <v>2921</v>
      </c>
      <c r="C1963" s="2" t="str">
        <f t="shared" si="30"/>
        <v>TX0089010_001</v>
      </c>
      <c r="D1963" s="2" t="s">
        <v>3433</v>
      </c>
    </row>
    <row r="1964" spans="1:4" x14ac:dyDescent="0.25">
      <c r="A1964" s="2" t="s">
        <v>6527</v>
      </c>
      <c r="B1964" s="2" t="s">
        <v>2921</v>
      </c>
      <c r="C1964" s="2" t="str">
        <f t="shared" si="30"/>
        <v>TX0089028_001</v>
      </c>
      <c r="D1964" s="2" t="s">
        <v>3433</v>
      </c>
    </row>
    <row r="1965" spans="1:4" x14ac:dyDescent="0.25">
      <c r="A1965" s="2" t="s">
        <v>6528</v>
      </c>
      <c r="B1965" s="2" t="s">
        <v>2921</v>
      </c>
      <c r="C1965" s="2" t="str">
        <f t="shared" si="30"/>
        <v>TX0089036_001</v>
      </c>
      <c r="D1965" s="2" t="s">
        <v>3433</v>
      </c>
    </row>
    <row r="1966" spans="1:4" x14ac:dyDescent="0.25">
      <c r="A1966" s="2" t="s">
        <v>6529</v>
      </c>
      <c r="B1966" s="2" t="s">
        <v>2921</v>
      </c>
      <c r="C1966" s="2" t="str">
        <f t="shared" si="30"/>
        <v>TX0089044_001</v>
      </c>
      <c r="D1966" s="2" t="s">
        <v>3433</v>
      </c>
    </row>
    <row r="1967" spans="1:4" x14ac:dyDescent="0.25">
      <c r="A1967" s="2" t="s">
        <v>6530</v>
      </c>
      <c r="B1967" s="2" t="s">
        <v>2921</v>
      </c>
      <c r="C1967" s="2" t="str">
        <f t="shared" si="30"/>
        <v>TX0089061_001</v>
      </c>
      <c r="D1967" s="2" t="s">
        <v>4044</v>
      </c>
    </row>
    <row r="1968" spans="1:4" x14ac:dyDescent="0.25">
      <c r="A1968" s="2" t="s">
        <v>6531</v>
      </c>
      <c r="B1968" s="2" t="s">
        <v>2921</v>
      </c>
      <c r="C1968" s="2" t="str">
        <f t="shared" si="30"/>
        <v>TX0089109_001</v>
      </c>
      <c r="D1968" s="2" t="s">
        <v>3767</v>
      </c>
    </row>
    <row r="1969" spans="1:4" x14ac:dyDescent="0.25">
      <c r="A1969" s="2" t="s">
        <v>6531</v>
      </c>
      <c r="B1969" s="2" t="s">
        <v>2923</v>
      </c>
      <c r="C1969" s="2" t="str">
        <f t="shared" si="30"/>
        <v>TX0089109_002</v>
      </c>
      <c r="D1969" s="2" t="s">
        <v>3767</v>
      </c>
    </row>
    <row r="1970" spans="1:4" x14ac:dyDescent="0.25">
      <c r="A1970" s="2" t="s">
        <v>6532</v>
      </c>
      <c r="B1970" s="2" t="s">
        <v>2921</v>
      </c>
      <c r="C1970" s="2" t="str">
        <f t="shared" si="30"/>
        <v>TX0089125_001</v>
      </c>
      <c r="D1970" s="2" t="s">
        <v>3042</v>
      </c>
    </row>
    <row r="1971" spans="1:4" x14ac:dyDescent="0.25">
      <c r="A1971" s="2" t="s">
        <v>6533</v>
      </c>
      <c r="B1971" s="2" t="s">
        <v>2921</v>
      </c>
      <c r="C1971" s="2" t="str">
        <f t="shared" si="30"/>
        <v>TX0089184_001</v>
      </c>
      <c r="D1971" s="2" t="s">
        <v>4045</v>
      </c>
    </row>
    <row r="1972" spans="1:4" x14ac:dyDescent="0.25">
      <c r="A1972" s="2" t="s">
        <v>6534</v>
      </c>
      <c r="B1972" s="2" t="s">
        <v>2921</v>
      </c>
      <c r="C1972" s="2" t="str">
        <f t="shared" si="30"/>
        <v>TX0089192_001</v>
      </c>
      <c r="D1972" s="2" t="s">
        <v>4046</v>
      </c>
    </row>
    <row r="1973" spans="1:4" x14ac:dyDescent="0.25">
      <c r="A1973" s="2" t="s">
        <v>6534</v>
      </c>
      <c r="B1973" s="2" t="s">
        <v>2923</v>
      </c>
      <c r="C1973" s="2" t="str">
        <f t="shared" si="30"/>
        <v>TX0089192_002</v>
      </c>
      <c r="D1973" s="2" t="s">
        <v>4046</v>
      </c>
    </row>
    <row r="1974" spans="1:4" x14ac:dyDescent="0.25">
      <c r="A1974" s="2" t="s">
        <v>6535</v>
      </c>
      <c r="B1974" s="2" t="s">
        <v>2921</v>
      </c>
      <c r="C1974" s="2" t="str">
        <f t="shared" si="30"/>
        <v>TX0089249_001</v>
      </c>
      <c r="D1974" s="2" t="s">
        <v>4047</v>
      </c>
    </row>
    <row r="1975" spans="1:4" x14ac:dyDescent="0.25">
      <c r="A1975" s="2" t="s">
        <v>6536</v>
      </c>
      <c r="B1975" s="2" t="s">
        <v>2921</v>
      </c>
      <c r="C1975" s="2" t="str">
        <f t="shared" si="30"/>
        <v>TX0089281_001</v>
      </c>
      <c r="D1975" s="2" t="s">
        <v>4048</v>
      </c>
    </row>
    <row r="1976" spans="1:4" x14ac:dyDescent="0.25">
      <c r="A1976" s="2" t="s">
        <v>6537</v>
      </c>
      <c r="B1976" s="2" t="s">
        <v>2921</v>
      </c>
      <c r="C1976" s="2" t="str">
        <f t="shared" si="30"/>
        <v>TX0089338_001</v>
      </c>
      <c r="D1976" s="2" t="s">
        <v>3286</v>
      </c>
    </row>
    <row r="1977" spans="1:4" x14ac:dyDescent="0.25">
      <c r="A1977" s="2" t="s">
        <v>6538</v>
      </c>
      <c r="B1977" s="2" t="s">
        <v>2921</v>
      </c>
      <c r="C1977" s="2" t="str">
        <f t="shared" si="30"/>
        <v>TX0089346_001</v>
      </c>
      <c r="D1977" s="2" t="s">
        <v>4049</v>
      </c>
    </row>
    <row r="1978" spans="1:4" x14ac:dyDescent="0.25">
      <c r="A1978" s="2" t="s">
        <v>6539</v>
      </c>
      <c r="B1978" s="2" t="s">
        <v>2921</v>
      </c>
      <c r="C1978" s="2" t="str">
        <f t="shared" si="30"/>
        <v>TX0089362_001</v>
      </c>
      <c r="D1978" s="2" t="s">
        <v>4050</v>
      </c>
    </row>
    <row r="1979" spans="1:4" x14ac:dyDescent="0.25">
      <c r="A1979" s="2" t="s">
        <v>6540</v>
      </c>
      <c r="B1979" s="2" t="s">
        <v>2921</v>
      </c>
      <c r="C1979" s="2" t="str">
        <f t="shared" si="30"/>
        <v>TX0089494_001</v>
      </c>
      <c r="D1979" s="2" t="s">
        <v>4051</v>
      </c>
    </row>
    <row r="1980" spans="1:4" x14ac:dyDescent="0.25">
      <c r="A1980" s="2" t="s">
        <v>6541</v>
      </c>
      <c r="B1980" s="2" t="s">
        <v>2921</v>
      </c>
      <c r="C1980" s="2" t="str">
        <f t="shared" si="30"/>
        <v>TX0089516_001</v>
      </c>
      <c r="D1980" s="2" t="s">
        <v>2975</v>
      </c>
    </row>
    <row r="1981" spans="1:4" x14ac:dyDescent="0.25">
      <c r="A1981" s="2" t="s">
        <v>6542</v>
      </c>
      <c r="B1981" s="2" t="s">
        <v>2921</v>
      </c>
      <c r="C1981" s="2" t="str">
        <f t="shared" si="30"/>
        <v>TX0089567_001</v>
      </c>
      <c r="D1981" s="2" t="s">
        <v>4052</v>
      </c>
    </row>
    <row r="1982" spans="1:4" x14ac:dyDescent="0.25">
      <c r="A1982" s="2" t="s">
        <v>6542</v>
      </c>
      <c r="B1982" s="2" t="s">
        <v>2923</v>
      </c>
      <c r="C1982" s="2" t="str">
        <f t="shared" si="30"/>
        <v>TX0089567_002</v>
      </c>
      <c r="D1982" s="2" t="s">
        <v>4052</v>
      </c>
    </row>
    <row r="1983" spans="1:4" x14ac:dyDescent="0.25">
      <c r="A1983" s="2" t="s">
        <v>6543</v>
      </c>
      <c r="B1983" s="2" t="s">
        <v>2921</v>
      </c>
      <c r="C1983" s="2" t="str">
        <f t="shared" si="30"/>
        <v>TX0089621_001</v>
      </c>
      <c r="D1983" s="2" t="s">
        <v>4053</v>
      </c>
    </row>
    <row r="1984" spans="1:4" x14ac:dyDescent="0.25">
      <c r="A1984" s="2" t="s">
        <v>6544</v>
      </c>
      <c r="B1984" s="2" t="s">
        <v>2921</v>
      </c>
      <c r="C1984" s="2" t="str">
        <f t="shared" si="30"/>
        <v>TX0089630_001</v>
      </c>
      <c r="D1984" s="2" t="s">
        <v>4054</v>
      </c>
    </row>
    <row r="1985" spans="1:4" x14ac:dyDescent="0.25">
      <c r="A1985" s="2" t="s">
        <v>6545</v>
      </c>
      <c r="B1985" s="2" t="s">
        <v>2921</v>
      </c>
      <c r="C1985" s="2" t="str">
        <f t="shared" si="30"/>
        <v>TX0089672_001</v>
      </c>
      <c r="D1985" s="2" t="s">
        <v>4055</v>
      </c>
    </row>
    <row r="1986" spans="1:4" x14ac:dyDescent="0.25">
      <c r="A1986" s="2" t="s">
        <v>6546</v>
      </c>
      <c r="B1986" s="2" t="s">
        <v>2921</v>
      </c>
      <c r="C1986" s="2" t="str">
        <f t="shared" si="30"/>
        <v>TX0089753_001</v>
      </c>
      <c r="D1986" s="2" t="s">
        <v>4056</v>
      </c>
    </row>
    <row r="1987" spans="1:4" x14ac:dyDescent="0.25">
      <c r="A1987" s="2" t="s">
        <v>6547</v>
      </c>
      <c r="B1987" s="2" t="s">
        <v>2921</v>
      </c>
      <c r="C1987" s="2" t="str">
        <f t="shared" ref="C1987:C2050" si="31">A1987 &amp; "_" &amp; B1987</f>
        <v>TX0089915_001</v>
      </c>
      <c r="D1987" s="2" t="s">
        <v>3286</v>
      </c>
    </row>
    <row r="1988" spans="1:4" x14ac:dyDescent="0.25">
      <c r="A1988" s="2" t="s">
        <v>6548</v>
      </c>
      <c r="B1988" s="2" t="s">
        <v>2936</v>
      </c>
      <c r="C1988" s="2" t="str">
        <f t="shared" si="31"/>
        <v>TX0089940_004</v>
      </c>
      <c r="D1988" s="2" t="s">
        <v>4057</v>
      </c>
    </row>
    <row r="1989" spans="1:4" x14ac:dyDescent="0.25">
      <c r="A1989" s="2" t="s">
        <v>6548</v>
      </c>
      <c r="B1989" s="2" t="s">
        <v>2921</v>
      </c>
      <c r="C1989" s="2" t="str">
        <f t="shared" si="31"/>
        <v>TX0089940_001</v>
      </c>
      <c r="D1989" s="2" t="s">
        <v>4057</v>
      </c>
    </row>
    <row r="1990" spans="1:4" x14ac:dyDescent="0.25">
      <c r="A1990" s="2" t="s">
        <v>6548</v>
      </c>
      <c r="B1990" s="2" t="s">
        <v>2934</v>
      </c>
      <c r="C1990" s="2" t="str">
        <f t="shared" si="31"/>
        <v>TX0089940_005</v>
      </c>
      <c r="D1990" s="2" t="s">
        <v>4057</v>
      </c>
    </row>
    <row r="1991" spans="1:4" x14ac:dyDescent="0.25">
      <c r="A1991" s="2" t="s">
        <v>6549</v>
      </c>
      <c r="B1991" s="2" t="s">
        <v>2921</v>
      </c>
      <c r="C1991" s="2" t="str">
        <f t="shared" si="31"/>
        <v>TX0090069_001</v>
      </c>
      <c r="D1991" s="2" t="s">
        <v>4058</v>
      </c>
    </row>
    <row r="1992" spans="1:4" x14ac:dyDescent="0.25">
      <c r="A1992" s="2" t="s">
        <v>6550</v>
      </c>
      <c r="B1992" s="2" t="s">
        <v>2921</v>
      </c>
      <c r="C1992" s="2" t="str">
        <f t="shared" si="31"/>
        <v>TX0090115_001</v>
      </c>
      <c r="D1992" s="2" t="s">
        <v>4059</v>
      </c>
    </row>
    <row r="1993" spans="1:4" x14ac:dyDescent="0.25">
      <c r="A1993" s="2" t="s">
        <v>6551</v>
      </c>
      <c r="B1993" s="2" t="s">
        <v>2921</v>
      </c>
      <c r="C1993" s="2" t="str">
        <f t="shared" si="31"/>
        <v>TX0090123_001</v>
      </c>
      <c r="D1993" s="2" t="s">
        <v>4060</v>
      </c>
    </row>
    <row r="1994" spans="1:4" x14ac:dyDescent="0.25">
      <c r="A1994" s="2" t="s">
        <v>6552</v>
      </c>
      <c r="B1994" s="2" t="s">
        <v>2921</v>
      </c>
      <c r="C1994" s="2" t="str">
        <f t="shared" si="31"/>
        <v>TX0090344_001</v>
      </c>
      <c r="D1994" s="2" t="s">
        <v>3092</v>
      </c>
    </row>
    <row r="1995" spans="1:4" x14ac:dyDescent="0.25">
      <c r="A1995" s="2" t="s">
        <v>6553</v>
      </c>
      <c r="B1995" s="2" t="s">
        <v>2921</v>
      </c>
      <c r="C1995" s="2" t="str">
        <f t="shared" si="31"/>
        <v>TX0090425_001</v>
      </c>
      <c r="D1995" s="2" t="s">
        <v>4061</v>
      </c>
    </row>
    <row r="1996" spans="1:4" x14ac:dyDescent="0.25">
      <c r="A1996" s="2" t="s">
        <v>6554</v>
      </c>
      <c r="B1996" s="2" t="s">
        <v>2921</v>
      </c>
      <c r="C1996" s="2" t="str">
        <f t="shared" si="31"/>
        <v>TX0090476_001</v>
      </c>
      <c r="D1996" s="2" t="s">
        <v>4062</v>
      </c>
    </row>
    <row r="1997" spans="1:4" x14ac:dyDescent="0.25">
      <c r="A1997" s="2" t="s">
        <v>6555</v>
      </c>
      <c r="B1997" s="2" t="s">
        <v>2921</v>
      </c>
      <c r="C1997" s="2" t="str">
        <f t="shared" si="31"/>
        <v>TX0090484_001</v>
      </c>
      <c r="D1997" s="2" t="s">
        <v>4063</v>
      </c>
    </row>
    <row r="1998" spans="1:4" x14ac:dyDescent="0.25">
      <c r="A1998" s="2" t="s">
        <v>6556</v>
      </c>
      <c r="B1998" s="2" t="s">
        <v>2921</v>
      </c>
      <c r="C1998" s="2" t="str">
        <f t="shared" si="31"/>
        <v>TX0090492_001</v>
      </c>
      <c r="D1998" s="2" t="s">
        <v>4064</v>
      </c>
    </row>
    <row r="1999" spans="1:4" x14ac:dyDescent="0.25">
      <c r="A1999" s="2" t="s">
        <v>6557</v>
      </c>
      <c r="B1999" s="2" t="s">
        <v>2921</v>
      </c>
      <c r="C1999" s="2" t="str">
        <f t="shared" si="31"/>
        <v>TX0090506_001</v>
      </c>
      <c r="D1999" s="2" t="s">
        <v>3092</v>
      </c>
    </row>
    <row r="2000" spans="1:4" x14ac:dyDescent="0.25">
      <c r="A2000" s="2" t="s">
        <v>6558</v>
      </c>
      <c r="B2000" s="2" t="s">
        <v>2921</v>
      </c>
      <c r="C2000" s="2" t="str">
        <f t="shared" si="31"/>
        <v>TX0090603_001</v>
      </c>
      <c r="D2000" s="2" t="s">
        <v>4065</v>
      </c>
    </row>
    <row r="2001" spans="1:4" x14ac:dyDescent="0.25">
      <c r="A2001" s="2" t="s">
        <v>6559</v>
      </c>
      <c r="B2001" s="2" t="s">
        <v>2921</v>
      </c>
      <c r="C2001" s="2" t="str">
        <f t="shared" si="31"/>
        <v>TX0090611_001</v>
      </c>
      <c r="D2001" s="2" t="s">
        <v>4066</v>
      </c>
    </row>
    <row r="2002" spans="1:4" x14ac:dyDescent="0.25">
      <c r="A2002" s="2" t="s">
        <v>6560</v>
      </c>
      <c r="B2002" s="2" t="s">
        <v>2921</v>
      </c>
      <c r="C2002" s="2" t="str">
        <f t="shared" si="31"/>
        <v>TX0090697_001</v>
      </c>
      <c r="D2002" s="2" t="s">
        <v>3286</v>
      </c>
    </row>
    <row r="2003" spans="1:4" x14ac:dyDescent="0.25">
      <c r="A2003" s="2" t="s">
        <v>6561</v>
      </c>
      <c r="B2003" s="2" t="s">
        <v>2921</v>
      </c>
      <c r="C2003" s="2" t="str">
        <f t="shared" si="31"/>
        <v>TX0090735_001</v>
      </c>
      <c r="D2003" s="2" t="s">
        <v>4067</v>
      </c>
    </row>
    <row r="2004" spans="1:4" x14ac:dyDescent="0.25">
      <c r="A2004" s="2" t="s">
        <v>6562</v>
      </c>
      <c r="B2004" s="2" t="s">
        <v>2921</v>
      </c>
      <c r="C2004" s="2" t="str">
        <f t="shared" si="31"/>
        <v>TX0090824_001</v>
      </c>
      <c r="D2004" s="2" t="s">
        <v>4068</v>
      </c>
    </row>
    <row r="2005" spans="1:4" x14ac:dyDescent="0.25">
      <c r="A2005" s="2" t="s">
        <v>6563</v>
      </c>
      <c r="B2005" s="2" t="s">
        <v>2921</v>
      </c>
      <c r="C2005" s="2" t="str">
        <f t="shared" si="31"/>
        <v>TX0090841_001</v>
      </c>
      <c r="D2005" s="2" t="s">
        <v>4069</v>
      </c>
    </row>
    <row r="2006" spans="1:4" x14ac:dyDescent="0.25">
      <c r="A2006" s="2" t="s">
        <v>6564</v>
      </c>
      <c r="B2006" s="2" t="s">
        <v>2921</v>
      </c>
      <c r="C2006" s="2" t="str">
        <f t="shared" si="31"/>
        <v>TX0090883_001</v>
      </c>
      <c r="D2006" s="2" t="s">
        <v>2966</v>
      </c>
    </row>
    <row r="2007" spans="1:4" x14ac:dyDescent="0.25">
      <c r="A2007" s="2" t="s">
        <v>6565</v>
      </c>
      <c r="B2007" s="2" t="s">
        <v>2921</v>
      </c>
      <c r="C2007" s="2" t="str">
        <f t="shared" si="31"/>
        <v>TX0090905_001</v>
      </c>
      <c r="D2007" s="2" t="s">
        <v>3909</v>
      </c>
    </row>
    <row r="2008" spans="1:4" x14ac:dyDescent="0.25">
      <c r="A2008" s="2" t="s">
        <v>6566</v>
      </c>
      <c r="B2008" s="2" t="s">
        <v>2921</v>
      </c>
      <c r="C2008" s="2" t="str">
        <f t="shared" si="31"/>
        <v>TX0090948_001</v>
      </c>
      <c r="D2008" s="2" t="s">
        <v>4070</v>
      </c>
    </row>
    <row r="2009" spans="1:4" x14ac:dyDescent="0.25">
      <c r="A2009" s="2" t="s">
        <v>6566</v>
      </c>
      <c r="B2009" s="2" t="s">
        <v>2923</v>
      </c>
      <c r="C2009" s="2" t="str">
        <f t="shared" si="31"/>
        <v>TX0090948_002</v>
      </c>
      <c r="D2009" s="2" t="s">
        <v>4070</v>
      </c>
    </row>
    <row r="2010" spans="1:4" x14ac:dyDescent="0.25">
      <c r="A2010" s="2" t="s">
        <v>6566</v>
      </c>
      <c r="B2010" s="2" t="s">
        <v>2924</v>
      </c>
      <c r="C2010" s="2" t="str">
        <f t="shared" si="31"/>
        <v>TX0090948_003</v>
      </c>
      <c r="D2010" s="2" t="s">
        <v>4070</v>
      </c>
    </row>
    <row r="2011" spans="1:4" x14ac:dyDescent="0.25">
      <c r="A2011" s="2" t="s">
        <v>6567</v>
      </c>
      <c r="B2011" s="2" t="s">
        <v>2921</v>
      </c>
      <c r="C2011" s="2" t="str">
        <f t="shared" si="31"/>
        <v>TX0091031_001</v>
      </c>
      <c r="D2011" s="2" t="s">
        <v>3271</v>
      </c>
    </row>
    <row r="2012" spans="1:4" x14ac:dyDescent="0.25">
      <c r="A2012" s="2" t="s">
        <v>6568</v>
      </c>
      <c r="B2012" s="2" t="s">
        <v>4071</v>
      </c>
      <c r="C2012" s="2" t="str">
        <f t="shared" si="31"/>
        <v>TX0091120_202</v>
      </c>
      <c r="D2012" s="2" t="s">
        <v>2930</v>
      </c>
    </row>
    <row r="2013" spans="1:4" x14ac:dyDescent="0.25">
      <c r="A2013" s="2" t="s">
        <v>6568</v>
      </c>
      <c r="B2013" s="2" t="s">
        <v>2921</v>
      </c>
      <c r="C2013" s="2" t="str">
        <f t="shared" si="31"/>
        <v>TX0091120_001</v>
      </c>
      <c r="D2013" s="2" t="s">
        <v>2930</v>
      </c>
    </row>
    <row r="2014" spans="1:4" x14ac:dyDescent="0.25">
      <c r="A2014" s="2" t="s">
        <v>6568</v>
      </c>
      <c r="B2014" s="2" t="s">
        <v>4072</v>
      </c>
      <c r="C2014" s="2" t="str">
        <f t="shared" si="31"/>
        <v>TX0091120_203</v>
      </c>
      <c r="D2014" s="2" t="s">
        <v>2930</v>
      </c>
    </row>
    <row r="2015" spans="1:4" x14ac:dyDescent="0.25">
      <c r="A2015" s="2" t="s">
        <v>6568</v>
      </c>
      <c r="B2015" s="2" t="s">
        <v>4073</v>
      </c>
      <c r="C2015" s="2" t="str">
        <f t="shared" si="31"/>
        <v>TX0091120_303</v>
      </c>
      <c r="D2015" s="2" t="s">
        <v>2930</v>
      </c>
    </row>
    <row r="2016" spans="1:4" x14ac:dyDescent="0.25">
      <c r="A2016" s="2" t="s">
        <v>6569</v>
      </c>
      <c r="B2016" s="2" t="s">
        <v>2921</v>
      </c>
      <c r="C2016" s="2" t="str">
        <f t="shared" si="31"/>
        <v>TX0091171_001</v>
      </c>
      <c r="D2016" s="2" t="s">
        <v>4074</v>
      </c>
    </row>
    <row r="2017" spans="1:4" x14ac:dyDescent="0.25">
      <c r="A2017" s="2" t="s">
        <v>6570</v>
      </c>
      <c r="B2017" s="2" t="s">
        <v>2921</v>
      </c>
      <c r="C2017" s="2" t="str">
        <f t="shared" si="31"/>
        <v>TX0091219_001</v>
      </c>
      <c r="D2017" s="2" t="s">
        <v>3472</v>
      </c>
    </row>
    <row r="2018" spans="1:4" x14ac:dyDescent="0.25">
      <c r="A2018" s="2" t="s">
        <v>6571</v>
      </c>
      <c r="B2018" s="2" t="s">
        <v>2921</v>
      </c>
      <c r="C2018" s="2" t="str">
        <f t="shared" si="31"/>
        <v>TX0091227_001</v>
      </c>
      <c r="D2018" s="2" t="s">
        <v>4075</v>
      </c>
    </row>
    <row r="2019" spans="1:4" x14ac:dyDescent="0.25">
      <c r="A2019" s="2" t="s">
        <v>6572</v>
      </c>
      <c r="B2019" s="2" t="s">
        <v>2921</v>
      </c>
      <c r="C2019" s="2" t="str">
        <f t="shared" si="31"/>
        <v>TX0091243_001</v>
      </c>
      <c r="D2019" s="2" t="s">
        <v>4076</v>
      </c>
    </row>
    <row r="2020" spans="1:4" x14ac:dyDescent="0.25">
      <c r="A2020" s="2" t="s">
        <v>6573</v>
      </c>
      <c r="B2020" s="2" t="s">
        <v>2921</v>
      </c>
      <c r="C2020" s="2" t="str">
        <f t="shared" si="31"/>
        <v>TX0091260_001</v>
      </c>
      <c r="D2020" s="2" t="s">
        <v>4077</v>
      </c>
    </row>
    <row r="2021" spans="1:4" x14ac:dyDescent="0.25">
      <c r="A2021" s="2" t="s">
        <v>6574</v>
      </c>
      <c r="B2021" s="2" t="s">
        <v>2921</v>
      </c>
      <c r="C2021" s="2" t="str">
        <f t="shared" si="31"/>
        <v>TX0091316_001</v>
      </c>
      <c r="D2021" s="2" t="s">
        <v>4078</v>
      </c>
    </row>
    <row r="2022" spans="1:4" x14ac:dyDescent="0.25">
      <c r="A2022" s="2" t="s">
        <v>6575</v>
      </c>
      <c r="B2022" s="2" t="s">
        <v>2921</v>
      </c>
      <c r="C2022" s="2" t="str">
        <f t="shared" si="31"/>
        <v>TX0091421_001</v>
      </c>
      <c r="D2022" s="2" t="s">
        <v>4079</v>
      </c>
    </row>
    <row r="2023" spans="1:4" x14ac:dyDescent="0.25">
      <c r="A2023" s="2" t="s">
        <v>6576</v>
      </c>
      <c r="B2023" s="2" t="s">
        <v>2921</v>
      </c>
      <c r="C2023" s="2" t="str">
        <f t="shared" si="31"/>
        <v>TX0091448_001</v>
      </c>
      <c r="D2023" s="2" t="s">
        <v>4080</v>
      </c>
    </row>
    <row r="2024" spans="1:4" x14ac:dyDescent="0.25">
      <c r="A2024" s="2" t="s">
        <v>6577</v>
      </c>
      <c r="B2024" s="2" t="s">
        <v>2921</v>
      </c>
      <c r="C2024" s="2" t="str">
        <f t="shared" si="31"/>
        <v>TX0091481_001</v>
      </c>
      <c r="D2024" s="2" t="s">
        <v>4081</v>
      </c>
    </row>
    <row r="2025" spans="1:4" x14ac:dyDescent="0.25">
      <c r="A2025" s="2" t="s">
        <v>6578</v>
      </c>
      <c r="B2025" s="2" t="s">
        <v>2921</v>
      </c>
      <c r="C2025" s="2" t="str">
        <f t="shared" si="31"/>
        <v>TX0091561_001</v>
      </c>
      <c r="D2025" s="2" t="s">
        <v>4082</v>
      </c>
    </row>
    <row r="2026" spans="1:4" x14ac:dyDescent="0.25">
      <c r="A2026" s="2" t="s">
        <v>6579</v>
      </c>
      <c r="B2026" s="2" t="s">
        <v>2921</v>
      </c>
      <c r="C2026" s="2" t="str">
        <f t="shared" si="31"/>
        <v>TX0091626_001</v>
      </c>
      <c r="D2026" s="2" t="s">
        <v>4083</v>
      </c>
    </row>
    <row r="2027" spans="1:4" x14ac:dyDescent="0.25">
      <c r="A2027" s="2" t="s">
        <v>6579</v>
      </c>
      <c r="B2027" s="2" t="s">
        <v>2921</v>
      </c>
      <c r="C2027" s="2" t="str">
        <f t="shared" si="31"/>
        <v>TX0091626_001</v>
      </c>
      <c r="D2027" s="2" t="s">
        <v>4083</v>
      </c>
    </row>
    <row r="2028" spans="1:4" x14ac:dyDescent="0.25">
      <c r="A2028" s="2" t="s">
        <v>6580</v>
      </c>
      <c r="B2028" s="2" t="s">
        <v>2921</v>
      </c>
      <c r="C2028" s="2" t="str">
        <f t="shared" si="31"/>
        <v>TX0091651_001</v>
      </c>
      <c r="D2028" s="2" t="s">
        <v>4084</v>
      </c>
    </row>
    <row r="2029" spans="1:4" x14ac:dyDescent="0.25">
      <c r="A2029" s="2" t="s">
        <v>6581</v>
      </c>
      <c r="B2029" s="2" t="s">
        <v>2921</v>
      </c>
      <c r="C2029" s="2" t="str">
        <f t="shared" si="31"/>
        <v>TX0091677_001</v>
      </c>
      <c r="D2029" s="2" t="s">
        <v>4085</v>
      </c>
    </row>
    <row r="2030" spans="1:4" x14ac:dyDescent="0.25">
      <c r="A2030" s="2" t="s">
        <v>6582</v>
      </c>
      <c r="B2030" s="2" t="s">
        <v>2921</v>
      </c>
      <c r="C2030" s="2" t="str">
        <f t="shared" si="31"/>
        <v>TX0091693_001</v>
      </c>
      <c r="D2030" s="2" t="s">
        <v>4086</v>
      </c>
    </row>
    <row r="2031" spans="1:4" x14ac:dyDescent="0.25">
      <c r="A2031" s="2" t="s">
        <v>6583</v>
      </c>
      <c r="B2031" s="2" t="s">
        <v>2921</v>
      </c>
      <c r="C2031" s="2" t="str">
        <f t="shared" si="31"/>
        <v>TX0091715_001</v>
      </c>
      <c r="D2031" s="2" t="s">
        <v>3590</v>
      </c>
    </row>
    <row r="2032" spans="1:4" x14ac:dyDescent="0.25">
      <c r="A2032" s="2" t="s">
        <v>6584</v>
      </c>
      <c r="B2032" s="2" t="s">
        <v>2921</v>
      </c>
      <c r="C2032" s="2" t="str">
        <f t="shared" si="31"/>
        <v>TX0091758_001</v>
      </c>
      <c r="D2032" s="2" t="s">
        <v>4087</v>
      </c>
    </row>
    <row r="2033" spans="1:4" x14ac:dyDescent="0.25">
      <c r="A2033" s="2" t="s">
        <v>6585</v>
      </c>
      <c r="B2033" s="2" t="s">
        <v>2921</v>
      </c>
      <c r="C2033" s="2" t="str">
        <f t="shared" si="31"/>
        <v>TX0091791_001</v>
      </c>
      <c r="D2033" s="2" t="s">
        <v>4088</v>
      </c>
    </row>
    <row r="2034" spans="1:4" x14ac:dyDescent="0.25">
      <c r="A2034" s="2" t="s">
        <v>6586</v>
      </c>
      <c r="B2034" s="2" t="s">
        <v>2921</v>
      </c>
      <c r="C2034" s="2" t="str">
        <f t="shared" si="31"/>
        <v>TX0091804_001</v>
      </c>
      <c r="D2034" s="2" t="s">
        <v>3195</v>
      </c>
    </row>
    <row r="2035" spans="1:4" x14ac:dyDescent="0.25">
      <c r="A2035" s="2" t="s">
        <v>6587</v>
      </c>
      <c r="B2035" s="2" t="s">
        <v>2921</v>
      </c>
      <c r="C2035" s="2" t="str">
        <f t="shared" si="31"/>
        <v>TX0091855_001</v>
      </c>
      <c r="D2035" s="2" t="s">
        <v>4089</v>
      </c>
    </row>
    <row r="2036" spans="1:4" x14ac:dyDescent="0.25">
      <c r="A2036" s="2" t="s">
        <v>6587</v>
      </c>
      <c r="B2036" s="2" t="s">
        <v>2924</v>
      </c>
      <c r="C2036" s="2" t="str">
        <f t="shared" si="31"/>
        <v>TX0091855_003</v>
      </c>
      <c r="D2036" s="2" t="s">
        <v>4089</v>
      </c>
    </row>
    <row r="2037" spans="1:4" x14ac:dyDescent="0.25">
      <c r="A2037" s="2" t="s">
        <v>6587</v>
      </c>
      <c r="B2037" s="2" t="s">
        <v>2936</v>
      </c>
      <c r="C2037" s="2" t="str">
        <f t="shared" si="31"/>
        <v>TX0091855_004</v>
      </c>
      <c r="D2037" s="2" t="s">
        <v>4089</v>
      </c>
    </row>
    <row r="2038" spans="1:4" x14ac:dyDescent="0.25">
      <c r="A2038" s="2" t="s">
        <v>6587</v>
      </c>
      <c r="B2038" s="2" t="s">
        <v>2934</v>
      </c>
      <c r="C2038" s="2" t="str">
        <f t="shared" si="31"/>
        <v>TX0091855_005</v>
      </c>
      <c r="D2038" s="2" t="s">
        <v>4089</v>
      </c>
    </row>
    <row r="2039" spans="1:4" x14ac:dyDescent="0.25">
      <c r="A2039" s="2" t="s">
        <v>6587</v>
      </c>
      <c r="B2039" s="2" t="s">
        <v>2940</v>
      </c>
      <c r="C2039" s="2" t="str">
        <f t="shared" si="31"/>
        <v>TX0091855_006</v>
      </c>
      <c r="D2039" s="2" t="s">
        <v>4089</v>
      </c>
    </row>
    <row r="2040" spans="1:4" x14ac:dyDescent="0.25">
      <c r="A2040" s="2" t="s">
        <v>6588</v>
      </c>
      <c r="B2040" s="2" t="s">
        <v>2921</v>
      </c>
      <c r="C2040" s="2" t="str">
        <f t="shared" si="31"/>
        <v>TX0091901_001</v>
      </c>
      <c r="D2040" s="2" t="s">
        <v>4090</v>
      </c>
    </row>
    <row r="2041" spans="1:4" x14ac:dyDescent="0.25">
      <c r="A2041" s="2" t="s">
        <v>6589</v>
      </c>
      <c r="B2041" s="2" t="s">
        <v>2921</v>
      </c>
      <c r="C2041" s="2" t="str">
        <f t="shared" si="31"/>
        <v>TX0091910_001</v>
      </c>
      <c r="D2041" s="2" t="s">
        <v>3539</v>
      </c>
    </row>
    <row r="2042" spans="1:4" x14ac:dyDescent="0.25">
      <c r="A2042" s="2" t="s">
        <v>6590</v>
      </c>
      <c r="B2042" s="2" t="s">
        <v>2921</v>
      </c>
      <c r="C2042" s="2" t="str">
        <f t="shared" si="31"/>
        <v>TX0091979_001</v>
      </c>
      <c r="D2042" s="2" t="s">
        <v>4091</v>
      </c>
    </row>
    <row r="2043" spans="1:4" x14ac:dyDescent="0.25">
      <c r="A2043" s="2" t="s">
        <v>6591</v>
      </c>
      <c r="B2043" s="2" t="s">
        <v>2921</v>
      </c>
      <c r="C2043" s="2" t="str">
        <f t="shared" si="31"/>
        <v>TX0091987_001</v>
      </c>
      <c r="D2043" s="2" t="s">
        <v>4092</v>
      </c>
    </row>
    <row r="2044" spans="1:4" x14ac:dyDescent="0.25">
      <c r="A2044" s="2" t="s">
        <v>6592</v>
      </c>
      <c r="B2044" s="2" t="s">
        <v>2921</v>
      </c>
      <c r="C2044" s="2" t="str">
        <f t="shared" si="31"/>
        <v>TX0092037_001</v>
      </c>
      <c r="D2044" s="2" t="s">
        <v>4093</v>
      </c>
    </row>
    <row r="2045" spans="1:4" x14ac:dyDescent="0.25">
      <c r="A2045" s="2" t="s">
        <v>6593</v>
      </c>
      <c r="B2045" s="2" t="s">
        <v>2921</v>
      </c>
      <c r="C2045" s="2" t="str">
        <f t="shared" si="31"/>
        <v>TX0092088_001</v>
      </c>
      <c r="D2045" s="2" t="s">
        <v>4094</v>
      </c>
    </row>
    <row r="2046" spans="1:4" x14ac:dyDescent="0.25">
      <c r="A2046" s="2" t="s">
        <v>6594</v>
      </c>
      <c r="B2046" s="2" t="s">
        <v>2921</v>
      </c>
      <c r="C2046" s="2" t="str">
        <f t="shared" si="31"/>
        <v>TX0092142_001</v>
      </c>
      <c r="D2046" s="2" t="s">
        <v>4095</v>
      </c>
    </row>
    <row r="2047" spans="1:4" x14ac:dyDescent="0.25">
      <c r="A2047" s="2" t="s">
        <v>6595</v>
      </c>
      <c r="B2047" s="2" t="s">
        <v>2921</v>
      </c>
      <c r="C2047" s="2" t="str">
        <f t="shared" si="31"/>
        <v>TX0092151_001</v>
      </c>
      <c r="D2047" s="2" t="s">
        <v>4096</v>
      </c>
    </row>
    <row r="2048" spans="1:4" x14ac:dyDescent="0.25">
      <c r="A2048" s="2" t="s">
        <v>6596</v>
      </c>
      <c r="B2048" s="2" t="s">
        <v>2921</v>
      </c>
      <c r="C2048" s="2" t="str">
        <f t="shared" si="31"/>
        <v>TX0092223_001</v>
      </c>
      <c r="D2048" s="2" t="s">
        <v>4097</v>
      </c>
    </row>
    <row r="2049" spans="1:4" x14ac:dyDescent="0.25">
      <c r="A2049" s="2" t="s">
        <v>6597</v>
      </c>
      <c r="B2049" s="2" t="s">
        <v>2921</v>
      </c>
      <c r="C2049" s="2" t="str">
        <f t="shared" si="31"/>
        <v>TX0092274_001</v>
      </c>
      <c r="D2049" s="2" t="s">
        <v>4098</v>
      </c>
    </row>
    <row r="2050" spans="1:4" x14ac:dyDescent="0.25">
      <c r="A2050" s="2" t="s">
        <v>6598</v>
      </c>
      <c r="B2050" s="2" t="s">
        <v>2921</v>
      </c>
      <c r="C2050" s="2" t="str">
        <f t="shared" si="31"/>
        <v>TX0092282_001</v>
      </c>
      <c r="D2050" s="2" t="s">
        <v>4099</v>
      </c>
    </row>
    <row r="2051" spans="1:4" x14ac:dyDescent="0.25">
      <c r="A2051" s="2" t="s">
        <v>6598</v>
      </c>
      <c r="B2051" s="2" t="s">
        <v>2940</v>
      </c>
      <c r="C2051" s="2" t="str">
        <f t="shared" ref="C2051:C2114" si="32">A2051 &amp; "_" &amp; B2051</f>
        <v>TX0092282_006</v>
      </c>
      <c r="D2051" s="2" t="s">
        <v>4099</v>
      </c>
    </row>
    <row r="2052" spans="1:4" x14ac:dyDescent="0.25">
      <c r="A2052" s="2" t="s">
        <v>6598</v>
      </c>
      <c r="B2052" s="2" t="s">
        <v>2936</v>
      </c>
      <c r="C2052" s="2" t="str">
        <f t="shared" si="32"/>
        <v>TX0092282_004</v>
      </c>
      <c r="D2052" s="2" t="s">
        <v>4099</v>
      </c>
    </row>
    <row r="2053" spans="1:4" x14ac:dyDescent="0.25">
      <c r="A2053" s="2" t="s">
        <v>6598</v>
      </c>
      <c r="B2053" s="2" t="s">
        <v>2924</v>
      </c>
      <c r="C2053" s="2" t="str">
        <f t="shared" si="32"/>
        <v>TX0092282_003</v>
      </c>
      <c r="D2053" s="2" t="s">
        <v>4099</v>
      </c>
    </row>
    <row r="2054" spans="1:4" x14ac:dyDescent="0.25">
      <c r="A2054" s="2" t="s">
        <v>6598</v>
      </c>
      <c r="B2054" s="2" t="s">
        <v>2934</v>
      </c>
      <c r="C2054" s="2" t="str">
        <f t="shared" si="32"/>
        <v>TX0092282_005</v>
      </c>
      <c r="D2054" s="2" t="s">
        <v>4099</v>
      </c>
    </row>
    <row r="2055" spans="1:4" x14ac:dyDescent="0.25">
      <c r="A2055" s="2" t="s">
        <v>6599</v>
      </c>
      <c r="B2055" s="2" t="s">
        <v>2921</v>
      </c>
      <c r="C2055" s="2" t="str">
        <f t="shared" si="32"/>
        <v>TX0092312_001</v>
      </c>
      <c r="D2055" s="2" t="s">
        <v>4100</v>
      </c>
    </row>
    <row r="2056" spans="1:4" x14ac:dyDescent="0.25">
      <c r="A2056" s="2" t="s">
        <v>6600</v>
      </c>
      <c r="B2056" s="2" t="s">
        <v>2921</v>
      </c>
      <c r="C2056" s="2" t="str">
        <f t="shared" si="32"/>
        <v>TX0092363_001</v>
      </c>
      <c r="D2056" s="2" t="s">
        <v>4101</v>
      </c>
    </row>
    <row r="2057" spans="1:4" x14ac:dyDescent="0.25">
      <c r="A2057" s="2" t="s">
        <v>6601</v>
      </c>
      <c r="B2057" s="2" t="s">
        <v>2921</v>
      </c>
      <c r="C2057" s="2" t="str">
        <f t="shared" si="32"/>
        <v>TX0092401_001</v>
      </c>
      <c r="D2057" s="2" t="s">
        <v>3931</v>
      </c>
    </row>
    <row r="2058" spans="1:4" x14ac:dyDescent="0.25">
      <c r="A2058" s="2" t="s">
        <v>6602</v>
      </c>
      <c r="B2058" s="2" t="s">
        <v>2921</v>
      </c>
      <c r="C2058" s="2" t="str">
        <f t="shared" si="32"/>
        <v>TX0092461_001</v>
      </c>
      <c r="D2058" s="2" t="s">
        <v>4102</v>
      </c>
    </row>
    <row r="2059" spans="1:4" x14ac:dyDescent="0.25">
      <c r="A2059" s="2" t="s">
        <v>6602</v>
      </c>
      <c r="B2059" s="2" t="s">
        <v>2924</v>
      </c>
      <c r="C2059" s="2" t="str">
        <f t="shared" si="32"/>
        <v>TX0092461_003</v>
      </c>
      <c r="D2059" s="2" t="s">
        <v>4102</v>
      </c>
    </row>
    <row r="2060" spans="1:4" x14ac:dyDescent="0.25">
      <c r="A2060" s="2" t="s">
        <v>6602</v>
      </c>
      <c r="B2060" s="2" t="s">
        <v>2923</v>
      </c>
      <c r="C2060" s="2" t="str">
        <f t="shared" si="32"/>
        <v>TX0092461_002</v>
      </c>
      <c r="D2060" s="2" t="s">
        <v>4102</v>
      </c>
    </row>
    <row r="2061" spans="1:4" x14ac:dyDescent="0.25">
      <c r="A2061" s="2" t="s">
        <v>6603</v>
      </c>
      <c r="B2061" s="2" t="s">
        <v>2921</v>
      </c>
      <c r="C2061" s="2" t="str">
        <f t="shared" si="32"/>
        <v>TX0092517_001</v>
      </c>
      <c r="D2061" s="2" t="s">
        <v>4103</v>
      </c>
    </row>
    <row r="2062" spans="1:4" x14ac:dyDescent="0.25">
      <c r="A2062" s="2" t="s">
        <v>6604</v>
      </c>
      <c r="B2062" s="2" t="s">
        <v>2921</v>
      </c>
      <c r="C2062" s="2" t="str">
        <f t="shared" si="32"/>
        <v>TX0092541_001</v>
      </c>
      <c r="D2062" s="2" t="s">
        <v>4104</v>
      </c>
    </row>
    <row r="2063" spans="1:4" x14ac:dyDescent="0.25">
      <c r="A2063" s="2" t="s">
        <v>6605</v>
      </c>
      <c r="B2063" s="2" t="s">
        <v>2921</v>
      </c>
      <c r="C2063" s="2" t="str">
        <f t="shared" si="32"/>
        <v>TX0092584_001</v>
      </c>
      <c r="D2063" s="2" t="s">
        <v>4105</v>
      </c>
    </row>
    <row r="2064" spans="1:4" x14ac:dyDescent="0.25">
      <c r="A2064" s="2" t="s">
        <v>6606</v>
      </c>
      <c r="B2064" s="2" t="s">
        <v>2921</v>
      </c>
      <c r="C2064" s="2" t="str">
        <f t="shared" si="32"/>
        <v>TX0092606_001</v>
      </c>
      <c r="D2064" s="2" t="s">
        <v>4106</v>
      </c>
    </row>
    <row r="2065" spans="1:4" x14ac:dyDescent="0.25">
      <c r="A2065" s="2" t="s">
        <v>6607</v>
      </c>
      <c r="B2065" s="2" t="s">
        <v>2921</v>
      </c>
      <c r="C2065" s="2" t="str">
        <f t="shared" si="32"/>
        <v>TX0092614_001</v>
      </c>
      <c r="D2065" s="2" t="s">
        <v>4107</v>
      </c>
    </row>
    <row r="2066" spans="1:4" x14ac:dyDescent="0.25">
      <c r="A2066" s="2" t="s">
        <v>6608</v>
      </c>
      <c r="B2066" s="2" t="s">
        <v>2921</v>
      </c>
      <c r="C2066" s="2" t="str">
        <f t="shared" si="32"/>
        <v>TX0092649_001</v>
      </c>
      <c r="D2066" s="2" t="s">
        <v>4108</v>
      </c>
    </row>
    <row r="2067" spans="1:4" x14ac:dyDescent="0.25">
      <c r="A2067" s="2" t="s">
        <v>6609</v>
      </c>
      <c r="B2067" s="2" t="s">
        <v>2921</v>
      </c>
      <c r="C2067" s="2" t="str">
        <f t="shared" si="32"/>
        <v>TX0092711_001</v>
      </c>
      <c r="D2067" s="2" t="s">
        <v>4109</v>
      </c>
    </row>
    <row r="2068" spans="1:4" x14ac:dyDescent="0.25">
      <c r="A2068" s="2" t="s">
        <v>6610</v>
      </c>
      <c r="B2068" s="2" t="s">
        <v>2921</v>
      </c>
      <c r="C2068" s="2" t="str">
        <f t="shared" si="32"/>
        <v>TX0092789_001</v>
      </c>
      <c r="D2068" s="2" t="s">
        <v>3433</v>
      </c>
    </row>
    <row r="2069" spans="1:4" x14ac:dyDescent="0.25">
      <c r="A2069" s="2" t="s">
        <v>6611</v>
      </c>
      <c r="B2069" s="2" t="s">
        <v>2921</v>
      </c>
      <c r="C2069" s="2" t="str">
        <f t="shared" si="32"/>
        <v>TX0092801_001</v>
      </c>
      <c r="D2069" s="2" t="s">
        <v>4110</v>
      </c>
    </row>
    <row r="2070" spans="1:4" x14ac:dyDescent="0.25">
      <c r="A2070" s="2" t="s">
        <v>6612</v>
      </c>
      <c r="B2070" s="2" t="s">
        <v>2921</v>
      </c>
      <c r="C2070" s="2" t="str">
        <f t="shared" si="32"/>
        <v>TX0092843_001</v>
      </c>
      <c r="D2070" s="2" t="s">
        <v>4111</v>
      </c>
    </row>
    <row r="2071" spans="1:4" x14ac:dyDescent="0.25">
      <c r="A2071" s="2" t="s">
        <v>6613</v>
      </c>
      <c r="B2071" s="2" t="s">
        <v>2921</v>
      </c>
      <c r="C2071" s="2" t="str">
        <f t="shared" si="32"/>
        <v>TX0092894_001</v>
      </c>
      <c r="D2071" s="2" t="s">
        <v>4112</v>
      </c>
    </row>
    <row r="2072" spans="1:4" x14ac:dyDescent="0.25">
      <c r="A2072" s="2" t="s">
        <v>6614</v>
      </c>
      <c r="B2072" s="2" t="s">
        <v>2921</v>
      </c>
      <c r="C2072" s="2" t="str">
        <f t="shared" si="32"/>
        <v>TX0092908_001</v>
      </c>
      <c r="D2072" s="2" t="s">
        <v>4113</v>
      </c>
    </row>
    <row r="2073" spans="1:4" x14ac:dyDescent="0.25">
      <c r="A2073" s="2" t="s">
        <v>6615</v>
      </c>
      <c r="B2073" s="2" t="s">
        <v>2921</v>
      </c>
      <c r="C2073" s="2" t="str">
        <f t="shared" si="32"/>
        <v>TX0092932_001</v>
      </c>
      <c r="D2073" s="2" t="s">
        <v>4114</v>
      </c>
    </row>
    <row r="2074" spans="1:4" x14ac:dyDescent="0.25">
      <c r="A2074" s="2" t="s">
        <v>6616</v>
      </c>
      <c r="B2074" s="2" t="s">
        <v>2921</v>
      </c>
      <c r="C2074" s="2" t="str">
        <f t="shared" si="32"/>
        <v>TX0092967_001</v>
      </c>
      <c r="D2074" s="2" t="s">
        <v>4115</v>
      </c>
    </row>
    <row r="2075" spans="1:4" x14ac:dyDescent="0.25">
      <c r="A2075" s="2" t="s">
        <v>6617</v>
      </c>
      <c r="B2075" s="2" t="s">
        <v>2921</v>
      </c>
      <c r="C2075" s="2" t="str">
        <f t="shared" si="32"/>
        <v>TX0092991_001</v>
      </c>
      <c r="D2075" s="2" t="s">
        <v>4116</v>
      </c>
    </row>
    <row r="2076" spans="1:4" x14ac:dyDescent="0.25">
      <c r="A2076" s="2" t="s">
        <v>6618</v>
      </c>
      <c r="B2076" s="2" t="s">
        <v>2921</v>
      </c>
      <c r="C2076" s="2" t="str">
        <f t="shared" si="32"/>
        <v>TX0093068_001</v>
      </c>
      <c r="D2076" s="2" t="s">
        <v>4117</v>
      </c>
    </row>
    <row r="2077" spans="1:4" x14ac:dyDescent="0.25">
      <c r="A2077" s="2" t="s">
        <v>6619</v>
      </c>
      <c r="B2077" s="2" t="s">
        <v>2921</v>
      </c>
      <c r="C2077" s="2" t="str">
        <f t="shared" si="32"/>
        <v>TX0093092_001</v>
      </c>
      <c r="D2077" s="2" t="s">
        <v>4118</v>
      </c>
    </row>
    <row r="2078" spans="1:4" x14ac:dyDescent="0.25">
      <c r="A2078" s="2" t="s">
        <v>6620</v>
      </c>
      <c r="B2078" s="2" t="s">
        <v>2921</v>
      </c>
      <c r="C2078" s="2" t="str">
        <f t="shared" si="32"/>
        <v>TX0093106_001</v>
      </c>
      <c r="D2078" s="2" t="s">
        <v>3524</v>
      </c>
    </row>
    <row r="2079" spans="1:4" x14ac:dyDescent="0.25">
      <c r="A2079" s="2" t="s">
        <v>6621</v>
      </c>
      <c r="B2079" s="2" t="s">
        <v>2921</v>
      </c>
      <c r="C2079" s="2" t="str">
        <f t="shared" si="32"/>
        <v>TX0093157_001</v>
      </c>
      <c r="D2079" s="2" t="s">
        <v>2986</v>
      </c>
    </row>
    <row r="2080" spans="1:4" x14ac:dyDescent="0.25">
      <c r="A2080" s="2" t="s">
        <v>6622</v>
      </c>
      <c r="B2080" s="2" t="s">
        <v>2921</v>
      </c>
      <c r="C2080" s="2" t="str">
        <f t="shared" si="32"/>
        <v>TX0093220_001</v>
      </c>
      <c r="D2080" s="2" t="s">
        <v>4119</v>
      </c>
    </row>
    <row r="2081" spans="1:4" x14ac:dyDescent="0.25">
      <c r="A2081" s="2" t="s">
        <v>6623</v>
      </c>
      <c r="B2081" s="2" t="s">
        <v>2921</v>
      </c>
      <c r="C2081" s="2" t="str">
        <f t="shared" si="32"/>
        <v>TX0093262_001</v>
      </c>
      <c r="D2081" s="2" t="s">
        <v>3517</v>
      </c>
    </row>
    <row r="2082" spans="1:4" x14ac:dyDescent="0.25">
      <c r="A2082" s="2" t="s">
        <v>6624</v>
      </c>
      <c r="B2082" s="2" t="s">
        <v>2921</v>
      </c>
      <c r="C2082" s="2" t="str">
        <f t="shared" si="32"/>
        <v>TX0093343_001</v>
      </c>
      <c r="D2082" s="2" t="s">
        <v>4120</v>
      </c>
    </row>
    <row r="2083" spans="1:4" x14ac:dyDescent="0.25">
      <c r="A2083" s="2" t="s">
        <v>6625</v>
      </c>
      <c r="B2083" s="2" t="s">
        <v>2921</v>
      </c>
      <c r="C2083" s="2" t="str">
        <f t="shared" si="32"/>
        <v>TX0093360_001</v>
      </c>
      <c r="D2083" s="2" t="s">
        <v>4121</v>
      </c>
    </row>
    <row r="2084" spans="1:4" x14ac:dyDescent="0.25">
      <c r="A2084" s="2" t="s">
        <v>6626</v>
      </c>
      <c r="B2084" s="2" t="s">
        <v>2921</v>
      </c>
      <c r="C2084" s="2" t="str">
        <f t="shared" si="32"/>
        <v>TX0093416_001</v>
      </c>
      <c r="D2084" s="2" t="s">
        <v>4122</v>
      </c>
    </row>
    <row r="2085" spans="1:4" x14ac:dyDescent="0.25">
      <c r="A2085" s="2" t="s">
        <v>6626</v>
      </c>
      <c r="B2085" s="2" t="s">
        <v>2923</v>
      </c>
      <c r="C2085" s="2" t="str">
        <f t="shared" si="32"/>
        <v>TX0093416_002</v>
      </c>
      <c r="D2085" s="2" t="s">
        <v>4122</v>
      </c>
    </row>
    <row r="2086" spans="1:4" x14ac:dyDescent="0.25">
      <c r="A2086" s="2" t="s">
        <v>6626</v>
      </c>
      <c r="B2086" s="2" t="s">
        <v>2924</v>
      </c>
      <c r="C2086" s="2" t="str">
        <f t="shared" si="32"/>
        <v>TX0093416_003</v>
      </c>
      <c r="D2086" s="2" t="s">
        <v>4122</v>
      </c>
    </row>
    <row r="2087" spans="1:4" x14ac:dyDescent="0.25">
      <c r="A2087" s="2" t="s">
        <v>6627</v>
      </c>
      <c r="B2087" s="2" t="s">
        <v>2921</v>
      </c>
      <c r="C2087" s="2" t="str">
        <f t="shared" si="32"/>
        <v>TX0093475_001</v>
      </c>
      <c r="D2087" s="2" t="s">
        <v>4123</v>
      </c>
    </row>
    <row r="2088" spans="1:4" x14ac:dyDescent="0.25">
      <c r="A2088" s="2" t="s">
        <v>6628</v>
      </c>
      <c r="B2088" s="2" t="s">
        <v>2921</v>
      </c>
      <c r="C2088" s="2" t="str">
        <f t="shared" si="32"/>
        <v>TX0093483_001</v>
      </c>
      <c r="D2088" s="2" t="s">
        <v>4124</v>
      </c>
    </row>
    <row r="2089" spans="1:4" x14ac:dyDescent="0.25">
      <c r="A2089" s="2" t="s">
        <v>6629</v>
      </c>
      <c r="B2089" s="2" t="s">
        <v>2921</v>
      </c>
      <c r="C2089" s="2" t="str">
        <f t="shared" si="32"/>
        <v>TX0093505_001</v>
      </c>
      <c r="D2089" s="2" t="s">
        <v>4125</v>
      </c>
    </row>
    <row r="2090" spans="1:4" x14ac:dyDescent="0.25">
      <c r="A2090" s="2" t="s">
        <v>6630</v>
      </c>
      <c r="B2090" s="2" t="s">
        <v>2921</v>
      </c>
      <c r="C2090" s="2" t="str">
        <f t="shared" si="32"/>
        <v>TX0093556_001</v>
      </c>
      <c r="D2090" s="2" t="s">
        <v>4126</v>
      </c>
    </row>
    <row r="2091" spans="1:4" x14ac:dyDescent="0.25">
      <c r="A2091" s="2" t="s">
        <v>6631</v>
      </c>
      <c r="B2091" s="2" t="s">
        <v>2921</v>
      </c>
      <c r="C2091" s="2" t="str">
        <f t="shared" si="32"/>
        <v>TX0093564_001</v>
      </c>
      <c r="D2091" s="2" t="s">
        <v>4127</v>
      </c>
    </row>
    <row r="2092" spans="1:4" x14ac:dyDescent="0.25">
      <c r="A2092" s="2" t="s">
        <v>6632</v>
      </c>
      <c r="B2092" s="2" t="s">
        <v>2921</v>
      </c>
      <c r="C2092" s="2" t="str">
        <f t="shared" si="32"/>
        <v>TX0093581_001</v>
      </c>
      <c r="D2092" s="2" t="s">
        <v>4128</v>
      </c>
    </row>
    <row r="2093" spans="1:4" x14ac:dyDescent="0.25">
      <c r="A2093" s="2" t="s">
        <v>6633</v>
      </c>
      <c r="B2093" s="2" t="s">
        <v>2921</v>
      </c>
      <c r="C2093" s="2" t="str">
        <f t="shared" si="32"/>
        <v>TX0093696_001</v>
      </c>
      <c r="D2093" s="2" t="s">
        <v>4129</v>
      </c>
    </row>
    <row r="2094" spans="1:4" x14ac:dyDescent="0.25">
      <c r="A2094" s="2" t="s">
        <v>6634</v>
      </c>
      <c r="B2094" s="2" t="s">
        <v>2921</v>
      </c>
      <c r="C2094" s="2" t="str">
        <f t="shared" si="32"/>
        <v>TX0093726_001</v>
      </c>
      <c r="D2094" s="2" t="s">
        <v>4130</v>
      </c>
    </row>
    <row r="2095" spans="1:4" x14ac:dyDescent="0.25">
      <c r="A2095" s="2" t="s">
        <v>6635</v>
      </c>
      <c r="B2095" s="2" t="s">
        <v>2921</v>
      </c>
      <c r="C2095" s="2" t="str">
        <f t="shared" si="32"/>
        <v>TX0093823_001</v>
      </c>
      <c r="D2095" s="2" t="s">
        <v>4131</v>
      </c>
    </row>
    <row r="2096" spans="1:4" x14ac:dyDescent="0.25">
      <c r="A2096" s="2" t="s">
        <v>6636</v>
      </c>
      <c r="B2096" s="2" t="s">
        <v>2921</v>
      </c>
      <c r="C2096" s="2" t="str">
        <f t="shared" si="32"/>
        <v>TX0093891_001</v>
      </c>
      <c r="D2096" s="2" t="s">
        <v>4132</v>
      </c>
    </row>
    <row r="2097" spans="1:4" x14ac:dyDescent="0.25">
      <c r="A2097" s="2" t="s">
        <v>6637</v>
      </c>
      <c r="B2097" s="2" t="s">
        <v>2921</v>
      </c>
      <c r="C2097" s="2" t="str">
        <f t="shared" si="32"/>
        <v>TX0094056_001</v>
      </c>
      <c r="D2097" s="2" t="s">
        <v>4133</v>
      </c>
    </row>
    <row r="2098" spans="1:4" x14ac:dyDescent="0.25">
      <c r="A2098" s="2" t="s">
        <v>6638</v>
      </c>
      <c r="B2098" s="2" t="s">
        <v>2921</v>
      </c>
      <c r="C2098" s="2" t="str">
        <f t="shared" si="32"/>
        <v>TX0094129_001</v>
      </c>
      <c r="D2098" s="2" t="s">
        <v>4134</v>
      </c>
    </row>
    <row r="2099" spans="1:4" x14ac:dyDescent="0.25">
      <c r="A2099" s="2" t="s">
        <v>6639</v>
      </c>
      <c r="B2099" s="2" t="s">
        <v>2921</v>
      </c>
      <c r="C2099" s="2" t="str">
        <f t="shared" si="32"/>
        <v>TX0094145_001</v>
      </c>
      <c r="D2099" s="2" t="s">
        <v>4135</v>
      </c>
    </row>
    <row r="2100" spans="1:4" x14ac:dyDescent="0.25">
      <c r="A2100" s="2" t="s">
        <v>6640</v>
      </c>
      <c r="B2100" s="2" t="s">
        <v>2921</v>
      </c>
      <c r="C2100" s="2" t="str">
        <f t="shared" si="32"/>
        <v>TX0094188_001</v>
      </c>
      <c r="D2100" s="2" t="s">
        <v>3917</v>
      </c>
    </row>
    <row r="2101" spans="1:4" x14ac:dyDescent="0.25">
      <c r="A2101" s="2" t="s">
        <v>6641</v>
      </c>
      <c r="B2101" s="2" t="s">
        <v>2921</v>
      </c>
      <c r="C2101" s="2" t="str">
        <f t="shared" si="32"/>
        <v>TX0094226_001</v>
      </c>
      <c r="D2101" s="2" t="s">
        <v>3404</v>
      </c>
    </row>
    <row r="2102" spans="1:4" x14ac:dyDescent="0.25">
      <c r="A2102" s="2" t="s">
        <v>6642</v>
      </c>
      <c r="B2102" s="2" t="s">
        <v>2921</v>
      </c>
      <c r="C2102" s="2" t="str">
        <f t="shared" si="32"/>
        <v>TX0094307_001</v>
      </c>
      <c r="D2102" s="2" t="s">
        <v>4136</v>
      </c>
    </row>
    <row r="2103" spans="1:4" x14ac:dyDescent="0.25">
      <c r="A2103" s="2" t="s">
        <v>6642</v>
      </c>
      <c r="B2103" s="2" t="s">
        <v>2923</v>
      </c>
      <c r="C2103" s="2" t="str">
        <f t="shared" si="32"/>
        <v>TX0094307_002</v>
      </c>
      <c r="D2103" s="2" t="s">
        <v>4136</v>
      </c>
    </row>
    <row r="2104" spans="1:4" x14ac:dyDescent="0.25">
      <c r="A2104" s="2" t="s">
        <v>6643</v>
      </c>
      <c r="B2104" s="2" t="s">
        <v>2921</v>
      </c>
      <c r="C2104" s="2" t="str">
        <f t="shared" si="32"/>
        <v>TX0094412_001</v>
      </c>
      <c r="D2104" s="2" t="s">
        <v>3909</v>
      </c>
    </row>
    <row r="2105" spans="1:4" x14ac:dyDescent="0.25">
      <c r="A2105" s="2" t="s">
        <v>6644</v>
      </c>
      <c r="B2105" s="2" t="s">
        <v>2921</v>
      </c>
      <c r="C2105" s="2" t="str">
        <f t="shared" si="32"/>
        <v>TX0094463_001</v>
      </c>
      <c r="D2105" s="2" t="s">
        <v>3963</v>
      </c>
    </row>
    <row r="2106" spans="1:4" x14ac:dyDescent="0.25">
      <c r="A2106" s="2" t="s">
        <v>6645</v>
      </c>
      <c r="B2106" s="2" t="s">
        <v>2921</v>
      </c>
      <c r="C2106" s="2" t="str">
        <f t="shared" si="32"/>
        <v>TX0094552_001</v>
      </c>
      <c r="D2106" s="2" t="s">
        <v>4137</v>
      </c>
    </row>
    <row r="2107" spans="1:4" x14ac:dyDescent="0.25">
      <c r="A2107" s="2" t="s">
        <v>6646</v>
      </c>
      <c r="B2107" s="2" t="s">
        <v>2921</v>
      </c>
      <c r="C2107" s="2" t="str">
        <f t="shared" si="32"/>
        <v>TX0094650_001</v>
      </c>
      <c r="D2107" s="2" t="s">
        <v>3974</v>
      </c>
    </row>
    <row r="2108" spans="1:4" x14ac:dyDescent="0.25">
      <c r="A2108" s="2" t="s">
        <v>6647</v>
      </c>
      <c r="B2108" s="2" t="s">
        <v>2921</v>
      </c>
      <c r="C2108" s="2" t="str">
        <f t="shared" si="32"/>
        <v>TX0094684_001</v>
      </c>
      <c r="D2108" s="2" t="s">
        <v>4138</v>
      </c>
    </row>
    <row r="2109" spans="1:4" x14ac:dyDescent="0.25">
      <c r="A2109" s="2" t="s">
        <v>6648</v>
      </c>
      <c r="B2109" s="2" t="s">
        <v>2921</v>
      </c>
      <c r="C2109" s="2" t="str">
        <f t="shared" si="32"/>
        <v>TX0094706_001</v>
      </c>
      <c r="D2109" s="2" t="s">
        <v>4139</v>
      </c>
    </row>
    <row r="2110" spans="1:4" x14ac:dyDescent="0.25">
      <c r="A2110" s="2" t="s">
        <v>6649</v>
      </c>
      <c r="B2110" s="2" t="s">
        <v>2921</v>
      </c>
      <c r="C2110" s="2" t="str">
        <f t="shared" si="32"/>
        <v>TX0094790_001</v>
      </c>
      <c r="D2110" s="2" t="s">
        <v>3404</v>
      </c>
    </row>
    <row r="2111" spans="1:4" x14ac:dyDescent="0.25">
      <c r="A2111" s="2" t="s">
        <v>6650</v>
      </c>
      <c r="B2111" s="2" t="s">
        <v>2921</v>
      </c>
      <c r="C2111" s="2" t="str">
        <f t="shared" si="32"/>
        <v>TX0094803_001</v>
      </c>
      <c r="D2111" s="2" t="s">
        <v>4140</v>
      </c>
    </row>
    <row r="2112" spans="1:4" x14ac:dyDescent="0.25">
      <c r="A2112" s="2" t="s">
        <v>6651</v>
      </c>
      <c r="B2112" s="2" t="s">
        <v>2921</v>
      </c>
      <c r="C2112" s="2" t="str">
        <f t="shared" si="32"/>
        <v>TX0094927_001</v>
      </c>
      <c r="D2112" s="2" t="s">
        <v>4141</v>
      </c>
    </row>
    <row r="2113" spans="1:4" x14ac:dyDescent="0.25">
      <c r="A2113" s="2" t="s">
        <v>6652</v>
      </c>
      <c r="B2113" s="2" t="s">
        <v>2921</v>
      </c>
      <c r="C2113" s="2" t="str">
        <f t="shared" si="32"/>
        <v>TX0094935_001</v>
      </c>
      <c r="D2113" s="2" t="s">
        <v>4142</v>
      </c>
    </row>
    <row r="2114" spans="1:4" x14ac:dyDescent="0.25">
      <c r="A2114" s="2" t="s">
        <v>6653</v>
      </c>
      <c r="B2114" s="2" t="s">
        <v>2921</v>
      </c>
      <c r="C2114" s="2" t="str">
        <f t="shared" si="32"/>
        <v>TX0094986_001</v>
      </c>
      <c r="D2114" s="2" t="s">
        <v>4143</v>
      </c>
    </row>
    <row r="2115" spans="1:4" x14ac:dyDescent="0.25">
      <c r="A2115" s="2" t="s">
        <v>6654</v>
      </c>
      <c r="B2115" s="2" t="s">
        <v>2921</v>
      </c>
      <c r="C2115" s="2" t="str">
        <f t="shared" ref="C2115:C2178" si="33">A2115 &amp; "_" &amp; B2115</f>
        <v>TX0095125_001</v>
      </c>
      <c r="D2115" s="2" t="s">
        <v>3286</v>
      </c>
    </row>
    <row r="2116" spans="1:4" x14ac:dyDescent="0.25">
      <c r="A2116" s="2" t="s">
        <v>6655</v>
      </c>
      <c r="B2116" s="2" t="s">
        <v>2921</v>
      </c>
      <c r="C2116" s="2" t="str">
        <f t="shared" si="33"/>
        <v>TX0095184_001</v>
      </c>
      <c r="D2116" s="2" t="s">
        <v>4144</v>
      </c>
    </row>
    <row r="2117" spans="1:4" x14ac:dyDescent="0.25">
      <c r="A2117" s="2" t="s">
        <v>6656</v>
      </c>
      <c r="B2117" s="2" t="s">
        <v>2921</v>
      </c>
      <c r="C2117" s="2" t="str">
        <f t="shared" si="33"/>
        <v>TX0095451_001</v>
      </c>
      <c r="D2117" s="2" t="s">
        <v>4145</v>
      </c>
    </row>
    <row r="2118" spans="1:4" x14ac:dyDescent="0.25">
      <c r="A2118" s="2" t="s">
        <v>6657</v>
      </c>
      <c r="B2118" s="2" t="s">
        <v>2921</v>
      </c>
      <c r="C2118" s="2" t="str">
        <f t="shared" si="33"/>
        <v>TX0095478_001</v>
      </c>
      <c r="D2118" s="2" t="s">
        <v>4146</v>
      </c>
    </row>
    <row r="2119" spans="1:4" x14ac:dyDescent="0.25">
      <c r="A2119" s="2" t="s">
        <v>6658</v>
      </c>
      <c r="B2119" s="2" t="s">
        <v>2921</v>
      </c>
      <c r="C2119" s="2" t="str">
        <f t="shared" si="33"/>
        <v>TX0095508_001</v>
      </c>
      <c r="D2119" s="2" t="s">
        <v>4147</v>
      </c>
    </row>
    <row r="2120" spans="1:4" x14ac:dyDescent="0.25">
      <c r="A2120" s="2" t="s">
        <v>6659</v>
      </c>
      <c r="B2120" s="2" t="s">
        <v>2921</v>
      </c>
      <c r="C2120" s="2" t="str">
        <f t="shared" si="33"/>
        <v>TX0095532_001</v>
      </c>
      <c r="D2120" s="2" t="s">
        <v>4148</v>
      </c>
    </row>
    <row r="2121" spans="1:4" x14ac:dyDescent="0.25">
      <c r="A2121" s="2" t="s">
        <v>6660</v>
      </c>
      <c r="B2121" s="2" t="s">
        <v>2936</v>
      </c>
      <c r="C2121" s="2" t="str">
        <f t="shared" si="33"/>
        <v>TX0095559_004</v>
      </c>
      <c r="D2121" s="2" t="s">
        <v>4149</v>
      </c>
    </row>
    <row r="2122" spans="1:4" x14ac:dyDescent="0.25">
      <c r="A2122" s="2" t="s">
        <v>6660</v>
      </c>
      <c r="B2122" s="2" t="s">
        <v>2921</v>
      </c>
      <c r="C2122" s="2" t="str">
        <f t="shared" si="33"/>
        <v>TX0095559_001</v>
      </c>
      <c r="D2122" s="2" t="s">
        <v>4149</v>
      </c>
    </row>
    <row r="2123" spans="1:4" x14ac:dyDescent="0.25">
      <c r="A2123" s="2" t="s">
        <v>6660</v>
      </c>
      <c r="B2123" s="2" t="s">
        <v>2923</v>
      </c>
      <c r="C2123" s="2" t="str">
        <f t="shared" si="33"/>
        <v>TX0095559_002</v>
      </c>
      <c r="D2123" s="2" t="s">
        <v>4149</v>
      </c>
    </row>
    <row r="2124" spans="1:4" x14ac:dyDescent="0.25">
      <c r="A2124" s="2" t="s">
        <v>6660</v>
      </c>
      <c r="B2124" s="2" t="s">
        <v>2924</v>
      </c>
      <c r="C2124" s="2" t="str">
        <f t="shared" si="33"/>
        <v>TX0095559_003</v>
      </c>
      <c r="D2124" s="2" t="s">
        <v>4149</v>
      </c>
    </row>
    <row r="2125" spans="1:4" x14ac:dyDescent="0.25">
      <c r="A2125" s="2" t="s">
        <v>6661</v>
      </c>
      <c r="B2125" s="2" t="s">
        <v>2921</v>
      </c>
      <c r="C2125" s="2" t="str">
        <f t="shared" si="33"/>
        <v>TX0095583_001</v>
      </c>
      <c r="D2125" s="2" t="s">
        <v>3257</v>
      </c>
    </row>
    <row r="2126" spans="1:4" x14ac:dyDescent="0.25">
      <c r="A2126" s="2" t="s">
        <v>6662</v>
      </c>
      <c r="B2126" s="2" t="s">
        <v>2921</v>
      </c>
      <c r="C2126" s="2" t="str">
        <f t="shared" si="33"/>
        <v>TX0095605_001</v>
      </c>
      <c r="D2126" s="2" t="s">
        <v>3075</v>
      </c>
    </row>
    <row r="2127" spans="1:4" x14ac:dyDescent="0.25">
      <c r="A2127" s="2" t="s">
        <v>6663</v>
      </c>
      <c r="B2127" s="2" t="s">
        <v>2921</v>
      </c>
      <c r="C2127" s="2" t="str">
        <f t="shared" si="33"/>
        <v>TX0095630_001</v>
      </c>
      <c r="D2127" s="2" t="s">
        <v>4150</v>
      </c>
    </row>
    <row r="2128" spans="1:4" x14ac:dyDescent="0.25">
      <c r="A2128" s="2" t="s">
        <v>6664</v>
      </c>
      <c r="B2128" s="2" t="s">
        <v>2921</v>
      </c>
      <c r="C2128" s="2" t="str">
        <f t="shared" si="33"/>
        <v>TX0095656_001</v>
      </c>
      <c r="D2128" s="2" t="s">
        <v>4151</v>
      </c>
    </row>
    <row r="2129" spans="1:4" x14ac:dyDescent="0.25">
      <c r="A2129" s="2" t="s">
        <v>6665</v>
      </c>
      <c r="B2129" s="2" t="s">
        <v>2921</v>
      </c>
      <c r="C2129" s="2" t="str">
        <f t="shared" si="33"/>
        <v>TX0095702_001</v>
      </c>
      <c r="D2129" s="2" t="s">
        <v>4152</v>
      </c>
    </row>
    <row r="2130" spans="1:4" x14ac:dyDescent="0.25">
      <c r="A2130" s="2" t="s">
        <v>6666</v>
      </c>
      <c r="B2130" s="2" t="s">
        <v>2921</v>
      </c>
      <c r="C2130" s="2" t="str">
        <f t="shared" si="33"/>
        <v>TX0095761_001</v>
      </c>
      <c r="D2130" s="2" t="s">
        <v>4153</v>
      </c>
    </row>
    <row r="2131" spans="1:4" x14ac:dyDescent="0.25">
      <c r="A2131" s="2" t="s">
        <v>6667</v>
      </c>
      <c r="B2131" s="2" t="s">
        <v>2921</v>
      </c>
      <c r="C2131" s="2" t="str">
        <f t="shared" si="33"/>
        <v>TX0095770_001</v>
      </c>
      <c r="D2131" s="2" t="s">
        <v>4154</v>
      </c>
    </row>
    <row r="2132" spans="1:4" x14ac:dyDescent="0.25">
      <c r="A2132" s="2" t="s">
        <v>6668</v>
      </c>
      <c r="B2132" s="2" t="s">
        <v>2921</v>
      </c>
      <c r="C2132" s="2" t="str">
        <f t="shared" si="33"/>
        <v>TX0095842_001</v>
      </c>
      <c r="D2132" s="2" t="s">
        <v>4155</v>
      </c>
    </row>
    <row r="2133" spans="1:4" x14ac:dyDescent="0.25">
      <c r="A2133" s="2" t="s">
        <v>6669</v>
      </c>
      <c r="B2133" s="2" t="s">
        <v>2936</v>
      </c>
      <c r="C2133" s="2" t="str">
        <f t="shared" si="33"/>
        <v>TX0095869_004</v>
      </c>
      <c r="D2133" s="2" t="s">
        <v>2995</v>
      </c>
    </row>
    <row r="2134" spans="1:4" x14ac:dyDescent="0.25">
      <c r="A2134" s="2" t="s">
        <v>6669</v>
      </c>
      <c r="B2134" s="2" t="s">
        <v>4156</v>
      </c>
      <c r="C2134" s="2" t="str">
        <f t="shared" si="33"/>
        <v>TX0095869_002C</v>
      </c>
      <c r="D2134" s="2" t="s">
        <v>2995</v>
      </c>
    </row>
    <row r="2135" spans="1:4" x14ac:dyDescent="0.25">
      <c r="A2135" s="2" t="s">
        <v>6670</v>
      </c>
      <c r="B2135" s="2" t="s">
        <v>2921</v>
      </c>
      <c r="C2135" s="2" t="str">
        <f t="shared" si="33"/>
        <v>TX0095923_001</v>
      </c>
      <c r="D2135" s="2" t="s">
        <v>4157</v>
      </c>
    </row>
    <row r="2136" spans="1:4" x14ac:dyDescent="0.25">
      <c r="A2136" s="2" t="s">
        <v>6671</v>
      </c>
      <c r="B2136" s="2" t="s">
        <v>2921</v>
      </c>
      <c r="C2136" s="2" t="str">
        <f t="shared" si="33"/>
        <v>TX0096059_001</v>
      </c>
      <c r="D2136" s="2" t="s">
        <v>4158</v>
      </c>
    </row>
    <row r="2137" spans="1:4" x14ac:dyDescent="0.25">
      <c r="A2137" s="2" t="s">
        <v>6672</v>
      </c>
      <c r="B2137" s="2" t="s">
        <v>2921</v>
      </c>
      <c r="C2137" s="2" t="str">
        <f t="shared" si="33"/>
        <v>TX0096172_001</v>
      </c>
      <c r="D2137" s="2" t="s">
        <v>3110</v>
      </c>
    </row>
    <row r="2138" spans="1:4" x14ac:dyDescent="0.25">
      <c r="A2138" s="2" t="s">
        <v>6672</v>
      </c>
      <c r="B2138" s="2" t="s">
        <v>2923</v>
      </c>
      <c r="C2138" s="2" t="str">
        <f t="shared" si="33"/>
        <v>TX0096172_002</v>
      </c>
      <c r="D2138" s="2" t="s">
        <v>3110</v>
      </c>
    </row>
    <row r="2139" spans="1:4" x14ac:dyDescent="0.25">
      <c r="A2139" s="2" t="s">
        <v>6673</v>
      </c>
      <c r="B2139" s="2" t="s">
        <v>2940</v>
      </c>
      <c r="C2139" s="2" t="str">
        <f t="shared" si="33"/>
        <v>TX0096474_006</v>
      </c>
      <c r="D2139" s="2" t="s">
        <v>4159</v>
      </c>
    </row>
    <row r="2140" spans="1:4" x14ac:dyDescent="0.25">
      <c r="A2140" s="2" t="s">
        <v>6673</v>
      </c>
      <c r="B2140" s="2" t="s">
        <v>2921</v>
      </c>
      <c r="C2140" s="2" t="str">
        <f t="shared" si="33"/>
        <v>TX0096474_001</v>
      </c>
      <c r="D2140" s="2" t="s">
        <v>4159</v>
      </c>
    </row>
    <row r="2141" spans="1:4" x14ac:dyDescent="0.25">
      <c r="A2141" s="2" t="s">
        <v>6674</v>
      </c>
      <c r="B2141" s="2" t="s">
        <v>2921</v>
      </c>
      <c r="C2141" s="2" t="str">
        <f t="shared" si="33"/>
        <v>TX0096679_001</v>
      </c>
      <c r="D2141" s="2" t="s">
        <v>3286</v>
      </c>
    </row>
    <row r="2142" spans="1:4" x14ac:dyDescent="0.25">
      <c r="A2142" s="2" t="s">
        <v>6675</v>
      </c>
      <c r="B2142" s="2" t="s">
        <v>2921</v>
      </c>
      <c r="C2142" s="2" t="str">
        <f t="shared" si="33"/>
        <v>TX0096709_001</v>
      </c>
      <c r="D2142" s="2" t="s">
        <v>4160</v>
      </c>
    </row>
    <row r="2143" spans="1:4" x14ac:dyDescent="0.25">
      <c r="A2143" s="2" t="s">
        <v>6676</v>
      </c>
      <c r="B2143" s="2" t="s">
        <v>2921</v>
      </c>
      <c r="C2143" s="2" t="str">
        <f t="shared" si="33"/>
        <v>TX0096768_001</v>
      </c>
      <c r="D2143" s="2" t="s">
        <v>4161</v>
      </c>
    </row>
    <row r="2144" spans="1:4" x14ac:dyDescent="0.25">
      <c r="A2144" s="2" t="s">
        <v>6677</v>
      </c>
      <c r="B2144" s="2" t="s">
        <v>2921</v>
      </c>
      <c r="C2144" s="2" t="str">
        <f t="shared" si="33"/>
        <v>TX0096814_001</v>
      </c>
      <c r="D2144" s="2" t="s">
        <v>4162</v>
      </c>
    </row>
    <row r="2145" spans="1:4" x14ac:dyDescent="0.25">
      <c r="A2145" s="2" t="s">
        <v>6678</v>
      </c>
      <c r="B2145" s="2" t="s">
        <v>2921</v>
      </c>
      <c r="C2145" s="2" t="str">
        <f t="shared" si="33"/>
        <v>TX0096881_001</v>
      </c>
      <c r="D2145" s="2" t="s">
        <v>3670</v>
      </c>
    </row>
    <row r="2146" spans="1:4" x14ac:dyDescent="0.25">
      <c r="A2146" s="2" t="s">
        <v>6679</v>
      </c>
      <c r="B2146" s="2" t="s">
        <v>2921</v>
      </c>
      <c r="C2146" s="2" t="str">
        <f t="shared" si="33"/>
        <v>TX0096911_001</v>
      </c>
      <c r="D2146" s="2" t="s">
        <v>4163</v>
      </c>
    </row>
    <row r="2147" spans="1:4" x14ac:dyDescent="0.25">
      <c r="A2147" s="2" t="s">
        <v>6680</v>
      </c>
      <c r="B2147" s="2" t="s">
        <v>2921</v>
      </c>
      <c r="C2147" s="2" t="str">
        <f t="shared" si="33"/>
        <v>TX0096920_001</v>
      </c>
      <c r="D2147" s="2" t="s">
        <v>4164</v>
      </c>
    </row>
    <row r="2148" spans="1:4" x14ac:dyDescent="0.25">
      <c r="A2148" s="2" t="s">
        <v>6681</v>
      </c>
      <c r="B2148" s="2" t="s">
        <v>2921</v>
      </c>
      <c r="C2148" s="2" t="str">
        <f t="shared" si="33"/>
        <v>TX0097047_001</v>
      </c>
      <c r="D2148" s="2" t="s">
        <v>4165</v>
      </c>
    </row>
    <row r="2149" spans="1:4" x14ac:dyDescent="0.25">
      <c r="A2149" s="2" t="s">
        <v>6682</v>
      </c>
      <c r="B2149" s="2" t="s">
        <v>2923</v>
      </c>
      <c r="C2149" s="2" t="str">
        <f t="shared" si="33"/>
        <v>TX0097055_002</v>
      </c>
      <c r="D2149" s="2" t="s">
        <v>4166</v>
      </c>
    </row>
    <row r="2150" spans="1:4" x14ac:dyDescent="0.25">
      <c r="A2150" s="2" t="s">
        <v>6683</v>
      </c>
      <c r="B2150" s="2" t="s">
        <v>2921</v>
      </c>
      <c r="C2150" s="2" t="str">
        <f t="shared" si="33"/>
        <v>TX0097063_001</v>
      </c>
      <c r="D2150" s="2" t="s">
        <v>4167</v>
      </c>
    </row>
    <row r="2151" spans="1:4" x14ac:dyDescent="0.25">
      <c r="A2151" s="2" t="s">
        <v>6684</v>
      </c>
      <c r="B2151" s="2" t="s">
        <v>2921</v>
      </c>
      <c r="C2151" s="2" t="str">
        <f t="shared" si="33"/>
        <v>TX0097071_001</v>
      </c>
      <c r="D2151" s="2" t="s">
        <v>4168</v>
      </c>
    </row>
    <row r="2152" spans="1:4" x14ac:dyDescent="0.25">
      <c r="A2152" s="2" t="s">
        <v>6685</v>
      </c>
      <c r="B2152" s="2" t="s">
        <v>2921</v>
      </c>
      <c r="C2152" s="2" t="str">
        <f t="shared" si="33"/>
        <v>TX0097209_001</v>
      </c>
      <c r="D2152" s="2" t="s">
        <v>4169</v>
      </c>
    </row>
    <row r="2153" spans="1:4" x14ac:dyDescent="0.25">
      <c r="A2153" s="2" t="s">
        <v>6686</v>
      </c>
      <c r="B2153" s="2" t="s">
        <v>2921</v>
      </c>
      <c r="C2153" s="2" t="str">
        <f t="shared" si="33"/>
        <v>TX0097225_001</v>
      </c>
      <c r="D2153" s="2" t="s">
        <v>4170</v>
      </c>
    </row>
    <row r="2154" spans="1:4" x14ac:dyDescent="0.25">
      <c r="A2154" s="2" t="s">
        <v>6687</v>
      </c>
      <c r="B2154" s="2" t="s">
        <v>2921</v>
      </c>
      <c r="C2154" s="2" t="str">
        <f t="shared" si="33"/>
        <v>TX0097233_001</v>
      </c>
      <c r="D2154" s="2" t="s">
        <v>4171</v>
      </c>
    </row>
    <row r="2155" spans="1:4" x14ac:dyDescent="0.25">
      <c r="A2155" s="2" t="s">
        <v>6688</v>
      </c>
      <c r="B2155" s="2" t="s">
        <v>2921</v>
      </c>
      <c r="C2155" s="2" t="str">
        <f t="shared" si="33"/>
        <v>TX0097292_001</v>
      </c>
      <c r="D2155" s="2" t="s">
        <v>4172</v>
      </c>
    </row>
    <row r="2156" spans="1:4" x14ac:dyDescent="0.25">
      <c r="A2156" s="2" t="s">
        <v>6689</v>
      </c>
      <c r="B2156" s="2" t="s">
        <v>2921</v>
      </c>
      <c r="C2156" s="2" t="str">
        <f t="shared" si="33"/>
        <v>TX0097373_001</v>
      </c>
      <c r="D2156" s="2" t="s">
        <v>4173</v>
      </c>
    </row>
    <row r="2157" spans="1:4" x14ac:dyDescent="0.25">
      <c r="A2157" s="2" t="s">
        <v>6690</v>
      </c>
      <c r="B2157" s="2" t="s">
        <v>2921</v>
      </c>
      <c r="C2157" s="2" t="str">
        <f t="shared" si="33"/>
        <v>TX0097527_001</v>
      </c>
      <c r="D2157" s="2" t="s">
        <v>4174</v>
      </c>
    </row>
    <row r="2158" spans="1:4" x14ac:dyDescent="0.25">
      <c r="A2158" s="2" t="s">
        <v>6691</v>
      </c>
      <c r="B2158" s="2" t="s">
        <v>2921</v>
      </c>
      <c r="C2158" s="2" t="str">
        <f t="shared" si="33"/>
        <v>TX0097675_001</v>
      </c>
      <c r="D2158" s="2" t="s">
        <v>4014</v>
      </c>
    </row>
    <row r="2159" spans="1:4" x14ac:dyDescent="0.25">
      <c r="A2159" s="2" t="s">
        <v>6692</v>
      </c>
      <c r="B2159" s="2" t="s">
        <v>2921</v>
      </c>
      <c r="C2159" s="2" t="str">
        <f t="shared" si="33"/>
        <v>TX0097691_001</v>
      </c>
      <c r="D2159" s="2" t="s">
        <v>4014</v>
      </c>
    </row>
    <row r="2160" spans="1:4" x14ac:dyDescent="0.25">
      <c r="A2160" s="2" t="s">
        <v>6693</v>
      </c>
      <c r="B2160" s="2" t="s">
        <v>2921</v>
      </c>
      <c r="C2160" s="2" t="str">
        <f t="shared" si="33"/>
        <v>TX0097705_001</v>
      </c>
      <c r="D2160" s="2" t="s">
        <v>4175</v>
      </c>
    </row>
    <row r="2161" spans="1:4" x14ac:dyDescent="0.25">
      <c r="A2161" s="2" t="s">
        <v>6694</v>
      </c>
      <c r="B2161" s="2" t="s">
        <v>2921</v>
      </c>
      <c r="C2161" s="2" t="str">
        <f t="shared" si="33"/>
        <v>TX0097853_001</v>
      </c>
      <c r="D2161" s="2" t="s">
        <v>4176</v>
      </c>
    </row>
    <row r="2162" spans="1:4" x14ac:dyDescent="0.25">
      <c r="A2162" s="2" t="s">
        <v>6695</v>
      </c>
      <c r="B2162" s="2" t="s">
        <v>2921</v>
      </c>
      <c r="C2162" s="2" t="str">
        <f t="shared" si="33"/>
        <v>TX0097870_001</v>
      </c>
      <c r="D2162" s="2" t="s">
        <v>3509</v>
      </c>
    </row>
    <row r="2163" spans="1:4" x14ac:dyDescent="0.25">
      <c r="A2163" s="2" t="s">
        <v>6696</v>
      </c>
      <c r="B2163" s="2" t="s">
        <v>2921</v>
      </c>
      <c r="C2163" s="2" t="str">
        <f t="shared" si="33"/>
        <v>TX0097969_001</v>
      </c>
      <c r="D2163" s="2" t="s">
        <v>4177</v>
      </c>
    </row>
    <row r="2164" spans="1:4" x14ac:dyDescent="0.25">
      <c r="A2164" s="2" t="s">
        <v>6697</v>
      </c>
      <c r="B2164" s="2" t="s">
        <v>2921</v>
      </c>
      <c r="C2164" s="2" t="str">
        <f t="shared" si="33"/>
        <v>TX0097977_001</v>
      </c>
      <c r="D2164" s="2" t="s">
        <v>4178</v>
      </c>
    </row>
    <row r="2165" spans="1:4" x14ac:dyDescent="0.25">
      <c r="A2165" s="2" t="s">
        <v>6698</v>
      </c>
      <c r="B2165" s="2" t="s">
        <v>2921</v>
      </c>
      <c r="C2165" s="2" t="str">
        <f t="shared" si="33"/>
        <v>TX0097985_001</v>
      </c>
      <c r="D2165" s="2" t="s">
        <v>4179</v>
      </c>
    </row>
    <row r="2166" spans="1:4" x14ac:dyDescent="0.25">
      <c r="A2166" s="2" t="s">
        <v>6699</v>
      </c>
      <c r="B2166" s="2" t="s">
        <v>2921</v>
      </c>
      <c r="C2166" s="2" t="str">
        <f t="shared" si="33"/>
        <v>TX0098191_001</v>
      </c>
      <c r="D2166" s="2" t="s">
        <v>3110</v>
      </c>
    </row>
    <row r="2167" spans="1:4" x14ac:dyDescent="0.25">
      <c r="A2167" s="2" t="s">
        <v>6700</v>
      </c>
      <c r="B2167" s="2" t="s">
        <v>2921</v>
      </c>
      <c r="C2167" s="2" t="str">
        <f t="shared" si="33"/>
        <v>TX0098205_001</v>
      </c>
      <c r="D2167" s="2" t="s">
        <v>4180</v>
      </c>
    </row>
    <row r="2168" spans="1:4" x14ac:dyDescent="0.25">
      <c r="A2168" s="2" t="s">
        <v>6701</v>
      </c>
      <c r="B2168" s="2" t="s">
        <v>2921</v>
      </c>
      <c r="C2168" s="2" t="str">
        <f t="shared" si="33"/>
        <v>TX0098264_001</v>
      </c>
      <c r="D2168" s="2" t="s">
        <v>3286</v>
      </c>
    </row>
    <row r="2169" spans="1:4" x14ac:dyDescent="0.25">
      <c r="A2169" s="2" t="s">
        <v>6702</v>
      </c>
      <c r="B2169" s="2" t="s">
        <v>2921</v>
      </c>
      <c r="C2169" s="2" t="str">
        <f t="shared" si="33"/>
        <v>TX0098345_001</v>
      </c>
      <c r="D2169" s="2" t="s">
        <v>4181</v>
      </c>
    </row>
    <row r="2170" spans="1:4" x14ac:dyDescent="0.25">
      <c r="A2170" s="2" t="s">
        <v>6703</v>
      </c>
      <c r="B2170" s="2" t="s">
        <v>2921</v>
      </c>
      <c r="C2170" s="2" t="str">
        <f t="shared" si="33"/>
        <v>TX0098434_001</v>
      </c>
      <c r="D2170" s="2" t="s">
        <v>4182</v>
      </c>
    </row>
    <row r="2171" spans="1:4" x14ac:dyDescent="0.25">
      <c r="A2171" s="2" t="s">
        <v>6704</v>
      </c>
      <c r="B2171" s="2" t="s">
        <v>2921</v>
      </c>
      <c r="C2171" s="2" t="str">
        <f t="shared" si="33"/>
        <v>TX0098604_001</v>
      </c>
      <c r="D2171" s="2" t="s">
        <v>4183</v>
      </c>
    </row>
    <row r="2172" spans="1:4" x14ac:dyDescent="0.25">
      <c r="A2172" s="2" t="s">
        <v>6705</v>
      </c>
      <c r="B2172" s="2" t="s">
        <v>2921</v>
      </c>
      <c r="C2172" s="2" t="str">
        <f t="shared" si="33"/>
        <v>TX0098612_001</v>
      </c>
      <c r="D2172" s="2" t="s">
        <v>3843</v>
      </c>
    </row>
    <row r="2173" spans="1:4" x14ac:dyDescent="0.25">
      <c r="A2173" s="2" t="s">
        <v>6706</v>
      </c>
      <c r="B2173" s="2" t="s">
        <v>2921</v>
      </c>
      <c r="C2173" s="2" t="str">
        <f t="shared" si="33"/>
        <v>TX0098647_001</v>
      </c>
      <c r="D2173" s="2" t="s">
        <v>4184</v>
      </c>
    </row>
    <row r="2174" spans="1:4" x14ac:dyDescent="0.25">
      <c r="A2174" s="2" t="s">
        <v>6707</v>
      </c>
      <c r="B2174" s="2" t="s">
        <v>2921</v>
      </c>
      <c r="C2174" s="2" t="str">
        <f t="shared" si="33"/>
        <v>TX0098663_001</v>
      </c>
      <c r="D2174" s="2" t="s">
        <v>3517</v>
      </c>
    </row>
    <row r="2175" spans="1:4" x14ac:dyDescent="0.25">
      <c r="A2175" s="2" t="s">
        <v>6708</v>
      </c>
      <c r="B2175" s="2" t="s">
        <v>2921</v>
      </c>
      <c r="C2175" s="2" t="str">
        <f t="shared" si="33"/>
        <v>TX0098744_001</v>
      </c>
      <c r="D2175" s="2" t="s">
        <v>4185</v>
      </c>
    </row>
    <row r="2176" spans="1:4" x14ac:dyDescent="0.25">
      <c r="A2176" s="2" t="s">
        <v>6709</v>
      </c>
      <c r="B2176" s="2" t="s">
        <v>2921</v>
      </c>
      <c r="C2176" s="2" t="str">
        <f t="shared" si="33"/>
        <v>TX0098752_001</v>
      </c>
      <c r="D2176" s="2" t="s">
        <v>4186</v>
      </c>
    </row>
    <row r="2177" spans="1:4" x14ac:dyDescent="0.25">
      <c r="A2177" s="2" t="s">
        <v>6710</v>
      </c>
      <c r="B2177" s="2" t="s">
        <v>2921</v>
      </c>
      <c r="C2177" s="2" t="str">
        <f t="shared" si="33"/>
        <v>TX0098795_001</v>
      </c>
      <c r="D2177" s="2" t="s">
        <v>4187</v>
      </c>
    </row>
    <row r="2178" spans="1:4" x14ac:dyDescent="0.25">
      <c r="A2178" s="2" t="s">
        <v>6711</v>
      </c>
      <c r="B2178" s="2" t="s">
        <v>2921</v>
      </c>
      <c r="C2178" s="2" t="str">
        <f t="shared" si="33"/>
        <v>TX0098809_001</v>
      </c>
      <c r="D2178" s="2" t="s">
        <v>4188</v>
      </c>
    </row>
    <row r="2179" spans="1:4" x14ac:dyDescent="0.25">
      <c r="A2179" s="2" t="s">
        <v>6712</v>
      </c>
      <c r="B2179" s="2" t="s">
        <v>2921</v>
      </c>
      <c r="C2179" s="2" t="str">
        <f t="shared" ref="C2179:C2242" si="34">A2179 &amp; "_" &amp; B2179</f>
        <v>TX0098914_001</v>
      </c>
      <c r="D2179" s="2" t="s">
        <v>3279</v>
      </c>
    </row>
    <row r="2180" spans="1:4" x14ac:dyDescent="0.25">
      <c r="A2180" s="2" t="s">
        <v>6713</v>
      </c>
      <c r="B2180" s="2" t="s">
        <v>2921</v>
      </c>
      <c r="C2180" s="2" t="str">
        <f t="shared" si="34"/>
        <v>TX0098949_001</v>
      </c>
      <c r="D2180" s="2" t="s">
        <v>4189</v>
      </c>
    </row>
    <row r="2181" spans="1:4" x14ac:dyDescent="0.25">
      <c r="A2181" s="2" t="s">
        <v>6714</v>
      </c>
      <c r="B2181" s="2" t="s">
        <v>2921</v>
      </c>
      <c r="C2181" s="2" t="str">
        <f t="shared" si="34"/>
        <v>TX0098957_001</v>
      </c>
      <c r="D2181" s="2" t="s">
        <v>4190</v>
      </c>
    </row>
    <row r="2182" spans="1:4" x14ac:dyDescent="0.25">
      <c r="A2182" s="2" t="s">
        <v>6715</v>
      </c>
      <c r="B2182" s="2" t="s">
        <v>2921</v>
      </c>
      <c r="C2182" s="2" t="str">
        <f t="shared" si="34"/>
        <v>TX0098965_001</v>
      </c>
      <c r="D2182" s="2" t="s">
        <v>4190</v>
      </c>
    </row>
    <row r="2183" spans="1:4" x14ac:dyDescent="0.25">
      <c r="A2183" s="2" t="s">
        <v>6716</v>
      </c>
      <c r="B2183" s="2" t="s">
        <v>2921</v>
      </c>
      <c r="C2183" s="2" t="str">
        <f t="shared" si="34"/>
        <v>TX0099015_001</v>
      </c>
      <c r="D2183" s="2" t="s">
        <v>4191</v>
      </c>
    </row>
    <row r="2184" spans="1:4" x14ac:dyDescent="0.25">
      <c r="A2184" s="2" t="s">
        <v>6717</v>
      </c>
      <c r="B2184" s="2" t="s">
        <v>2921</v>
      </c>
      <c r="C2184" s="2" t="str">
        <f t="shared" si="34"/>
        <v>TX0099082_001</v>
      </c>
      <c r="D2184" s="2" t="s">
        <v>4192</v>
      </c>
    </row>
    <row r="2185" spans="1:4" x14ac:dyDescent="0.25">
      <c r="A2185" s="2" t="s">
        <v>6718</v>
      </c>
      <c r="B2185" s="2" t="s">
        <v>2923</v>
      </c>
      <c r="C2185" s="2" t="str">
        <f t="shared" si="34"/>
        <v>TX0099112_002</v>
      </c>
      <c r="D2185" s="2" t="s">
        <v>4193</v>
      </c>
    </row>
    <row r="2186" spans="1:4" x14ac:dyDescent="0.25">
      <c r="A2186" s="2" t="s">
        <v>6718</v>
      </c>
      <c r="B2186" s="2" t="s">
        <v>2924</v>
      </c>
      <c r="C2186" s="2" t="str">
        <f t="shared" si="34"/>
        <v>TX0099112_003</v>
      </c>
      <c r="D2186" s="2" t="s">
        <v>4193</v>
      </c>
    </row>
    <row r="2187" spans="1:4" x14ac:dyDescent="0.25">
      <c r="A2187" s="2" t="s">
        <v>6719</v>
      </c>
      <c r="B2187" s="2" t="s">
        <v>2921</v>
      </c>
      <c r="C2187" s="2" t="str">
        <f t="shared" si="34"/>
        <v>TX0099171_001</v>
      </c>
      <c r="D2187" s="2" t="s">
        <v>4194</v>
      </c>
    </row>
    <row r="2188" spans="1:4" x14ac:dyDescent="0.25">
      <c r="A2188" s="2" t="s">
        <v>6720</v>
      </c>
      <c r="B2188" s="2" t="s">
        <v>2921</v>
      </c>
      <c r="C2188" s="2" t="str">
        <f t="shared" si="34"/>
        <v>TX0099228_001</v>
      </c>
      <c r="D2188" s="2" t="s">
        <v>4195</v>
      </c>
    </row>
    <row r="2189" spans="1:4" x14ac:dyDescent="0.25">
      <c r="A2189" s="2" t="s">
        <v>6720</v>
      </c>
      <c r="B2189" s="2" t="s">
        <v>2923</v>
      </c>
      <c r="C2189" s="2" t="str">
        <f t="shared" si="34"/>
        <v>TX0099228_002</v>
      </c>
      <c r="D2189" s="2" t="s">
        <v>4195</v>
      </c>
    </row>
    <row r="2190" spans="1:4" x14ac:dyDescent="0.25">
      <c r="A2190" s="2" t="s">
        <v>6720</v>
      </c>
      <c r="B2190" s="2" t="s">
        <v>2936</v>
      </c>
      <c r="C2190" s="2" t="str">
        <f t="shared" si="34"/>
        <v>TX0099228_004</v>
      </c>
      <c r="D2190" s="2" t="s">
        <v>4195</v>
      </c>
    </row>
    <row r="2191" spans="1:4" x14ac:dyDescent="0.25">
      <c r="A2191" s="2" t="s">
        <v>6721</v>
      </c>
      <c r="B2191" s="2" t="s">
        <v>2921</v>
      </c>
      <c r="C2191" s="2" t="str">
        <f t="shared" si="34"/>
        <v>TX0099287_001</v>
      </c>
      <c r="D2191" s="2" t="s">
        <v>4196</v>
      </c>
    </row>
    <row r="2192" spans="1:4" x14ac:dyDescent="0.25">
      <c r="A2192" s="2" t="s">
        <v>6722</v>
      </c>
      <c r="B2192" s="2" t="s">
        <v>2921</v>
      </c>
      <c r="C2192" s="2" t="str">
        <f t="shared" si="34"/>
        <v>TX0099511_001</v>
      </c>
      <c r="D2192" s="2" t="s">
        <v>3136</v>
      </c>
    </row>
    <row r="2193" spans="1:4" x14ac:dyDescent="0.25">
      <c r="A2193" s="2" t="s">
        <v>6723</v>
      </c>
      <c r="B2193" s="2" t="s">
        <v>2921</v>
      </c>
      <c r="C2193" s="2" t="str">
        <f t="shared" si="34"/>
        <v>TX0099597_001</v>
      </c>
      <c r="D2193" s="2" t="s">
        <v>4197</v>
      </c>
    </row>
    <row r="2194" spans="1:4" x14ac:dyDescent="0.25">
      <c r="A2194" s="2" t="s">
        <v>6724</v>
      </c>
      <c r="B2194" s="2" t="s">
        <v>2921</v>
      </c>
      <c r="C2194" s="2" t="str">
        <f t="shared" si="34"/>
        <v>TX0099732_001</v>
      </c>
      <c r="D2194" s="2" t="s">
        <v>4198</v>
      </c>
    </row>
    <row r="2195" spans="1:4" x14ac:dyDescent="0.25">
      <c r="A2195" s="2" t="s">
        <v>6725</v>
      </c>
      <c r="B2195" s="2" t="s">
        <v>2921</v>
      </c>
      <c r="C2195" s="2" t="str">
        <f t="shared" si="34"/>
        <v>TX0099813_001</v>
      </c>
      <c r="D2195" s="2" t="s">
        <v>4199</v>
      </c>
    </row>
    <row r="2196" spans="1:4" x14ac:dyDescent="0.25">
      <c r="A2196" s="2" t="s">
        <v>6726</v>
      </c>
      <c r="B2196" s="2" t="s">
        <v>2921</v>
      </c>
      <c r="C2196" s="2" t="str">
        <f t="shared" si="34"/>
        <v>TX0099856_001</v>
      </c>
      <c r="D2196" s="2" t="s">
        <v>4200</v>
      </c>
    </row>
    <row r="2197" spans="1:4" x14ac:dyDescent="0.25">
      <c r="A2197" s="2" t="s">
        <v>6727</v>
      </c>
      <c r="B2197" s="2" t="s">
        <v>2921</v>
      </c>
      <c r="C2197" s="2" t="str">
        <f t="shared" si="34"/>
        <v>TX0099899_001</v>
      </c>
      <c r="D2197" s="2" t="s">
        <v>4201</v>
      </c>
    </row>
    <row r="2198" spans="1:4" x14ac:dyDescent="0.25">
      <c r="A2198" s="2" t="s">
        <v>6728</v>
      </c>
      <c r="B2198" s="2" t="s">
        <v>2921</v>
      </c>
      <c r="C2198" s="2" t="str">
        <f t="shared" si="34"/>
        <v>TX0100021_001</v>
      </c>
      <c r="D2198" s="2" t="s">
        <v>4202</v>
      </c>
    </row>
    <row r="2199" spans="1:4" x14ac:dyDescent="0.25">
      <c r="A2199" s="2" t="s">
        <v>6729</v>
      </c>
      <c r="B2199" s="2" t="s">
        <v>2921</v>
      </c>
      <c r="C2199" s="2" t="str">
        <f t="shared" si="34"/>
        <v>TX0100137_001</v>
      </c>
      <c r="D2199" s="2" t="s">
        <v>4203</v>
      </c>
    </row>
    <row r="2200" spans="1:4" x14ac:dyDescent="0.25">
      <c r="A2200" s="2" t="s">
        <v>6730</v>
      </c>
      <c r="B2200" s="2" t="s">
        <v>2921</v>
      </c>
      <c r="C2200" s="2" t="str">
        <f t="shared" si="34"/>
        <v>TX0100161_001</v>
      </c>
      <c r="D2200" s="2" t="s">
        <v>4204</v>
      </c>
    </row>
    <row r="2201" spans="1:4" x14ac:dyDescent="0.25">
      <c r="A2201" s="2" t="s">
        <v>6731</v>
      </c>
      <c r="B2201" s="2" t="s">
        <v>2921</v>
      </c>
      <c r="C2201" s="2" t="str">
        <f t="shared" si="34"/>
        <v>TX0100170_001</v>
      </c>
      <c r="D2201" s="2" t="s">
        <v>4205</v>
      </c>
    </row>
    <row r="2202" spans="1:4" x14ac:dyDescent="0.25">
      <c r="A2202" s="2" t="s">
        <v>6732</v>
      </c>
      <c r="B2202" s="2" t="s">
        <v>2921</v>
      </c>
      <c r="C2202" s="2" t="str">
        <f t="shared" si="34"/>
        <v>TX0100188_001</v>
      </c>
      <c r="D2202" s="2" t="s">
        <v>4206</v>
      </c>
    </row>
    <row r="2203" spans="1:4" x14ac:dyDescent="0.25">
      <c r="A2203" s="2" t="s">
        <v>6733</v>
      </c>
      <c r="B2203" s="2" t="s">
        <v>2921</v>
      </c>
      <c r="C2203" s="2" t="str">
        <f t="shared" si="34"/>
        <v>TX0100242_001</v>
      </c>
      <c r="D2203" s="2" t="s">
        <v>3048</v>
      </c>
    </row>
    <row r="2204" spans="1:4" x14ac:dyDescent="0.25">
      <c r="A2204" s="2" t="s">
        <v>6734</v>
      </c>
      <c r="B2204" s="2" t="s">
        <v>2921</v>
      </c>
      <c r="C2204" s="2" t="str">
        <f t="shared" si="34"/>
        <v>TX0100331_001</v>
      </c>
      <c r="D2204" s="2" t="s">
        <v>4207</v>
      </c>
    </row>
    <row r="2205" spans="1:4" x14ac:dyDescent="0.25">
      <c r="A2205" s="2" t="s">
        <v>6735</v>
      </c>
      <c r="B2205" s="2" t="s">
        <v>2921</v>
      </c>
      <c r="C2205" s="2" t="str">
        <f t="shared" si="34"/>
        <v>TX0100587_001</v>
      </c>
      <c r="D2205" s="2" t="s">
        <v>4208</v>
      </c>
    </row>
    <row r="2206" spans="1:4" x14ac:dyDescent="0.25">
      <c r="A2206" s="2" t="s">
        <v>6736</v>
      </c>
      <c r="B2206" s="2" t="s">
        <v>2921</v>
      </c>
      <c r="C2206" s="2" t="str">
        <f t="shared" si="34"/>
        <v>TX0100684_001</v>
      </c>
      <c r="D2206" s="2" t="s">
        <v>3286</v>
      </c>
    </row>
    <row r="2207" spans="1:4" x14ac:dyDescent="0.25">
      <c r="A2207" s="2" t="s">
        <v>6737</v>
      </c>
      <c r="B2207" s="2" t="s">
        <v>2921</v>
      </c>
      <c r="C2207" s="2" t="str">
        <f t="shared" si="34"/>
        <v>TX0100692_001</v>
      </c>
      <c r="D2207" s="2" t="s">
        <v>4209</v>
      </c>
    </row>
    <row r="2208" spans="1:4" x14ac:dyDescent="0.25">
      <c r="A2208" s="2" t="s">
        <v>6738</v>
      </c>
      <c r="B2208" s="2" t="s">
        <v>2921</v>
      </c>
      <c r="C2208" s="2" t="str">
        <f t="shared" si="34"/>
        <v>TX0100854_001</v>
      </c>
      <c r="D2208" s="2" t="s">
        <v>4210</v>
      </c>
    </row>
    <row r="2209" spans="1:4" x14ac:dyDescent="0.25">
      <c r="A2209" s="2" t="s">
        <v>6739</v>
      </c>
      <c r="B2209" s="2" t="s">
        <v>2923</v>
      </c>
      <c r="C2209" s="2" t="str">
        <f t="shared" si="34"/>
        <v>TX0100919_002</v>
      </c>
      <c r="D2209" s="2" t="s">
        <v>4211</v>
      </c>
    </row>
    <row r="2210" spans="1:4" x14ac:dyDescent="0.25">
      <c r="A2210" s="2" t="s">
        <v>6739</v>
      </c>
      <c r="B2210" s="2" t="s">
        <v>2921</v>
      </c>
      <c r="C2210" s="2" t="str">
        <f t="shared" si="34"/>
        <v>TX0100919_001</v>
      </c>
      <c r="D2210" s="2" t="s">
        <v>4211</v>
      </c>
    </row>
    <row r="2211" spans="1:4" x14ac:dyDescent="0.25">
      <c r="A2211" s="2" t="s">
        <v>6740</v>
      </c>
      <c r="B2211" s="2" t="s">
        <v>2921</v>
      </c>
      <c r="C2211" s="2" t="str">
        <f t="shared" si="34"/>
        <v>TX0100935_001</v>
      </c>
      <c r="D2211" s="2" t="s">
        <v>3488</v>
      </c>
    </row>
    <row r="2212" spans="1:4" x14ac:dyDescent="0.25">
      <c r="A2212" s="2" t="s">
        <v>6741</v>
      </c>
      <c r="B2212" s="2" t="s">
        <v>2921</v>
      </c>
      <c r="C2212" s="2" t="str">
        <f t="shared" si="34"/>
        <v>TX0101010_001</v>
      </c>
      <c r="D2212" s="2" t="s">
        <v>4212</v>
      </c>
    </row>
    <row r="2213" spans="1:4" x14ac:dyDescent="0.25">
      <c r="A2213" s="2" t="s">
        <v>6742</v>
      </c>
      <c r="B2213" s="2" t="s">
        <v>2921</v>
      </c>
      <c r="C2213" s="2" t="str">
        <f t="shared" si="34"/>
        <v>TX0101052_001</v>
      </c>
      <c r="D2213" s="2" t="s">
        <v>4213</v>
      </c>
    </row>
    <row r="2214" spans="1:4" x14ac:dyDescent="0.25">
      <c r="A2214" s="2" t="s">
        <v>6743</v>
      </c>
      <c r="B2214" s="2" t="s">
        <v>2921</v>
      </c>
      <c r="C2214" s="2" t="str">
        <f t="shared" si="34"/>
        <v>TX0101109_001</v>
      </c>
      <c r="D2214" s="2" t="s">
        <v>4214</v>
      </c>
    </row>
    <row r="2215" spans="1:4" x14ac:dyDescent="0.25">
      <c r="A2215" s="2" t="s">
        <v>6744</v>
      </c>
      <c r="B2215" s="2" t="s">
        <v>2936</v>
      </c>
      <c r="C2215" s="2" t="str">
        <f t="shared" si="34"/>
        <v>TX0101168_004</v>
      </c>
      <c r="D2215" s="2" t="s">
        <v>4215</v>
      </c>
    </row>
    <row r="2216" spans="1:4" x14ac:dyDescent="0.25">
      <c r="A2216" s="2" t="s">
        <v>6744</v>
      </c>
      <c r="B2216" s="2" t="s">
        <v>2921</v>
      </c>
      <c r="C2216" s="2" t="str">
        <f t="shared" si="34"/>
        <v>TX0101168_001</v>
      </c>
      <c r="D2216" s="2" t="s">
        <v>4215</v>
      </c>
    </row>
    <row r="2217" spans="1:4" x14ac:dyDescent="0.25">
      <c r="A2217" s="2" t="s">
        <v>6744</v>
      </c>
      <c r="B2217" s="2" t="s">
        <v>2923</v>
      </c>
      <c r="C2217" s="2" t="str">
        <f t="shared" si="34"/>
        <v>TX0101168_002</v>
      </c>
      <c r="D2217" s="2" t="s">
        <v>4215</v>
      </c>
    </row>
    <row r="2218" spans="1:4" x14ac:dyDescent="0.25">
      <c r="A2218" s="2" t="s">
        <v>6744</v>
      </c>
      <c r="B2218" s="2" t="s">
        <v>2924</v>
      </c>
      <c r="C2218" s="2" t="str">
        <f t="shared" si="34"/>
        <v>TX0101168_003</v>
      </c>
      <c r="D2218" s="2" t="s">
        <v>4215</v>
      </c>
    </row>
    <row r="2219" spans="1:4" x14ac:dyDescent="0.25">
      <c r="A2219" s="2" t="s">
        <v>6745</v>
      </c>
      <c r="B2219" s="2" t="s">
        <v>2921</v>
      </c>
      <c r="C2219" s="2" t="str">
        <f t="shared" si="34"/>
        <v>TX0101192_001</v>
      </c>
      <c r="D2219" s="2" t="s">
        <v>4216</v>
      </c>
    </row>
    <row r="2220" spans="1:4" x14ac:dyDescent="0.25">
      <c r="A2220" s="2" t="s">
        <v>6746</v>
      </c>
      <c r="B2220" s="2" t="s">
        <v>2921</v>
      </c>
      <c r="C2220" s="2" t="str">
        <f t="shared" si="34"/>
        <v>TX0101214_001</v>
      </c>
      <c r="D2220" s="2" t="s">
        <v>4217</v>
      </c>
    </row>
    <row r="2221" spans="1:4" x14ac:dyDescent="0.25">
      <c r="A2221" s="2" t="s">
        <v>6747</v>
      </c>
      <c r="B2221" s="2" t="s">
        <v>2921</v>
      </c>
      <c r="C2221" s="2" t="str">
        <f t="shared" si="34"/>
        <v>TX0101222_001</v>
      </c>
      <c r="D2221" s="2" t="s">
        <v>3130</v>
      </c>
    </row>
    <row r="2222" spans="1:4" x14ac:dyDescent="0.25">
      <c r="A2222" s="2" t="s">
        <v>6748</v>
      </c>
      <c r="B2222" s="2" t="s">
        <v>2921</v>
      </c>
      <c r="C2222" s="2" t="str">
        <f t="shared" si="34"/>
        <v>TX0101281_001</v>
      </c>
      <c r="D2222" s="2" t="s">
        <v>3185</v>
      </c>
    </row>
    <row r="2223" spans="1:4" x14ac:dyDescent="0.25">
      <c r="A2223" s="2" t="s">
        <v>6749</v>
      </c>
      <c r="B2223" s="2" t="s">
        <v>2921</v>
      </c>
      <c r="C2223" s="2" t="str">
        <f t="shared" si="34"/>
        <v>TX0101303_001</v>
      </c>
      <c r="D2223" s="2" t="s">
        <v>4218</v>
      </c>
    </row>
    <row r="2224" spans="1:4" x14ac:dyDescent="0.25">
      <c r="A2224" s="2" t="s">
        <v>6750</v>
      </c>
      <c r="B2224" s="2" t="s">
        <v>2921</v>
      </c>
      <c r="C2224" s="2" t="str">
        <f t="shared" si="34"/>
        <v>TX0101371_001</v>
      </c>
      <c r="D2224" s="2" t="s">
        <v>4219</v>
      </c>
    </row>
    <row r="2225" spans="1:4" x14ac:dyDescent="0.25">
      <c r="A2225" s="2" t="s">
        <v>6751</v>
      </c>
      <c r="B2225" s="2" t="s">
        <v>2921</v>
      </c>
      <c r="C2225" s="2" t="str">
        <f t="shared" si="34"/>
        <v>TX0101460_001</v>
      </c>
      <c r="D2225" s="2" t="s">
        <v>3110</v>
      </c>
    </row>
    <row r="2226" spans="1:4" x14ac:dyDescent="0.25">
      <c r="A2226" s="2" t="s">
        <v>6752</v>
      </c>
      <c r="B2226" s="2" t="s">
        <v>2921</v>
      </c>
      <c r="C2226" s="2" t="str">
        <f t="shared" si="34"/>
        <v>TX0101567_001</v>
      </c>
      <c r="D2226" s="2" t="s">
        <v>4220</v>
      </c>
    </row>
    <row r="2227" spans="1:4" x14ac:dyDescent="0.25">
      <c r="A2227" s="2" t="s">
        <v>6752</v>
      </c>
      <c r="B2227" s="2" t="s">
        <v>2948</v>
      </c>
      <c r="C2227" s="2" t="str">
        <f t="shared" si="34"/>
        <v>TX0101567_011</v>
      </c>
      <c r="D2227" s="2" t="s">
        <v>4220</v>
      </c>
    </row>
    <row r="2228" spans="1:4" x14ac:dyDescent="0.25">
      <c r="A2228" s="2" t="s">
        <v>6752</v>
      </c>
      <c r="B2228" s="2" t="s">
        <v>2949</v>
      </c>
      <c r="C2228" s="2" t="str">
        <f t="shared" si="34"/>
        <v>TX0101567_012</v>
      </c>
      <c r="D2228" s="2" t="s">
        <v>4220</v>
      </c>
    </row>
    <row r="2229" spans="1:4" x14ac:dyDescent="0.25">
      <c r="A2229" s="2" t="s">
        <v>6752</v>
      </c>
      <c r="B2229" s="2" t="s">
        <v>3084</v>
      </c>
      <c r="C2229" s="2" t="str">
        <f t="shared" si="34"/>
        <v>TX0101567_017</v>
      </c>
      <c r="D2229" s="2" t="s">
        <v>4220</v>
      </c>
    </row>
    <row r="2230" spans="1:4" x14ac:dyDescent="0.25">
      <c r="A2230" s="2" t="s">
        <v>6753</v>
      </c>
      <c r="B2230" s="2" t="s">
        <v>2921</v>
      </c>
      <c r="C2230" s="2" t="str">
        <f t="shared" si="34"/>
        <v>TX0101605_001</v>
      </c>
      <c r="D2230" s="2" t="s">
        <v>3365</v>
      </c>
    </row>
    <row r="2231" spans="1:4" x14ac:dyDescent="0.25">
      <c r="A2231" s="2" t="s">
        <v>6753</v>
      </c>
      <c r="B2231" s="2" t="s">
        <v>2923</v>
      </c>
      <c r="C2231" s="2" t="str">
        <f t="shared" si="34"/>
        <v>TX0101605_002</v>
      </c>
      <c r="D2231" s="2" t="s">
        <v>3365</v>
      </c>
    </row>
    <row r="2232" spans="1:4" x14ac:dyDescent="0.25">
      <c r="A2232" s="2" t="s">
        <v>6754</v>
      </c>
      <c r="B2232" s="2" t="s">
        <v>2921</v>
      </c>
      <c r="C2232" s="2" t="str">
        <f t="shared" si="34"/>
        <v>TX0101656_001</v>
      </c>
      <c r="D2232" s="2" t="s">
        <v>4221</v>
      </c>
    </row>
    <row r="2233" spans="1:4" x14ac:dyDescent="0.25">
      <c r="A2233" s="2" t="s">
        <v>6755</v>
      </c>
      <c r="B2233" s="2" t="s">
        <v>2921</v>
      </c>
      <c r="C2233" s="2" t="str">
        <f t="shared" si="34"/>
        <v>TX0101664_001</v>
      </c>
      <c r="D2233" s="2" t="s">
        <v>4222</v>
      </c>
    </row>
    <row r="2234" spans="1:4" x14ac:dyDescent="0.25">
      <c r="A2234" s="2" t="s">
        <v>6756</v>
      </c>
      <c r="B2234" s="2" t="s">
        <v>2921</v>
      </c>
      <c r="C2234" s="2" t="str">
        <f t="shared" si="34"/>
        <v>TX0101702_001</v>
      </c>
      <c r="D2234" s="2" t="s">
        <v>4223</v>
      </c>
    </row>
    <row r="2235" spans="1:4" x14ac:dyDescent="0.25">
      <c r="A2235" s="2" t="s">
        <v>6757</v>
      </c>
      <c r="B2235" s="2" t="s">
        <v>2921</v>
      </c>
      <c r="C2235" s="2" t="str">
        <f t="shared" si="34"/>
        <v>TX0101800_001</v>
      </c>
      <c r="D2235" s="2" t="s">
        <v>4196</v>
      </c>
    </row>
    <row r="2236" spans="1:4" x14ac:dyDescent="0.25">
      <c r="A2236" s="2" t="s">
        <v>6758</v>
      </c>
      <c r="B2236" s="2" t="s">
        <v>2921</v>
      </c>
      <c r="C2236" s="2" t="str">
        <f t="shared" si="34"/>
        <v>TX0101818_001</v>
      </c>
      <c r="D2236" s="2" t="s">
        <v>3859</v>
      </c>
    </row>
    <row r="2237" spans="1:4" x14ac:dyDescent="0.25">
      <c r="A2237" s="2" t="s">
        <v>6759</v>
      </c>
      <c r="B2237" s="2" t="s">
        <v>2921</v>
      </c>
      <c r="C2237" s="2" t="str">
        <f t="shared" si="34"/>
        <v>TX0101826_001</v>
      </c>
      <c r="D2237" s="2" t="s">
        <v>4224</v>
      </c>
    </row>
    <row r="2238" spans="1:4" x14ac:dyDescent="0.25">
      <c r="A2238" s="2" t="s">
        <v>6760</v>
      </c>
      <c r="B2238" s="2" t="s">
        <v>2921</v>
      </c>
      <c r="C2238" s="2" t="str">
        <f t="shared" si="34"/>
        <v>TX0101869_001</v>
      </c>
      <c r="D2238" s="2" t="s">
        <v>4225</v>
      </c>
    </row>
    <row r="2239" spans="1:4" x14ac:dyDescent="0.25">
      <c r="A2239" s="2" t="s">
        <v>6761</v>
      </c>
      <c r="B2239" s="2" t="s">
        <v>2921</v>
      </c>
      <c r="C2239" s="2" t="str">
        <f t="shared" si="34"/>
        <v>TX0101885_001</v>
      </c>
      <c r="D2239" s="2" t="s">
        <v>4226</v>
      </c>
    </row>
    <row r="2240" spans="1:4" x14ac:dyDescent="0.25">
      <c r="A2240" s="2" t="s">
        <v>6762</v>
      </c>
      <c r="B2240" s="2" t="s">
        <v>2921</v>
      </c>
      <c r="C2240" s="2" t="str">
        <f t="shared" si="34"/>
        <v>TX0101915_001</v>
      </c>
      <c r="D2240" s="2" t="s">
        <v>3670</v>
      </c>
    </row>
    <row r="2241" spans="1:4" x14ac:dyDescent="0.25">
      <c r="A2241" s="2" t="s">
        <v>6763</v>
      </c>
      <c r="B2241" s="2" t="s">
        <v>2921</v>
      </c>
      <c r="C2241" s="2" t="str">
        <f t="shared" si="34"/>
        <v>TX0101940_001</v>
      </c>
      <c r="D2241" s="2" t="s">
        <v>3850</v>
      </c>
    </row>
    <row r="2242" spans="1:4" x14ac:dyDescent="0.25">
      <c r="A2242" s="2" t="s">
        <v>6764</v>
      </c>
      <c r="B2242" s="2" t="s">
        <v>2921</v>
      </c>
      <c r="C2242" s="2" t="str">
        <f t="shared" si="34"/>
        <v>TX0102024_001</v>
      </c>
      <c r="D2242" s="2" t="s">
        <v>4227</v>
      </c>
    </row>
    <row r="2243" spans="1:4" x14ac:dyDescent="0.25">
      <c r="A2243" s="2" t="s">
        <v>6765</v>
      </c>
      <c r="B2243" s="2" t="s">
        <v>2921</v>
      </c>
      <c r="C2243" s="2" t="str">
        <f t="shared" ref="C2243:C2306" si="35">A2243 &amp; "_" &amp; B2243</f>
        <v>TX0102032_001</v>
      </c>
      <c r="D2243" s="2" t="s">
        <v>4228</v>
      </c>
    </row>
    <row r="2244" spans="1:4" x14ac:dyDescent="0.25">
      <c r="A2244" s="2" t="s">
        <v>6766</v>
      </c>
      <c r="B2244" s="2" t="s">
        <v>2921</v>
      </c>
      <c r="C2244" s="2" t="str">
        <f t="shared" si="35"/>
        <v>TX0102091_001</v>
      </c>
      <c r="D2244" s="2" t="s">
        <v>4229</v>
      </c>
    </row>
    <row r="2245" spans="1:4" x14ac:dyDescent="0.25">
      <c r="A2245" s="2" t="s">
        <v>6767</v>
      </c>
      <c r="B2245" s="2" t="s">
        <v>2921</v>
      </c>
      <c r="C2245" s="2" t="str">
        <f t="shared" si="35"/>
        <v>TX0102113_001</v>
      </c>
      <c r="D2245" s="2" t="s">
        <v>4230</v>
      </c>
    </row>
    <row r="2246" spans="1:4" x14ac:dyDescent="0.25">
      <c r="A2246" s="2" t="s">
        <v>6768</v>
      </c>
      <c r="B2246" s="2" t="s">
        <v>2921</v>
      </c>
      <c r="C2246" s="2" t="str">
        <f t="shared" si="35"/>
        <v>TX0102164_001</v>
      </c>
      <c r="D2246" s="2" t="s">
        <v>4231</v>
      </c>
    </row>
    <row r="2247" spans="1:4" x14ac:dyDescent="0.25">
      <c r="A2247" s="2" t="s">
        <v>6769</v>
      </c>
      <c r="B2247" s="2" t="s">
        <v>2921</v>
      </c>
      <c r="C2247" s="2" t="str">
        <f t="shared" si="35"/>
        <v>TX0102261_001</v>
      </c>
      <c r="D2247" s="2" t="s">
        <v>4232</v>
      </c>
    </row>
    <row r="2248" spans="1:4" x14ac:dyDescent="0.25">
      <c r="A2248" s="2" t="s">
        <v>6770</v>
      </c>
      <c r="B2248" s="2" t="s">
        <v>2924</v>
      </c>
      <c r="C2248" s="2" t="str">
        <f t="shared" si="35"/>
        <v>TX0102296_003</v>
      </c>
      <c r="D2248" s="2" t="s">
        <v>3059</v>
      </c>
    </row>
    <row r="2249" spans="1:4" x14ac:dyDescent="0.25">
      <c r="A2249" s="2" t="s">
        <v>6770</v>
      </c>
      <c r="B2249" s="2" t="s">
        <v>2936</v>
      </c>
      <c r="C2249" s="2" t="str">
        <f t="shared" si="35"/>
        <v>TX0102296_004</v>
      </c>
      <c r="D2249" s="2" t="s">
        <v>3059</v>
      </c>
    </row>
    <row r="2250" spans="1:4" x14ac:dyDescent="0.25">
      <c r="A2250" s="2" t="s">
        <v>6770</v>
      </c>
      <c r="B2250" s="2" t="s">
        <v>2921</v>
      </c>
      <c r="C2250" s="2" t="str">
        <f t="shared" si="35"/>
        <v>TX0102296_001</v>
      </c>
      <c r="D2250" s="2" t="s">
        <v>3059</v>
      </c>
    </row>
    <row r="2251" spans="1:4" x14ac:dyDescent="0.25">
      <c r="A2251" s="2" t="s">
        <v>6770</v>
      </c>
      <c r="B2251" s="2" t="s">
        <v>2923</v>
      </c>
      <c r="C2251" s="2" t="str">
        <f t="shared" si="35"/>
        <v>TX0102296_002</v>
      </c>
      <c r="D2251" s="2" t="s">
        <v>3059</v>
      </c>
    </row>
    <row r="2252" spans="1:4" x14ac:dyDescent="0.25">
      <c r="A2252" s="2" t="s">
        <v>6771</v>
      </c>
      <c r="B2252" s="2" t="s">
        <v>2921</v>
      </c>
      <c r="C2252" s="2" t="str">
        <f t="shared" si="35"/>
        <v>TX0102326_001</v>
      </c>
      <c r="D2252" s="2" t="s">
        <v>4233</v>
      </c>
    </row>
    <row r="2253" spans="1:4" x14ac:dyDescent="0.25">
      <c r="A2253" s="2" t="s">
        <v>6771</v>
      </c>
      <c r="B2253" s="2" t="s">
        <v>2923</v>
      </c>
      <c r="C2253" s="2" t="str">
        <f t="shared" si="35"/>
        <v>TX0102326_002</v>
      </c>
      <c r="D2253" s="2" t="s">
        <v>4233</v>
      </c>
    </row>
    <row r="2254" spans="1:4" x14ac:dyDescent="0.25">
      <c r="A2254" s="2" t="s">
        <v>6771</v>
      </c>
      <c r="B2254" s="2" t="s">
        <v>2924</v>
      </c>
      <c r="C2254" s="2" t="str">
        <f t="shared" si="35"/>
        <v>TX0102326_003</v>
      </c>
      <c r="D2254" s="2" t="s">
        <v>4233</v>
      </c>
    </row>
    <row r="2255" spans="1:4" x14ac:dyDescent="0.25">
      <c r="A2255" s="2" t="s">
        <v>6771</v>
      </c>
      <c r="B2255" s="2" t="s">
        <v>2936</v>
      </c>
      <c r="C2255" s="2" t="str">
        <f t="shared" si="35"/>
        <v>TX0102326_004</v>
      </c>
      <c r="D2255" s="2" t="s">
        <v>4233</v>
      </c>
    </row>
    <row r="2256" spans="1:4" x14ac:dyDescent="0.25">
      <c r="A2256" s="2" t="s">
        <v>6771</v>
      </c>
      <c r="B2256" s="2" t="s">
        <v>2934</v>
      </c>
      <c r="C2256" s="2" t="str">
        <f t="shared" si="35"/>
        <v>TX0102326_005</v>
      </c>
      <c r="D2256" s="2" t="s">
        <v>4233</v>
      </c>
    </row>
    <row r="2257" spans="1:4" x14ac:dyDescent="0.25">
      <c r="A2257" s="2" t="s">
        <v>6772</v>
      </c>
      <c r="B2257" s="2" t="s">
        <v>2921</v>
      </c>
      <c r="C2257" s="2" t="str">
        <f t="shared" si="35"/>
        <v>TX0102385_001</v>
      </c>
      <c r="D2257" s="2" t="s">
        <v>4234</v>
      </c>
    </row>
    <row r="2258" spans="1:4" x14ac:dyDescent="0.25">
      <c r="A2258" s="2" t="s">
        <v>6773</v>
      </c>
      <c r="B2258" s="2" t="s">
        <v>2921</v>
      </c>
      <c r="C2258" s="2" t="str">
        <f t="shared" si="35"/>
        <v>TX0102512_001</v>
      </c>
      <c r="D2258" s="2" t="s">
        <v>4235</v>
      </c>
    </row>
    <row r="2259" spans="1:4" x14ac:dyDescent="0.25">
      <c r="A2259" s="2" t="s">
        <v>6774</v>
      </c>
      <c r="B2259" s="2" t="s">
        <v>2921</v>
      </c>
      <c r="C2259" s="2" t="str">
        <f t="shared" si="35"/>
        <v>TX0102555_001</v>
      </c>
      <c r="D2259" s="2" t="s">
        <v>4236</v>
      </c>
    </row>
    <row r="2260" spans="1:4" x14ac:dyDescent="0.25">
      <c r="A2260" s="2" t="s">
        <v>6775</v>
      </c>
      <c r="B2260" s="2" t="s">
        <v>2921</v>
      </c>
      <c r="C2260" s="2" t="str">
        <f t="shared" si="35"/>
        <v>TX0102563_001</v>
      </c>
      <c r="D2260" s="2" t="s">
        <v>4237</v>
      </c>
    </row>
    <row r="2261" spans="1:4" x14ac:dyDescent="0.25">
      <c r="A2261" s="2" t="s">
        <v>6776</v>
      </c>
      <c r="B2261" s="2" t="s">
        <v>2921</v>
      </c>
      <c r="C2261" s="2" t="str">
        <f t="shared" si="35"/>
        <v>TX0102598_001</v>
      </c>
      <c r="D2261" s="2" t="s">
        <v>4238</v>
      </c>
    </row>
    <row r="2262" spans="1:4" x14ac:dyDescent="0.25">
      <c r="A2262" s="2" t="s">
        <v>6777</v>
      </c>
      <c r="B2262" s="2" t="s">
        <v>2921</v>
      </c>
      <c r="C2262" s="2" t="str">
        <f t="shared" si="35"/>
        <v>TX0102806_001</v>
      </c>
      <c r="D2262" s="2" t="s">
        <v>4239</v>
      </c>
    </row>
    <row r="2263" spans="1:4" x14ac:dyDescent="0.25">
      <c r="A2263" s="2" t="s">
        <v>6778</v>
      </c>
      <c r="B2263" s="2" t="s">
        <v>2921</v>
      </c>
      <c r="C2263" s="2" t="str">
        <f t="shared" si="35"/>
        <v>TX0102822_001</v>
      </c>
      <c r="D2263" s="2" t="s">
        <v>4240</v>
      </c>
    </row>
    <row r="2264" spans="1:4" x14ac:dyDescent="0.25">
      <c r="A2264" s="2" t="s">
        <v>6779</v>
      </c>
      <c r="B2264" s="2" t="s">
        <v>2921</v>
      </c>
      <c r="C2264" s="2" t="str">
        <f t="shared" si="35"/>
        <v>TX0102849_001</v>
      </c>
      <c r="D2264" s="2" t="s">
        <v>4241</v>
      </c>
    </row>
    <row r="2265" spans="1:4" x14ac:dyDescent="0.25">
      <c r="A2265" s="2" t="s">
        <v>6780</v>
      </c>
      <c r="B2265" s="2" t="s">
        <v>2921</v>
      </c>
      <c r="C2265" s="2" t="str">
        <f t="shared" si="35"/>
        <v>TX0102857_001</v>
      </c>
      <c r="D2265" s="2" t="s">
        <v>4242</v>
      </c>
    </row>
    <row r="2266" spans="1:4" x14ac:dyDescent="0.25">
      <c r="A2266" s="2" t="s">
        <v>6781</v>
      </c>
      <c r="B2266" s="2" t="s">
        <v>2921</v>
      </c>
      <c r="C2266" s="2" t="str">
        <f t="shared" si="35"/>
        <v>TX0102890_001</v>
      </c>
      <c r="D2266" s="2" t="s">
        <v>3915</v>
      </c>
    </row>
    <row r="2267" spans="1:4" x14ac:dyDescent="0.25">
      <c r="A2267" s="2" t="s">
        <v>6782</v>
      </c>
      <c r="B2267" s="2" t="s">
        <v>2921</v>
      </c>
      <c r="C2267" s="2" t="str">
        <f t="shared" si="35"/>
        <v>TX0102920_001</v>
      </c>
      <c r="D2267" s="2" t="s">
        <v>3899</v>
      </c>
    </row>
    <row r="2268" spans="1:4" x14ac:dyDescent="0.25">
      <c r="A2268" s="2" t="s">
        <v>6783</v>
      </c>
      <c r="B2268" s="2" t="s">
        <v>2921</v>
      </c>
      <c r="C2268" s="2" t="str">
        <f t="shared" si="35"/>
        <v>TX0102938_001</v>
      </c>
      <c r="D2268" s="2" t="s">
        <v>2962</v>
      </c>
    </row>
    <row r="2269" spans="1:4" x14ac:dyDescent="0.25">
      <c r="A2269" s="2" t="s">
        <v>6784</v>
      </c>
      <c r="B2269" s="2" t="s">
        <v>2921</v>
      </c>
      <c r="C2269" s="2" t="str">
        <f t="shared" si="35"/>
        <v>TX0102997_001</v>
      </c>
      <c r="D2269" s="2" t="s">
        <v>4243</v>
      </c>
    </row>
    <row r="2270" spans="1:4" x14ac:dyDescent="0.25">
      <c r="A2270" s="2" t="s">
        <v>6785</v>
      </c>
      <c r="B2270" s="2" t="s">
        <v>2921</v>
      </c>
      <c r="C2270" s="2" t="str">
        <f t="shared" si="35"/>
        <v>TX0103004_001</v>
      </c>
      <c r="D2270" s="2" t="s">
        <v>4244</v>
      </c>
    </row>
    <row r="2271" spans="1:4" x14ac:dyDescent="0.25">
      <c r="A2271" s="2" t="s">
        <v>6786</v>
      </c>
      <c r="B2271" s="2" t="s">
        <v>2921</v>
      </c>
      <c r="C2271" s="2" t="str">
        <f t="shared" si="35"/>
        <v>TX0103071_001</v>
      </c>
      <c r="D2271" s="2" t="s">
        <v>4245</v>
      </c>
    </row>
    <row r="2272" spans="1:4" x14ac:dyDescent="0.25">
      <c r="A2272" s="2" t="s">
        <v>6787</v>
      </c>
      <c r="B2272" s="2" t="s">
        <v>2921</v>
      </c>
      <c r="C2272" s="2" t="str">
        <f t="shared" si="35"/>
        <v>TX0103080_001</v>
      </c>
      <c r="D2272" s="2" t="s">
        <v>4246</v>
      </c>
    </row>
    <row r="2273" spans="1:4" x14ac:dyDescent="0.25">
      <c r="A2273" s="2" t="s">
        <v>6788</v>
      </c>
      <c r="B2273" s="2" t="s">
        <v>2921</v>
      </c>
      <c r="C2273" s="2" t="str">
        <f t="shared" si="35"/>
        <v>TX0103250_001</v>
      </c>
      <c r="D2273" s="2" t="s">
        <v>4247</v>
      </c>
    </row>
    <row r="2274" spans="1:4" x14ac:dyDescent="0.25">
      <c r="A2274" s="2" t="s">
        <v>6789</v>
      </c>
      <c r="B2274" s="2" t="s">
        <v>2921</v>
      </c>
      <c r="C2274" s="2" t="str">
        <f t="shared" si="35"/>
        <v>TX0103276_001</v>
      </c>
      <c r="D2274" s="2" t="s">
        <v>4248</v>
      </c>
    </row>
    <row r="2275" spans="1:4" x14ac:dyDescent="0.25">
      <c r="A2275" s="2" t="s">
        <v>6790</v>
      </c>
      <c r="B2275" s="2" t="s">
        <v>2921</v>
      </c>
      <c r="C2275" s="2" t="str">
        <f t="shared" si="35"/>
        <v>TX0103292_001</v>
      </c>
      <c r="D2275" s="2" t="s">
        <v>4249</v>
      </c>
    </row>
    <row r="2276" spans="1:4" x14ac:dyDescent="0.25">
      <c r="A2276" s="2" t="s">
        <v>6791</v>
      </c>
      <c r="B2276" s="2" t="s">
        <v>2921</v>
      </c>
      <c r="C2276" s="2" t="str">
        <f t="shared" si="35"/>
        <v>TX0103365_001</v>
      </c>
      <c r="D2276" s="2" t="s">
        <v>4250</v>
      </c>
    </row>
    <row r="2277" spans="1:4" x14ac:dyDescent="0.25">
      <c r="A2277" s="2" t="s">
        <v>6792</v>
      </c>
      <c r="B2277" s="2" t="s">
        <v>2921</v>
      </c>
      <c r="C2277" s="2" t="str">
        <f t="shared" si="35"/>
        <v>TX0103446_001</v>
      </c>
      <c r="D2277" s="2" t="s">
        <v>4251</v>
      </c>
    </row>
    <row r="2278" spans="1:4" x14ac:dyDescent="0.25">
      <c r="A2278" s="2" t="s">
        <v>6793</v>
      </c>
      <c r="B2278" s="2" t="s">
        <v>2921</v>
      </c>
      <c r="C2278" s="2" t="str">
        <f t="shared" si="35"/>
        <v>TX0103497_001</v>
      </c>
      <c r="D2278" s="2" t="s">
        <v>3880</v>
      </c>
    </row>
    <row r="2279" spans="1:4" x14ac:dyDescent="0.25">
      <c r="A2279" s="2" t="s">
        <v>6794</v>
      </c>
      <c r="B2279" s="2" t="s">
        <v>2921</v>
      </c>
      <c r="C2279" s="2" t="str">
        <f t="shared" si="35"/>
        <v>TX0103501_001</v>
      </c>
      <c r="D2279" s="2" t="s">
        <v>3155</v>
      </c>
    </row>
    <row r="2280" spans="1:4" x14ac:dyDescent="0.25">
      <c r="A2280" s="2" t="s">
        <v>6795</v>
      </c>
      <c r="B2280" s="2" t="s">
        <v>2921</v>
      </c>
      <c r="C2280" s="2" t="str">
        <f t="shared" si="35"/>
        <v>TX0103535_001</v>
      </c>
      <c r="D2280" s="2" t="s">
        <v>3163</v>
      </c>
    </row>
    <row r="2281" spans="1:4" x14ac:dyDescent="0.25">
      <c r="A2281" s="2" t="s">
        <v>6796</v>
      </c>
      <c r="B2281" s="2" t="s">
        <v>2921</v>
      </c>
      <c r="C2281" s="2" t="str">
        <f t="shared" si="35"/>
        <v>TX0103578_001</v>
      </c>
      <c r="D2281" s="2" t="s">
        <v>4252</v>
      </c>
    </row>
    <row r="2282" spans="1:4" x14ac:dyDescent="0.25">
      <c r="A2282" s="2" t="s">
        <v>6797</v>
      </c>
      <c r="B2282" s="2" t="s">
        <v>2921</v>
      </c>
      <c r="C2282" s="2" t="str">
        <f t="shared" si="35"/>
        <v>TX0103586_001</v>
      </c>
      <c r="D2282" s="2" t="s">
        <v>4253</v>
      </c>
    </row>
    <row r="2283" spans="1:4" x14ac:dyDescent="0.25">
      <c r="A2283" s="2" t="s">
        <v>6797</v>
      </c>
      <c r="B2283" s="2" t="s">
        <v>2923</v>
      </c>
      <c r="C2283" s="2" t="str">
        <f t="shared" si="35"/>
        <v>TX0103586_002</v>
      </c>
      <c r="D2283" s="2" t="s">
        <v>4253</v>
      </c>
    </row>
    <row r="2284" spans="1:4" x14ac:dyDescent="0.25">
      <c r="A2284" s="2" t="s">
        <v>6798</v>
      </c>
      <c r="B2284" s="2" t="s">
        <v>2921</v>
      </c>
      <c r="C2284" s="2" t="str">
        <f t="shared" si="35"/>
        <v>TX0103608_001</v>
      </c>
      <c r="D2284" s="2" t="s">
        <v>4254</v>
      </c>
    </row>
    <row r="2285" spans="1:4" x14ac:dyDescent="0.25">
      <c r="A2285" s="2" t="s">
        <v>6799</v>
      </c>
      <c r="B2285" s="2" t="s">
        <v>2921</v>
      </c>
      <c r="C2285" s="2" t="str">
        <f t="shared" si="35"/>
        <v>TX0103616_001</v>
      </c>
      <c r="D2285" s="2" t="s">
        <v>4255</v>
      </c>
    </row>
    <row r="2286" spans="1:4" x14ac:dyDescent="0.25">
      <c r="A2286" s="2" t="s">
        <v>6800</v>
      </c>
      <c r="B2286" s="2" t="s">
        <v>2921</v>
      </c>
      <c r="C2286" s="2" t="str">
        <f t="shared" si="35"/>
        <v>TX0103624_001</v>
      </c>
      <c r="D2286" s="2" t="s">
        <v>4256</v>
      </c>
    </row>
    <row r="2287" spans="1:4" x14ac:dyDescent="0.25">
      <c r="A2287" s="2" t="s">
        <v>6801</v>
      </c>
      <c r="B2287" s="2" t="s">
        <v>2921</v>
      </c>
      <c r="C2287" s="2" t="str">
        <f t="shared" si="35"/>
        <v>TX0103641_001</v>
      </c>
      <c r="D2287" s="2" t="s">
        <v>4257</v>
      </c>
    </row>
    <row r="2288" spans="1:4" x14ac:dyDescent="0.25">
      <c r="A2288" s="2" t="s">
        <v>6802</v>
      </c>
      <c r="B2288" s="2" t="s">
        <v>2921</v>
      </c>
      <c r="C2288" s="2" t="str">
        <f t="shared" si="35"/>
        <v>TX0103667_001</v>
      </c>
      <c r="D2288" s="2" t="s">
        <v>3110</v>
      </c>
    </row>
    <row r="2289" spans="1:4" x14ac:dyDescent="0.25">
      <c r="A2289" s="2" t="s">
        <v>6803</v>
      </c>
      <c r="B2289" s="2" t="s">
        <v>2921</v>
      </c>
      <c r="C2289" s="2" t="str">
        <f t="shared" si="35"/>
        <v>TX0103705_001</v>
      </c>
      <c r="D2289" s="2" t="s">
        <v>3286</v>
      </c>
    </row>
    <row r="2290" spans="1:4" x14ac:dyDescent="0.25">
      <c r="A2290" s="2" t="s">
        <v>6804</v>
      </c>
      <c r="B2290" s="2" t="s">
        <v>2921</v>
      </c>
      <c r="C2290" s="2" t="str">
        <f t="shared" si="35"/>
        <v>TX0103721_001</v>
      </c>
      <c r="D2290" s="2" t="s">
        <v>3110</v>
      </c>
    </row>
    <row r="2291" spans="1:4" x14ac:dyDescent="0.25">
      <c r="A2291" s="2" t="s">
        <v>6805</v>
      </c>
      <c r="B2291" s="2" t="s">
        <v>2921</v>
      </c>
      <c r="C2291" s="2" t="str">
        <f t="shared" si="35"/>
        <v>TX0103781_001</v>
      </c>
      <c r="D2291" s="2" t="s">
        <v>4258</v>
      </c>
    </row>
    <row r="2292" spans="1:4" x14ac:dyDescent="0.25">
      <c r="A2292" s="2" t="s">
        <v>6806</v>
      </c>
      <c r="B2292" s="2" t="s">
        <v>2921</v>
      </c>
      <c r="C2292" s="2" t="str">
        <f t="shared" si="35"/>
        <v>TX0103811_001</v>
      </c>
      <c r="D2292" s="2" t="s">
        <v>4259</v>
      </c>
    </row>
    <row r="2293" spans="1:4" x14ac:dyDescent="0.25">
      <c r="A2293" s="2" t="s">
        <v>6806</v>
      </c>
      <c r="B2293" s="2" t="s">
        <v>2923</v>
      </c>
      <c r="C2293" s="2" t="str">
        <f t="shared" si="35"/>
        <v>TX0103811_002</v>
      </c>
      <c r="D2293" s="2" t="s">
        <v>4259</v>
      </c>
    </row>
    <row r="2294" spans="1:4" x14ac:dyDescent="0.25">
      <c r="A2294" s="2" t="s">
        <v>6807</v>
      </c>
      <c r="B2294" s="2" t="s">
        <v>2921</v>
      </c>
      <c r="C2294" s="2" t="str">
        <f t="shared" si="35"/>
        <v>TX0103896_001</v>
      </c>
      <c r="D2294" s="2" t="s">
        <v>3433</v>
      </c>
    </row>
    <row r="2295" spans="1:4" x14ac:dyDescent="0.25">
      <c r="A2295" s="2" t="s">
        <v>6808</v>
      </c>
      <c r="B2295" s="2" t="s">
        <v>2921</v>
      </c>
      <c r="C2295" s="2" t="str">
        <f t="shared" si="35"/>
        <v>TX0103900_001</v>
      </c>
      <c r="D2295" s="2" t="s">
        <v>2980</v>
      </c>
    </row>
    <row r="2296" spans="1:4" x14ac:dyDescent="0.25">
      <c r="A2296" s="2" t="s">
        <v>6809</v>
      </c>
      <c r="B2296" s="2" t="s">
        <v>2921</v>
      </c>
      <c r="C2296" s="2" t="str">
        <f t="shared" si="35"/>
        <v>TX0104051_001</v>
      </c>
      <c r="D2296" s="2" t="s">
        <v>4260</v>
      </c>
    </row>
    <row r="2297" spans="1:4" x14ac:dyDescent="0.25">
      <c r="A2297" s="2" t="s">
        <v>6810</v>
      </c>
      <c r="B2297" s="2" t="s">
        <v>2921</v>
      </c>
      <c r="C2297" s="2" t="str">
        <f t="shared" si="35"/>
        <v>TX0104060_001</v>
      </c>
      <c r="D2297" s="2" t="s">
        <v>4261</v>
      </c>
    </row>
    <row r="2298" spans="1:4" x14ac:dyDescent="0.25">
      <c r="A2298" s="2" t="s">
        <v>6811</v>
      </c>
      <c r="B2298" s="2" t="s">
        <v>2934</v>
      </c>
      <c r="C2298" s="2" t="str">
        <f t="shared" si="35"/>
        <v>TX0104175_005</v>
      </c>
      <c r="D2298" s="2" t="s">
        <v>4262</v>
      </c>
    </row>
    <row r="2299" spans="1:4" x14ac:dyDescent="0.25">
      <c r="A2299" s="2" t="s">
        <v>6811</v>
      </c>
      <c r="B2299" s="2" t="s">
        <v>2959</v>
      </c>
      <c r="C2299" s="2" t="str">
        <f t="shared" si="35"/>
        <v>TX0104175_007</v>
      </c>
      <c r="D2299" s="2" t="s">
        <v>4262</v>
      </c>
    </row>
    <row r="2300" spans="1:4" x14ac:dyDescent="0.25">
      <c r="A2300" s="2" t="s">
        <v>6811</v>
      </c>
      <c r="B2300" s="2" t="s">
        <v>2923</v>
      </c>
      <c r="C2300" s="2" t="str">
        <f t="shared" si="35"/>
        <v>TX0104175_002</v>
      </c>
      <c r="D2300" s="2" t="s">
        <v>4262</v>
      </c>
    </row>
    <row r="2301" spans="1:4" x14ac:dyDescent="0.25">
      <c r="A2301" s="2" t="s">
        <v>6811</v>
      </c>
      <c r="B2301" s="2" t="s">
        <v>2940</v>
      </c>
      <c r="C2301" s="2" t="str">
        <f t="shared" si="35"/>
        <v>TX0104175_006</v>
      </c>
      <c r="D2301" s="2" t="s">
        <v>4262</v>
      </c>
    </row>
    <row r="2302" spans="1:4" x14ac:dyDescent="0.25">
      <c r="A2302" s="2" t="s">
        <v>6811</v>
      </c>
      <c r="B2302" s="2" t="s">
        <v>2921</v>
      </c>
      <c r="C2302" s="2" t="str">
        <f t="shared" si="35"/>
        <v>TX0104175_001</v>
      </c>
      <c r="D2302" s="2" t="s">
        <v>4262</v>
      </c>
    </row>
    <row r="2303" spans="1:4" x14ac:dyDescent="0.25">
      <c r="A2303" s="2" t="s">
        <v>6812</v>
      </c>
      <c r="B2303" s="2" t="s">
        <v>2921</v>
      </c>
      <c r="C2303" s="2" t="str">
        <f t="shared" si="35"/>
        <v>TX0104205_001</v>
      </c>
      <c r="D2303" s="2" t="s">
        <v>4263</v>
      </c>
    </row>
    <row r="2304" spans="1:4" x14ac:dyDescent="0.25">
      <c r="A2304" s="2" t="s">
        <v>6813</v>
      </c>
      <c r="B2304" s="2" t="s">
        <v>2921</v>
      </c>
      <c r="C2304" s="2" t="str">
        <f t="shared" si="35"/>
        <v>TX0104213_001</v>
      </c>
      <c r="D2304" s="2" t="s">
        <v>4264</v>
      </c>
    </row>
    <row r="2305" spans="1:4" x14ac:dyDescent="0.25">
      <c r="A2305" s="2" t="s">
        <v>6814</v>
      </c>
      <c r="B2305" s="2" t="s">
        <v>2921</v>
      </c>
      <c r="C2305" s="2" t="str">
        <f t="shared" si="35"/>
        <v>TX0104272_001</v>
      </c>
      <c r="D2305" s="2" t="s">
        <v>4265</v>
      </c>
    </row>
    <row r="2306" spans="1:4" x14ac:dyDescent="0.25">
      <c r="A2306" s="2" t="s">
        <v>6815</v>
      </c>
      <c r="B2306" s="2" t="s">
        <v>2921</v>
      </c>
      <c r="C2306" s="2" t="str">
        <f t="shared" si="35"/>
        <v>TX0104299_001</v>
      </c>
      <c r="D2306" s="2" t="s">
        <v>4266</v>
      </c>
    </row>
    <row r="2307" spans="1:4" x14ac:dyDescent="0.25">
      <c r="A2307" s="2" t="s">
        <v>6816</v>
      </c>
      <c r="B2307" s="2" t="s">
        <v>2921</v>
      </c>
      <c r="C2307" s="2" t="str">
        <f t="shared" ref="C2307:C2370" si="36">A2307 &amp; "_" &amp; B2307</f>
        <v>TX0104345_001</v>
      </c>
      <c r="D2307" s="2" t="s">
        <v>3193</v>
      </c>
    </row>
    <row r="2308" spans="1:4" x14ac:dyDescent="0.25">
      <c r="A2308" s="2" t="s">
        <v>6817</v>
      </c>
      <c r="B2308" s="2" t="s">
        <v>2921</v>
      </c>
      <c r="C2308" s="2" t="str">
        <f t="shared" si="36"/>
        <v>TX0104400_001</v>
      </c>
      <c r="D2308" s="2" t="s">
        <v>4267</v>
      </c>
    </row>
    <row r="2309" spans="1:4" x14ac:dyDescent="0.25">
      <c r="A2309" s="2" t="s">
        <v>6817</v>
      </c>
      <c r="B2309" s="2" t="s">
        <v>2923</v>
      </c>
      <c r="C2309" s="2" t="str">
        <f t="shared" si="36"/>
        <v>TX0104400_002</v>
      </c>
      <c r="D2309" s="2" t="s">
        <v>4267</v>
      </c>
    </row>
    <row r="2310" spans="1:4" x14ac:dyDescent="0.25">
      <c r="A2310" s="2" t="s">
        <v>6817</v>
      </c>
      <c r="B2310" s="2" t="s">
        <v>2924</v>
      </c>
      <c r="C2310" s="2" t="str">
        <f t="shared" si="36"/>
        <v>TX0104400_003</v>
      </c>
      <c r="D2310" s="2" t="s">
        <v>4267</v>
      </c>
    </row>
    <row r="2311" spans="1:4" x14ac:dyDescent="0.25">
      <c r="A2311" s="2" t="s">
        <v>6817</v>
      </c>
      <c r="B2311" s="2" t="s">
        <v>2936</v>
      </c>
      <c r="C2311" s="2" t="str">
        <f t="shared" si="36"/>
        <v>TX0104400_004</v>
      </c>
      <c r="D2311" s="2" t="s">
        <v>4267</v>
      </c>
    </row>
    <row r="2312" spans="1:4" x14ac:dyDescent="0.25">
      <c r="A2312" s="2" t="s">
        <v>6818</v>
      </c>
      <c r="B2312" s="2" t="s">
        <v>2923</v>
      </c>
      <c r="C2312" s="2" t="str">
        <f t="shared" si="36"/>
        <v>TX0104515_002</v>
      </c>
      <c r="D2312" s="2" t="s">
        <v>4268</v>
      </c>
    </row>
    <row r="2313" spans="1:4" x14ac:dyDescent="0.25">
      <c r="A2313" s="2" t="s">
        <v>6818</v>
      </c>
      <c r="B2313" s="2" t="s">
        <v>2924</v>
      </c>
      <c r="C2313" s="2" t="str">
        <f t="shared" si="36"/>
        <v>TX0104515_003</v>
      </c>
      <c r="D2313" s="2" t="s">
        <v>4268</v>
      </c>
    </row>
    <row r="2314" spans="1:4" x14ac:dyDescent="0.25">
      <c r="A2314" s="2" t="s">
        <v>6818</v>
      </c>
      <c r="B2314" s="2" t="s">
        <v>2921</v>
      </c>
      <c r="C2314" s="2" t="str">
        <f t="shared" si="36"/>
        <v>TX0104515_001</v>
      </c>
      <c r="D2314" s="2" t="s">
        <v>4268</v>
      </c>
    </row>
    <row r="2315" spans="1:4" x14ac:dyDescent="0.25">
      <c r="A2315" s="2" t="s">
        <v>6819</v>
      </c>
      <c r="B2315" s="2" t="s">
        <v>2923</v>
      </c>
      <c r="C2315" s="2" t="str">
        <f t="shared" si="36"/>
        <v>TX0104531_002</v>
      </c>
      <c r="D2315" s="2" t="s">
        <v>4269</v>
      </c>
    </row>
    <row r="2316" spans="1:4" x14ac:dyDescent="0.25">
      <c r="A2316" s="2" t="s">
        <v>6819</v>
      </c>
      <c r="B2316" s="2" t="s">
        <v>2924</v>
      </c>
      <c r="C2316" s="2" t="str">
        <f t="shared" si="36"/>
        <v>TX0104531_003</v>
      </c>
      <c r="D2316" s="2" t="s">
        <v>4269</v>
      </c>
    </row>
    <row r="2317" spans="1:4" x14ac:dyDescent="0.25">
      <c r="A2317" s="2" t="s">
        <v>6819</v>
      </c>
      <c r="B2317" s="2" t="s">
        <v>2936</v>
      </c>
      <c r="C2317" s="2" t="str">
        <f t="shared" si="36"/>
        <v>TX0104531_004</v>
      </c>
      <c r="D2317" s="2" t="s">
        <v>4269</v>
      </c>
    </row>
    <row r="2318" spans="1:4" x14ac:dyDescent="0.25">
      <c r="A2318" s="2" t="s">
        <v>6819</v>
      </c>
      <c r="B2318" s="2" t="s">
        <v>2934</v>
      </c>
      <c r="C2318" s="2" t="str">
        <f t="shared" si="36"/>
        <v>TX0104531_005</v>
      </c>
      <c r="D2318" s="2" t="s">
        <v>4269</v>
      </c>
    </row>
    <row r="2319" spans="1:4" x14ac:dyDescent="0.25">
      <c r="A2319" s="2" t="s">
        <v>6819</v>
      </c>
      <c r="B2319" s="2" t="s">
        <v>2921</v>
      </c>
      <c r="C2319" s="2" t="str">
        <f t="shared" si="36"/>
        <v>TX0104531_001</v>
      </c>
      <c r="D2319" s="2" t="s">
        <v>4269</v>
      </c>
    </row>
    <row r="2320" spans="1:4" x14ac:dyDescent="0.25">
      <c r="A2320" s="2" t="s">
        <v>6820</v>
      </c>
      <c r="B2320" s="2" t="s">
        <v>2921</v>
      </c>
      <c r="C2320" s="2" t="str">
        <f t="shared" si="36"/>
        <v>TX0104558_001</v>
      </c>
      <c r="D2320" s="2" t="s">
        <v>4270</v>
      </c>
    </row>
    <row r="2321" spans="1:4" x14ac:dyDescent="0.25">
      <c r="A2321" s="2" t="s">
        <v>6821</v>
      </c>
      <c r="B2321" s="2" t="s">
        <v>2921</v>
      </c>
      <c r="C2321" s="2" t="str">
        <f t="shared" si="36"/>
        <v>TX0104612_001</v>
      </c>
      <c r="D2321" s="2" t="s">
        <v>4271</v>
      </c>
    </row>
    <row r="2322" spans="1:4" x14ac:dyDescent="0.25">
      <c r="A2322" s="2" t="s">
        <v>6822</v>
      </c>
      <c r="B2322" s="2" t="s">
        <v>2921</v>
      </c>
      <c r="C2322" s="2" t="str">
        <f t="shared" si="36"/>
        <v>TX0104621_001</v>
      </c>
      <c r="D2322" s="2" t="s">
        <v>4272</v>
      </c>
    </row>
    <row r="2323" spans="1:4" x14ac:dyDescent="0.25">
      <c r="A2323" s="2" t="s">
        <v>6822</v>
      </c>
      <c r="B2323" s="2" t="s">
        <v>2924</v>
      </c>
      <c r="C2323" s="2" t="str">
        <f t="shared" si="36"/>
        <v>TX0104621_003</v>
      </c>
      <c r="D2323" s="2" t="s">
        <v>4272</v>
      </c>
    </row>
    <row r="2324" spans="1:4" x14ac:dyDescent="0.25">
      <c r="A2324" s="2" t="s">
        <v>6823</v>
      </c>
      <c r="B2324" s="2" t="s">
        <v>2921</v>
      </c>
      <c r="C2324" s="2" t="str">
        <f t="shared" si="36"/>
        <v>TX0104710_001</v>
      </c>
      <c r="D2324" s="2" t="s">
        <v>3922</v>
      </c>
    </row>
    <row r="2325" spans="1:4" x14ac:dyDescent="0.25">
      <c r="A2325" s="2" t="s">
        <v>6823</v>
      </c>
      <c r="B2325" s="2" t="s">
        <v>2923</v>
      </c>
      <c r="C2325" s="2" t="str">
        <f t="shared" si="36"/>
        <v>TX0104710_002</v>
      </c>
      <c r="D2325" s="2" t="s">
        <v>3922</v>
      </c>
    </row>
    <row r="2326" spans="1:4" x14ac:dyDescent="0.25">
      <c r="A2326" s="2" t="s">
        <v>6823</v>
      </c>
      <c r="B2326" s="2" t="s">
        <v>2924</v>
      </c>
      <c r="C2326" s="2" t="str">
        <f t="shared" si="36"/>
        <v>TX0104710_003</v>
      </c>
      <c r="D2326" s="2" t="s">
        <v>3922</v>
      </c>
    </row>
    <row r="2327" spans="1:4" x14ac:dyDescent="0.25">
      <c r="A2327" s="2" t="s">
        <v>6824</v>
      </c>
      <c r="B2327" s="2" t="s">
        <v>2921</v>
      </c>
      <c r="C2327" s="2" t="str">
        <f t="shared" si="36"/>
        <v>TX0104752_001</v>
      </c>
      <c r="D2327" s="2" t="s">
        <v>4273</v>
      </c>
    </row>
    <row r="2328" spans="1:4" x14ac:dyDescent="0.25">
      <c r="A2328" s="2" t="s">
        <v>6825</v>
      </c>
      <c r="B2328" s="2" t="s">
        <v>2921</v>
      </c>
      <c r="C2328" s="2" t="str">
        <f t="shared" si="36"/>
        <v>TX0104761_001</v>
      </c>
      <c r="D2328" s="2" t="s">
        <v>4274</v>
      </c>
    </row>
    <row r="2329" spans="1:4" x14ac:dyDescent="0.25">
      <c r="A2329" s="2" t="s">
        <v>6826</v>
      </c>
      <c r="B2329" s="2" t="s">
        <v>2921</v>
      </c>
      <c r="C2329" s="2" t="str">
        <f t="shared" si="36"/>
        <v>TX0104795_001</v>
      </c>
      <c r="D2329" s="2" t="s">
        <v>3457</v>
      </c>
    </row>
    <row r="2330" spans="1:4" x14ac:dyDescent="0.25">
      <c r="A2330" s="2" t="s">
        <v>6827</v>
      </c>
      <c r="B2330" s="2" t="s">
        <v>2921</v>
      </c>
      <c r="C2330" s="2" t="str">
        <f t="shared" si="36"/>
        <v>TX0104833_001</v>
      </c>
      <c r="D2330" s="2" t="s">
        <v>4275</v>
      </c>
    </row>
    <row r="2331" spans="1:4" x14ac:dyDescent="0.25">
      <c r="A2331" s="2" t="s">
        <v>6828</v>
      </c>
      <c r="B2331" s="2" t="s">
        <v>2921</v>
      </c>
      <c r="C2331" s="2" t="str">
        <f t="shared" si="36"/>
        <v>TX0104876_001</v>
      </c>
      <c r="D2331" s="2" t="s">
        <v>4276</v>
      </c>
    </row>
    <row r="2332" spans="1:4" x14ac:dyDescent="0.25">
      <c r="A2332" s="2" t="s">
        <v>6829</v>
      </c>
      <c r="B2332" s="2" t="s">
        <v>2921</v>
      </c>
      <c r="C2332" s="2" t="str">
        <f t="shared" si="36"/>
        <v>TX0104884_001</v>
      </c>
      <c r="D2332" s="2" t="s">
        <v>4277</v>
      </c>
    </row>
    <row r="2333" spans="1:4" x14ac:dyDescent="0.25">
      <c r="A2333" s="2" t="s">
        <v>6830</v>
      </c>
      <c r="B2333" s="2" t="s">
        <v>2921</v>
      </c>
      <c r="C2333" s="2" t="str">
        <f t="shared" si="36"/>
        <v>TX0104957_001</v>
      </c>
      <c r="D2333" s="2" t="s">
        <v>3193</v>
      </c>
    </row>
    <row r="2334" spans="1:4" x14ac:dyDescent="0.25">
      <c r="A2334" s="2" t="s">
        <v>6830</v>
      </c>
      <c r="B2334" s="2" t="s">
        <v>2923</v>
      </c>
      <c r="C2334" s="2" t="str">
        <f t="shared" si="36"/>
        <v>TX0104957_002</v>
      </c>
      <c r="D2334" s="2" t="s">
        <v>3193</v>
      </c>
    </row>
    <row r="2335" spans="1:4" x14ac:dyDescent="0.25">
      <c r="A2335" s="2" t="s">
        <v>6831</v>
      </c>
      <c r="B2335" s="2" t="s">
        <v>2921</v>
      </c>
      <c r="C2335" s="2" t="str">
        <f t="shared" si="36"/>
        <v>TX0104965_001</v>
      </c>
      <c r="D2335" s="2" t="s">
        <v>4278</v>
      </c>
    </row>
    <row r="2336" spans="1:4" x14ac:dyDescent="0.25">
      <c r="A2336" s="2" t="s">
        <v>6832</v>
      </c>
      <c r="B2336" s="2" t="s">
        <v>2921</v>
      </c>
      <c r="C2336" s="2" t="str">
        <f t="shared" si="36"/>
        <v>TX0104990_001</v>
      </c>
      <c r="D2336" s="2" t="s">
        <v>4279</v>
      </c>
    </row>
    <row r="2337" spans="1:4" x14ac:dyDescent="0.25">
      <c r="A2337" s="2" t="s">
        <v>6833</v>
      </c>
      <c r="B2337" s="2" t="s">
        <v>2921</v>
      </c>
      <c r="C2337" s="2" t="str">
        <f t="shared" si="36"/>
        <v>TX0105015_001</v>
      </c>
      <c r="D2337" s="2" t="s">
        <v>4280</v>
      </c>
    </row>
    <row r="2338" spans="1:4" x14ac:dyDescent="0.25">
      <c r="A2338" s="2" t="s">
        <v>6834</v>
      </c>
      <c r="B2338" s="2" t="s">
        <v>2921</v>
      </c>
      <c r="C2338" s="2" t="str">
        <f t="shared" si="36"/>
        <v>TX0105031_001</v>
      </c>
      <c r="D2338" s="2" t="s">
        <v>3286</v>
      </c>
    </row>
    <row r="2339" spans="1:4" x14ac:dyDescent="0.25">
      <c r="A2339" s="2" t="s">
        <v>6835</v>
      </c>
      <c r="B2339" s="2" t="s">
        <v>2921</v>
      </c>
      <c r="C2339" s="2" t="str">
        <f t="shared" si="36"/>
        <v>TX0105058_001</v>
      </c>
      <c r="D2339" s="2" t="s">
        <v>3110</v>
      </c>
    </row>
    <row r="2340" spans="1:4" x14ac:dyDescent="0.25">
      <c r="A2340" s="2" t="s">
        <v>6835</v>
      </c>
      <c r="B2340" s="2" t="s">
        <v>2923</v>
      </c>
      <c r="C2340" s="2" t="str">
        <f t="shared" si="36"/>
        <v>TX0105058_002</v>
      </c>
      <c r="D2340" s="2" t="s">
        <v>3110</v>
      </c>
    </row>
    <row r="2341" spans="1:4" x14ac:dyDescent="0.25">
      <c r="A2341" s="2" t="s">
        <v>6835</v>
      </c>
      <c r="B2341" s="2" t="s">
        <v>2924</v>
      </c>
      <c r="C2341" s="2" t="str">
        <f t="shared" si="36"/>
        <v>TX0105058_003</v>
      </c>
      <c r="D2341" s="2" t="s">
        <v>3110</v>
      </c>
    </row>
    <row r="2342" spans="1:4" x14ac:dyDescent="0.25">
      <c r="A2342" s="2" t="s">
        <v>6836</v>
      </c>
      <c r="B2342" s="2" t="s">
        <v>2921</v>
      </c>
      <c r="C2342" s="2" t="str">
        <f t="shared" si="36"/>
        <v>TX0105066_001</v>
      </c>
      <c r="D2342" s="2" t="s">
        <v>3546</v>
      </c>
    </row>
    <row r="2343" spans="1:4" x14ac:dyDescent="0.25">
      <c r="A2343" s="2" t="s">
        <v>6837</v>
      </c>
      <c r="B2343" s="2" t="s">
        <v>2921</v>
      </c>
      <c r="C2343" s="2" t="str">
        <f t="shared" si="36"/>
        <v>TX0105091_001</v>
      </c>
      <c r="D2343" s="2" t="s">
        <v>4281</v>
      </c>
    </row>
    <row r="2344" spans="1:4" x14ac:dyDescent="0.25">
      <c r="A2344" s="2" t="s">
        <v>6838</v>
      </c>
      <c r="B2344" s="2" t="s">
        <v>2921</v>
      </c>
      <c r="C2344" s="2" t="str">
        <f t="shared" si="36"/>
        <v>TX0105104_001</v>
      </c>
      <c r="D2344" s="2" t="s">
        <v>4282</v>
      </c>
    </row>
    <row r="2345" spans="1:4" x14ac:dyDescent="0.25">
      <c r="A2345" s="2" t="s">
        <v>6839</v>
      </c>
      <c r="B2345" s="2" t="s">
        <v>2921</v>
      </c>
      <c r="C2345" s="2" t="str">
        <f t="shared" si="36"/>
        <v>TX0105155_001</v>
      </c>
      <c r="D2345" s="2" t="s">
        <v>4283</v>
      </c>
    </row>
    <row r="2346" spans="1:4" x14ac:dyDescent="0.25">
      <c r="A2346" s="2" t="s">
        <v>6840</v>
      </c>
      <c r="B2346" s="2" t="s">
        <v>2921</v>
      </c>
      <c r="C2346" s="2" t="str">
        <f t="shared" si="36"/>
        <v>TX0105163_001</v>
      </c>
      <c r="D2346" s="2" t="s">
        <v>4283</v>
      </c>
    </row>
    <row r="2347" spans="1:4" x14ac:dyDescent="0.25">
      <c r="A2347" s="2" t="s">
        <v>6841</v>
      </c>
      <c r="B2347" s="2" t="s">
        <v>2921</v>
      </c>
      <c r="C2347" s="2" t="str">
        <f t="shared" si="36"/>
        <v>TX0105171_001</v>
      </c>
      <c r="D2347" s="2" t="s">
        <v>4284</v>
      </c>
    </row>
    <row r="2348" spans="1:4" x14ac:dyDescent="0.25">
      <c r="A2348" s="2" t="s">
        <v>6842</v>
      </c>
      <c r="B2348" s="2" t="s">
        <v>2921</v>
      </c>
      <c r="C2348" s="2" t="str">
        <f t="shared" si="36"/>
        <v>TX0105201_001</v>
      </c>
      <c r="D2348" s="2" t="s">
        <v>4285</v>
      </c>
    </row>
    <row r="2349" spans="1:4" x14ac:dyDescent="0.25">
      <c r="A2349" s="2" t="s">
        <v>6843</v>
      </c>
      <c r="B2349" s="2" t="s">
        <v>2921</v>
      </c>
      <c r="C2349" s="2" t="str">
        <f t="shared" si="36"/>
        <v>TX0105210_001</v>
      </c>
      <c r="D2349" s="2" t="s">
        <v>4286</v>
      </c>
    </row>
    <row r="2350" spans="1:4" x14ac:dyDescent="0.25">
      <c r="A2350" s="2" t="s">
        <v>6844</v>
      </c>
      <c r="B2350" s="2" t="s">
        <v>2921</v>
      </c>
      <c r="C2350" s="2" t="str">
        <f t="shared" si="36"/>
        <v>TX0105261_001</v>
      </c>
      <c r="D2350" s="2" t="s">
        <v>4287</v>
      </c>
    </row>
    <row r="2351" spans="1:4" x14ac:dyDescent="0.25">
      <c r="A2351" s="2" t="s">
        <v>6845</v>
      </c>
      <c r="B2351" s="2" t="s">
        <v>2921</v>
      </c>
      <c r="C2351" s="2" t="str">
        <f t="shared" si="36"/>
        <v>TX0105287_001</v>
      </c>
      <c r="D2351" s="2" t="s">
        <v>4288</v>
      </c>
    </row>
    <row r="2352" spans="1:4" x14ac:dyDescent="0.25">
      <c r="A2352" s="2" t="s">
        <v>6845</v>
      </c>
      <c r="B2352" s="2" t="s">
        <v>2923</v>
      </c>
      <c r="C2352" s="2" t="str">
        <f t="shared" si="36"/>
        <v>TX0105287_002</v>
      </c>
      <c r="D2352" s="2" t="s">
        <v>4288</v>
      </c>
    </row>
    <row r="2353" spans="1:4" x14ac:dyDescent="0.25">
      <c r="A2353" s="2" t="s">
        <v>6846</v>
      </c>
      <c r="B2353" s="2" t="s">
        <v>2921</v>
      </c>
      <c r="C2353" s="2" t="str">
        <f t="shared" si="36"/>
        <v>TX0105376_001</v>
      </c>
      <c r="D2353" s="2" t="s">
        <v>4289</v>
      </c>
    </row>
    <row r="2354" spans="1:4" x14ac:dyDescent="0.25">
      <c r="A2354" s="2" t="s">
        <v>6847</v>
      </c>
      <c r="B2354" s="2" t="s">
        <v>2921</v>
      </c>
      <c r="C2354" s="2" t="str">
        <f t="shared" si="36"/>
        <v>TX0105406_001</v>
      </c>
      <c r="D2354" s="2" t="s">
        <v>4290</v>
      </c>
    </row>
    <row r="2355" spans="1:4" x14ac:dyDescent="0.25">
      <c r="A2355" s="2" t="s">
        <v>6848</v>
      </c>
      <c r="B2355" s="2" t="s">
        <v>2923</v>
      </c>
      <c r="C2355" s="2" t="str">
        <f t="shared" si="36"/>
        <v>TX0105481_002</v>
      </c>
      <c r="D2355" s="2" t="s">
        <v>4291</v>
      </c>
    </row>
    <row r="2356" spans="1:4" x14ac:dyDescent="0.25">
      <c r="A2356" s="2" t="s">
        <v>6848</v>
      </c>
      <c r="B2356" s="2" t="s">
        <v>2921</v>
      </c>
      <c r="C2356" s="2" t="str">
        <f t="shared" si="36"/>
        <v>TX0105481_001</v>
      </c>
      <c r="D2356" s="2" t="s">
        <v>4291</v>
      </c>
    </row>
    <row r="2357" spans="1:4" x14ac:dyDescent="0.25">
      <c r="A2357" s="2" t="s">
        <v>6849</v>
      </c>
      <c r="B2357" s="2" t="s">
        <v>2921</v>
      </c>
      <c r="C2357" s="2" t="str">
        <f t="shared" si="36"/>
        <v>TX0105651_001</v>
      </c>
      <c r="D2357" s="2" t="s">
        <v>3620</v>
      </c>
    </row>
    <row r="2358" spans="1:4" x14ac:dyDescent="0.25">
      <c r="A2358" s="2" t="s">
        <v>6849</v>
      </c>
      <c r="B2358" s="2" t="s">
        <v>2923</v>
      </c>
      <c r="C2358" s="2" t="str">
        <f t="shared" si="36"/>
        <v>TX0105651_002</v>
      </c>
      <c r="D2358" s="2" t="s">
        <v>3620</v>
      </c>
    </row>
    <row r="2359" spans="1:4" x14ac:dyDescent="0.25">
      <c r="A2359" s="2" t="s">
        <v>6850</v>
      </c>
      <c r="B2359" s="2" t="s">
        <v>2921</v>
      </c>
      <c r="C2359" s="2" t="str">
        <f t="shared" si="36"/>
        <v>TX0105872_001</v>
      </c>
      <c r="D2359" s="2" t="s">
        <v>4292</v>
      </c>
    </row>
    <row r="2360" spans="1:4" x14ac:dyDescent="0.25">
      <c r="A2360" s="2" t="s">
        <v>6851</v>
      </c>
      <c r="B2360" s="2" t="s">
        <v>2921</v>
      </c>
      <c r="C2360" s="2" t="str">
        <f t="shared" si="36"/>
        <v>TX0105899_001</v>
      </c>
      <c r="D2360" s="2" t="s">
        <v>4293</v>
      </c>
    </row>
    <row r="2361" spans="1:4" x14ac:dyDescent="0.25">
      <c r="A2361" s="2" t="s">
        <v>6852</v>
      </c>
      <c r="B2361" s="2" t="s">
        <v>2921</v>
      </c>
      <c r="C2361" s="2" t="str">
        <f t="shared" si="36"/>
        <v>TX0105902_001</v>
      </c>
      <c r="D2361" s="2" t="s">
        <v>4294</v>
      </c>
    </row>
    <row r="2362" spans="1:4" x14ac:dyDescent="0.25">
      <c r="A2362" s="2" t="s">
        <v>6853</v>
      </c>
      <c r="B2362" s="2" t="s">
        <v>2921</v>
      </c>
      <c r="C2362" s="2" t="str">
        <f t="shared" si="36"/>
        <v>TX0105937_001</v>
      </c>
      <c r="D2362" s="2" t="s">
        <v>2982</v>
      </c>
    </row>
    <row r="2363" spans="1:4" x14ac:dyDescent="0.25">
      <c r="A2363" s="2" t="s">
        <v>6853</v>
      </c>
      <c r="B2363" s="2" t="s">
        <v>2923</v>
      </c>
      <c r="C2363" s="2" t="str">
        <f t="shared" si="36"/>
        <v>TX0105937_002</v>
      </c>
      <c r="D2363" s="2" t="s">
        <v>2982</v>
      </c>
    </row>
    <row r="2364" spans="1:4" x14ac:dyDescent="0.25">
      <c r="A2364" s="2" t="s">
        <v>6854</v>
      </c>
      <c r="B2364" s="2" t="s">
        <v>2921</v>
      </c>
      <c r="C2364" s="2" t="str">
        <f t="shared" si="36"/>
        <v>TX0105988_001</v>
      </c>
      <c r="D2364" s="2" t="s">
        <v>4295</v>
      </c>
    </row>
    <row r="2365" spans="1:4" x14ac:dyDescent="0.25">
      <c r="A2365" s="2" t="s">
        <v>6855</v>
      </c>
      <c r="B2365" s="2" t="s">
        <v>2921</v>
      </c>
      <c r="C2365" s="2" t="str">
        <f t="shared" si="36"/>
        <v>TX0105996_001</v>
      </c>
      <c r="D2365" s="2" t="s">
        <v>4296</v>
      </c>
    </row>
    <row r="2366" spans="1:4" x14ac:dyDescent="0.25">
      <c r="A2366" s="2" t="s">
        <v>6856</v>
      </c>
      <c r="B2366" s="2" t="s">
        <v>2921</v>
      </c>
      <c r="C2366" s="2" t="str">
        <f t="shared" si="36"/>
        <v>TX0106046_001</v>
      </c>
      <c r="D2366" s="2" t="s">
        <v>4297</v>
      </c>
    </row>
    <row r="2367" spans="1:4" x14ac:dyDescent="0.25">
      <c r="A2367" s="2" t="s">
        <v>6857</v>
      </c>
      <c r="B2367" s="2" t="s">
        <v>2921</v>
      </c>
      <c r="C2367" s="2" t="str">
        <f t="shared" si="36"/>
        <v>TX0106054_001</v>
      </c>
      <c r="D2367" s="2" t="s">
        <v>4298</v>
      </c>
    </row>
    <row r="2368" spans="1:4" x14ac:dyDescent="0.25">
      <c r="A2368" s="2" t="s">
        <v>6857</v>
      </c>
      <c r="B2368" s="2" t="s">
        <v>2923</v>
      </c>
      <c r="C2368" s="2" t="str">
        <f t="shared" si="36"/>
        <v>TX0106054_002</v>
      </c>
      <c r="D2368" s="2" t="s">
        <v>4298</v>
      </c>
    </row>
    <row r="2369" spans="1:4" x14ac:dyDescent="0.25">
      <c r="A2369" s="2" t="s">
        <v>6858</v>
      </c>
      <c r="B2369" s="2" t="s">
        <v>2959</v>
      </c>
      <c r="C2369" s="2" t="str">
        <f t="shared" si="36"/>
        <v>TX0106071_007</v>
      </c>
      <c r="D2369" s="2" t="s">
        <v>4299</v>
      </c>
    </row>
    <row r="2370" spans="1:4" x14ac:dyDescent="0.25">
      <c r="A2370" s="2" t="s">
        <v>6858</v>
      </c>
      <c r="B2370" s="2" t="s">
        <v>2921</v>
      </c>
      <c r="C2370" s="2" t="str">
        <f t="shared" si="36"/>
        <v>TX0106071_001</v>
      </c>
      <c r="D2370" s="2" t="s">
        <v>4299</v>
      </c>
    </row>
    <row r="2371" spans="1:4" x14ac:dyDescent="0.25">
      <c r="A2371" s="2" t="s">
        <v>6859</v>
      </c>
      <c r="B2371" s="2" t="s">
        <v>2921</v>
      </c>
      <c r="C2371" s="2" t="str">
        <f t="shared" ref="C2371:C2434" si="37">A2371 &amp; "_" &amp; B2371</f>
        <v>TX0106101_001</v>
      </c>
      <c r="D2371" s="2" t="s">
        <v>4300</v>
      </c>
    </row>
    <row r="2372" spans="1:4" x14ac:dyDescent="0.25">
      <c r="A2372" s="2" t="s">
        <v>6860</v>
      </c>
      <c r="B2372" s="2" t="s">
        <v>2921</v>
      </c>
      <c r="C2372" s="2" t="str">
        <f t="shared" si="37"/>
        <v>TX0106119_001</v>
      </c>
      <c r="D2372" s="2" t="s">
        <v>4301</v>
      </c>
    </row>
    <row r="2373" spans="1:4" x14ac:dyDescent="0.25">
      <c r="A2373" s="2" t="s">
        <v>6861</v>
      </c>
      <c r="B2373" s="2" t="s">
        <v>2921</v>
      </c>
      <c r="C2373" s="2" t="str">
        <f t="shared" si="37"/>
        <v>TX0106208_001</v>
      </c>
      <c r="D2373" s="2" t="s">
        <v>4298</v>
      </c>
    </row>
    <row r="2374" spans="1:4" x14ac:dyDescent="0.25">
      <c r="A2374" s="2" t="s">
        <v>6862</v>
      </c>
      <c r="B2374" s="2" t="s">
        <v>2921</v>
      </c>
      <c r="C2374" s="2" t="str">
        <f t="shared" si="37"/>
        <v>TX0106224_001</v>
      </c>
      <c r="D2374" s="2" t="s">
        <v>4302</v>
      </c>
    </row>
    <row r="2375" spans="1:4" x14ac:dyDescent="0.25">
      <c r="A2375" s="2" t="s">
        <v>6863</v>
      </c>
      <c r="B2375" s="2" t="s">
        <v>2921</v>
      </c>
      <c r="C2375" s="2" t="str">
        <f t="shared" si="37"/>
        <v>TX0106291_001</v>
      </c>
      <c r="D2375" s="2" t="s">
        <v>4303</v>
      </c>
    </row>
    <row r="2376" spans="1:4" x14ac:dyDescent="0.25">
      <c r="A2376" s="2" t="s">
        <v>6864</v>
      </c>
      <c r="B2376" s="2" t="s">
        <v>2921</v>
      </c>
      <c r="C2376" s="2" t="str">
        <f t="shared" si="37"/>
        <v>TX0106437_001</v>
      </c>
      <c r="D2376" s="2" t="s">
        <v>4304</v>
      </c>
    </row>
    <row r="2377" spans="1:4" x14ac:dyDescent="0.25">
      <c r="A2377" s="2" t="s">
        <v>6865</v>
      </c>
      <c r="B2377" s="2" t="s">
        <v>2921</v>
      </c>
      <c r="C2377" s="2" t="str">
        <f t="shared" si="37"/>
        <v>TX0106461_001</v>
      </c>
      <c r="D2377" s="2" t="s">
        <v>2977</v>
      </c>
    </row>
    <row r="2378" spans="1:4" x14ac:dyDescent="0.25">
      <c r="A2378" s="2" t="s">
        <v>6866</v>
      </c>
      <c r="B2378" s="2" t="s">
        <v>2921</v>
      </c>
      <c r="C2378" s="2" t="str">
        <f t="shared" si="37"/>
        <v>TX0106488_001</v>
      </c>
      <c r="D2378" s="2" t="s">
        <v>4305</v>
      </c>
    </row>
    <row r="2379" spans="1:4" x14ac:dyDescent="0.25">
      <c r="A2379" s="2" t="s">
        <v>6867</v>
      </c>
      <c r="B2379" s="2" t="s">
        <v>2921</v>
      </c>
      <c r="C2379" s="2" t="str">
        <f t="shared" si="37"/>
        <v>TX0106542_001</v>
      </c>
      <c r="D2379" s="2" t="s">
        <v>4260</v>
      </c>
    </row>
    <row r="2380" spans="1:4" x14ac:dyDescent="0.25">
      <c r="A2380" s="2" t="s">
        <v>6867</v>
      </c>
      <c r="B2380" s="2" t="s">
        <v>2923</v>
      </c>
      <c r="C2380" s="2" t="str">
        <f t="shared" si="37"/>
        <v>TX0106542_002</v>
      </c>
      <c r="D2380" s="2" t="s">
        <v>4260</v>
      </c>
    </row>
    <row r="2381" spans="1:4" x14ac:dyDescent="0.25">
      <c r="A2381" s="2" t="s">
        <v>6868</v>
      </c>
      <c r="B2381" s="2" t="s">
        <v>2921</v>
      </c>
      <c r="C2381" s="2" t="str">
        <f t="shared" si="37"/>
        <v>TX0106551_001</v>
      </c>
      <c r="D2381" s="2" t="s">
        <v>4306</v>
      </c>
    </row>
    <row r="2382" spans="1:4" x14ac:dyDescent="0.25">
      <c r="A2382" s="2" t="s">
        <v>6869</v>
      </c>
      <c r="B2382" s="2" t="s">
        <v>2921</v>
      </c>
      <c r="C2382" s="2" t="str">
        <f t="shared" si="37"/>
        <v>TX0106704_001</v>
      </c>
      <c r="D2382" s="2" t="s">
        <v>3909</v>
      </c>
    </row>
    <row r="2383" spans="1:4" x14ac:dyDescent="0.25">
      <c r="A2383" s="2" t="s">
        <v>6870</v>
      </c>
      <c r="B2383" s="2" t="s">
        <v>2923</v>
      </c>
      <c r="C2383" s="2" t="str">
        <f t="shared" si="37"/>
        <v>TX0106721_002</v>
      </c>
      <c r="D2383" s="2" t="s">
        <v>4233</v>
      </c>
    </row>
    <row r="2384" spans="1:4" x14ac:dyDescent="0.25">
      <c r="A2384" s="2" t="s">
        <v>6870</v>
      </c>
      <c r="B2384" s="2" t="s">
        <v>2924</v>
      </c>
      <c r="C2384" s="2" t="str">
        <f t="shared" si="37"/>
        <v>TX0106721_003</v>
      </c>
      <c r="D2384" s="2" t="s">
        <v>4233</v>
      </c>
    </row>
    <row r="2385" spans="1:4" x14ac:dyDescent="0.25">
      <c r="A2385" s="2" t="s">
        <v>6871</v>
      </c>
      <c r="B2385" s="2" t="s">
        <v>2921</v>
      </c>
      <c r="C2385" s="2" t="str">
        <f t="shared" si="37"/>
        <v>TX0106836_001</v>
      </c>
      <c r="D2385" s="2" t="s">
        <v>4307</v>
      </c>
    </row>
    <row r="2386" spans="1:4" x14ac:dyDescent="0.25">
      <c r="A2386" s="2" t="s">
        <v>6872</v>
      </c>
      <c r="B2386" s="2" t="s">
        <v>2921</v>
      </c>
      <c r="C2386" s="2" t="str">
        <f t="shared" si="37"/>
        <v>TX0107107_001</v>
      </c>
      <c r="D2386" s="2" t="s">
        <v>4308</v>
      </c>
    </row>
    <row r="2387" spans="1:4" x14ac:dyDescent="0.25">
      <c r="A2387" s="2" t="s">
        <v>6873</v>
      </c>
      <c r="B2387" s="2" t="s">
        <v>2921</v>
      </c>
      <c r="C2387" s="2" t="str">
        <f t="shared" si="37"/>
        <v>TX0107395_001</v>
      </c>
      <c r="D2387" s="2" t="s">
        <v>2963</v>
      </c>
    </row>
    <row r="2388" spans="1:4" x14ac:dyDescent="0.25">
      <c r="A2388" s="2" t="s">
        <v>6874</v>
      </c>
      <c r="B2388" s="2" t="s">
        <v>2921</v>
      </c>
      <c r="C2388" s="2" t="str">
        <f t="shared" si="37"/>
        <v>TX0107425_001</v>
      </c>
      <c r="D2388" s="2" t="s">
        <v>4309</v>
      </c>
    </row>
    <row r="2389" spans="1:4" x14ac:dyDescent="0.25">
      <c r="A2389" s="2" t="s">
        <v>6875</v>
      </c>
      <c r="B2389" s="2" t="s">
        <v>2921</v>
      </c>
      <c r="C2389" s="2" t="str">
        <f t="shared" si="37"/>
        <v>TX0107492_001</v>
      </c>
      <c r="D2389" s="2" t="s">
        <v>4310</v>
      </c>
    </row>
    <row r="2390" spans="1:4" x14ac:dyDescent="0.25">
      <c r="A2390" s="2" t="s">
        <v>6876</v>
      </c>
      <c r="B2390" s="2" t="s">
        <v>2921</v>
      </c>
      <c r="C2390" s="2" t="str">
        <f t="shared" si="37"/>
        <v>TX0107719_001</v>
      </c>
      <c r="D2390" s="2" t="s">
        <v>4311</v>
      </c>
    </row>
    <row r="2391" spans="1:4" x14ac:dyDescent="0.25">
      <c r="A2391" s="2" t="s">
        <v>6877</v>
      </c>
      <c r="B2391" s="2" t="s">
        <v>2921</v>
      </c>
      <c r="C2391" s="2" t="str">
        <f t="shared" si="37"/>
        <v>TX0107743_001</v>
      </c>
      <c r="D2391" s="2" t="s">
        <v>4312</v>
      </c>
    </row>
    <row r="2392" spans="1:4" x14ac:dyDescent="0.25">
      <c r="A2392" s="2" t="s">
        <v>6878</v>
      </c>
      <c r="B2392" s="2" t="s">
        <v>2921</v>
      </c>
      <c r="C2392" s="2" t="str">
        <f t="shared" si="37"/>
        <v>TX0107867_001</v>
      </c>
      <c r="D2392" s="2" t="s">
        <v>4313</v>
      </c>
    </row>
    <row r="2393" spans="1:4" x14ac:dyDescent="0.25">
      <c r="A2393" s="2" t="s">
        <v>6879</v>
      </c>
      <c r="B2393" s="2" t="s">
        <v>2921</v>
      </c>
      <c r="C2393" s="2" t="str">
        <f t="shared" si="37"/>
        <v>TX0107875_001</v>
      </c>
      <c r="D2393" s="2" t="s">
        <v>4314</v>
      </c>
    </row>
    <row r="2394" spans="1:4" x14ac:dyDescent="0.25">
      <c r="A2394" s="2" t="s">
        <v>6880</v>
      </c>
      <c r="B2394" s="2" t="s">
        <v>2921</v>
      </c>
      <c r="C2394" s="2" t="str">
        <f t="shared" si="37"/>
        <v>TX0107981_001</v>
      </c>
      <c r="D2394" s="2" t="s">
        <v>4315</v>
      </c>
    </row>
    <row r="2395" spans="1:4" x14ac:dyDescent="0.25">
      <c r="A2395" s="2" t="s">
        <v>6881</v>
      </c>
      <c r="B2395" s="2" t="s">
        <v>2921</v>
      </c>
      <c r="C2395" s="2" t="str">
        <f t="shared" si="37"/>
        <v>TX0108065_001</v>
      </c>
      <c r="D2395" s="2" t="s">
        <v>4316</v>
      </c>
    </row>
    <row r="2396" spans="1:4" x14ac:dyDescent="0.25">
      <c r="A2396" s="2" t="s">
        <v>6882</v>
      </c>
      <c r="B2396" s="2" t="s">
        <v>2921</v>
      </c>
      <c r="C2396" s="2" t="str">
        <f t="shared" si="37"/>
        <v>TX0108120_001</v>
      </c>
      <c r="D2396" s="2" t="s">
        <v>4317</v>
      </c>
    </row>
    <row r="2397" spans="1:4" x14ac:dyDescent="0.25">
      <c r="A2397" s="2" t="s">
        <v>6883</v>
      </c>
      <c r="B2397" s="2" t="s">
        <v>2921</v>
      </c>
      <c r="C2397" s="2" t="str">
        <f t="shared" si="37"/>
        <v>TX0108138_001</v>
      </c>
      <c r="D2397" s="2" t="s">
        <v>4318</v>
      </c>
    </row>
    <row r="2398" spans="1:4" x14ac:dyDescent="0.25">
      <c r="A2398" s="2" t="s">
        <v>6884</v>
      </c>
      <c r="B2398" s="2" t="s">
        <v>2921</v>
      </c>
      <c r="C2398" s="2" t="str">
        <f t="shared" si="37"/>
        <v>TX0108146_001</v>
      </c>
      <c r="D2398" s="2" t="s">
        <v>2966</v>
      </c>
    </row>
    <row r="2399" spans="1:4" x14ac:dyDescent="0.25">
      <c r="A2399" s="2" t="s">
        <v>6885</v>
      </c>
      <c r="B2399" s="2" t="s">
        <v>2921</v>
      </c>
      <c r="C2399" s="2" t="str">
        <f t="shared" si="37"/>
        <v>TX0108332_001</v>
      </c>
      <c r="D2399" s="2" t="s">
        <v>4319</v>
      </c>
    </row>
    <row r="2400" spans="1:4" x14ac:dyDescent="0.25">
      <c r="A2400" s="2" t="s">
        <v>6885</v>
      </c>
      <c r="B2400" s="2" t="s">
        <v>2923</v>
      </c>
      <c r="C2400" s="2" t="str">
        <f t="shared" si="37"/>
        <v>TX0108332_002</v>
      </c>
      <c r="D2400" s="2" t="s">
        <v>4319</v>
      </c>
    </row>
    <row r="2401" spans="1:4" x14ac:dyDescent="0.25">
      <c r="A2401" s="2" t="s">
        <v>6885</v>
      </c>
      <c r="B2401" s="2" t="s">
        <v>2924</v>
      </c>
      <c r="C2401" s="2" t="str">
        <f t="shared" si="37"/>
        <v>TX0108332_003</v>
      </c>
      <c r="D2401" s="2" t="s">
        <v>4319</v>
      </c>
    </row>
    <row r="2402" spans="1:4" x14ac:dyDescent="0.25">
      <c r="A2402" s="2" t="s">
        <v>6885</v>
      </c>
      <c r="B2402" s="2" t="s">
        <v>2936</v>
      </c>
      <c r="C2402" s="2" t="str">
        <f t="shared" si="37"/>
        <v>TX0108332_004</v>
      </c>
      <c r="D2402" s="2" t="s">
        <v>4319</v>
      </c>
    </row>
    <row r="2403" spans="1:4" x14ac:dyDescent="0.25">
      <c r="A2403" s="2" t="s">
        <v>6886</v>
      </c>
      <c r="B2403" s="2" t="s">
        <v>2921</v>
      </c>
      <c r="C2403" s="2" t="str">
        <f t="shared" si="37"/>
        <v>TX0108367_001</v>
      </c>
      <c r="D2403" s="2" t="s">
        <v>4320</v>
      </c>
    </row>
    <row r="2404" spans="1:4" x14ac:dyDescent="0.25">
      <c r="A2404" s="2" t="s">
        <v>6887</v>
      </c>
      <c r="B2404" s="2" t="s">
        <v>2924</v>
      </c>
      <c r="C2404" s="2" t="str">
        <f t="shared" si="37"/>
        <v>TX0108405_003</v>
      </c>
      <c r="D2404" s="2" t="s">
        <v>4321</v>
      </c>
    </row>
    <row r="2405" spans="1:4" x14ac:dyDescent="0.25">
      <c r="A2405" s="2" t="s">
        <v>6887</v>
      </c>
      <c r="B2405" s="2" t="s">
        <v>2921</v>
      </c>
      <c r="C2405" s="2" t="str">
        <f t="shared" si="37"/>
        <v>TX0108405_001</v>
      </c>
      <c r="D2405" s="2" t="s">
        <v>4321</v>
      </c>
    </row>
    <row r="2406" spans="1:4" x14ac:dyDescent="0.25">
      <c r="A2406" s="2" t="s">
        <v>6887</v>
      </c>
      <c r="B2406" s="2" t="s">
        <v>2923</v>
      </c>
      <c r="C2406" s="2" t="str">
        <f t="shared" si="37"/>
        <v>TX0108405_002</v>
      </c>
      <c r="D2406" s="2" t="s">
        <v>4321</v>
      </c>
    </row>
    <row r="2407" spans="1:4" x14ac:dyDescent="0.25">
      <c r="A2407" s="2" t="s">
        <v>6888</v>
      </c>
      <c r="B2407" s="2" t="s">
        <v>2921</v>
      </c>
      <c r="C2407" s="2" t="str">
        <f t="shared" si="37"/>
        <v>TX0108499_001</v>
      </c>
      <c r="D2407" s="2" t="s">
        <v>3446</v>
      </c>
    </row>
    <row r="2408" spans="1:4" x14ac:dyDescent="0.25">
      <c r="A2408" s="2" t="s">
        <v>6889</v>
      </c>
      <c r="B2408" s="2" t="s">
        <v>2921</v>
      </c>
      <c r="C2408" s="2" t="str">
        <f t="shared" si="37"/>
        <v>TX0109011_001</v>
      </c>
      <c r="D2408" s="2" t="s">
        <v>4322</v>
      </c>
    </row>
    <row r="2409" spans="1:4" x14ac:dyDescent="0.25">
      <c r="A2409" s="2" t="s">
        <v>6889</v>
      </c>
      <c r="B2409" s="2" t="s">
        <v>3002</v>
      </c>
      <c r="C2409" s="2" t="str">
        <f t="shared" si="37"/>
        <v>TX0109011_021</v>
      </c>
      <c r="D2409" s="2" t="s">
        <v>4322</v>
      </c>
    </row>
    <row r="2410" spans="1:4" x14ac:dyDescent="0.25">
      <c r="A2410" s="2" t="s">
        <v>6890</v>
      </c>
      <c r="B2410" s="2" t="s">
        <v>2921</v>
      </c>
      <c r="C2410" s="2" t="str">
        <f t="shared" si="37"/>
        <v>TX0109126_001</v>
      </c>
      <c r="D2410" s="2" t="s">
        <v>4323</v>
      </c>
    </row>
    <row r="2411" spans="1:4" x14ac:dyDescent="0.25">
      <c r="A2411" s="2" t="s">
        <v>6891</v>
      </c>
      <c r="B2411" s="2" t="s">
        <v>2921</v>
      </c>
      <c r="C2411" s="2" t="str">
        <f t="shared" si="37"/>
        <v>TX0109339_001</v>
      </c>
      <c r="D2411" s="2" t="s">
        <v>4324</v>
      </c>
    </row>
    <row r="2412" spans="1:4" x14ac:dyDescent="0.25">
      <c r="A2412" s="2" t="s">
        <v>6892</v>
      </c>
      <c r="B2412" s="2" t="s">
        <v>2921</v>
      </c>
      <c r="C2412" s="2" t="str">
        <f t="shared" si="37"/>
        <v>TX0109444_001</v>
      </c>
      <c r="D2412" s="2" t="s">
        <v>3660</v>
      </c>
    </row>
    <row r="2413" spans="1:4" x14ac:dyDescent="0.25">
      <c r="A2413" s="2" t="s">
        <v>6893</v>
      </c>
      <c r="B2413" s="2" t="s">
        <v>2921</v>
      </c>
      <c r="C2413" s="2" t="str">
        <f t="shared" si="37"/>
        <v>TX0109622_001</v>
      </c>
      <c r="D2413" s="2" t="s">
        <v>4325</v>
      </c>
    </row>
    <row r="2414" spans="1:4" x14ac:dyDescent="0.25">
      <c r="A2414" s="2" t="s">
        <v>6894</v>
      </c>
      <c r="B2414" s="2" t="s">
        <v>2921</v>
      </c>
      <c r="C2414" s="2" t="str">
        <f t="shared" si="37"/>
        <v>TX0109886_001</v>
      </c>
      <c r="D2414" s="2" t="s">
        <v>4326</v>
      </c>
    </row>
    <row r="2415" spans="1:4" x14ac:dyDescent="0.25">
      <c r="A2415" s="2" t="s">
        <v>6895</v>
      </c>
      <c r="B2415" s="2" t="s">
        <v>2921</v>
      </c>
      <c r="C2415" s="2" t="str">
        <f t="shared" si="37"/>
        <v>TX0110035_001</v>
      </c>
      <c r="D2415" s="2" t="s">
        <v>4327</v>
      </c>
    </row>
    <row r="2416" spans="1:4" x14ac:dyDescent="0.25">
      <c r="A2416" s="2" t="s">
        <v>6896</v>
      </c>
      <c r="B2416" s="2" t="s">
        <v>2921</v>
      </c>
      <c r="C2416" s="2" t="str">
        <f t="shared" si="37"/>
        <v>TX0110124_001</v>
      </c>
      <c r="D2416" s="2" t="s">
        <v>4102</v>
      </c>
    </row>
    <row r="2417" spans="1:4" x14ac:dyDescent="0.25">
      <c r="A2417" s="2" t="s">
        <v>6896</v>
      </c>
      <c r="B2417" s="2" t="s">
        <v>2923</v>
      </c>
      <c r="C2417" s="2" t="str">
        <f t="shared" si="37"/>
        <v>TX0110124_002</v>
      </c>
      <c r="D2417" s="2" t="s">
        <v>4102</v>
      </c>
    </row>
    <row r="2418" spans="1:4" x14ac:dyDescent="0.25">
      <c r="A2418" s="2" t="s">
        <v>6896</v>
      </c>
      <c r="B2418" s="2" t="s">
        <v>2924</v>
      </c>
      <c r="C2418" s="2" t="str">
        <f t="shared" si="37"/>
        <v>TX0110124_003</v>
      </c>
      <c r="D2418" s="2" t="s">
        <v>4102</v>
      </c>
    </row>
    <row r="2419" spans="1:4" x14ac:dyDescent="0.25">
      <c r="A2419" s="2" t="s">
        <v>6897</v>
      </c>
      <c r="B2419" s="2" t="s">
        <v>2921</v>
      </c>
      <c r="C2419" s="2" t="str">
        <f t="shared" si="37"/>
        <v>TX0110337_001</v>
      </c>
      <c r="D2419" s="2" t="s">
        <v>4328</v>
      </c>
    </row>
    <row r="2420" spans="1:4" x14ac:dyDescent="0.25">
      <c r="A2420" s="2" t="s">
        <v>6898</v>
      </c>
      <c r="B2420" s="2" t="s">
        <v>2921</v>
      </c>
      <c r="C2420" s="2" t="str">
        <f t="shared" si="37"/>
        <v>TX0110361_001</v>
      </c>
      <c r="D2420" s="2" t="s">
        <v>3284</v>
      </c>
    </row>
    <row r="2421" spans="1:4" x14ac:dyDescent="0.25">
      <c r="A2421" s="2" t="s">
        <v>6899</v>
      </c>
      <c r="B2421" s="2" t="s">
        <v>2921</v>
      </c>
      <c r="C2421" s="2" t="str">
        <f t="shared" si="37"/>
        <v>TX0110647_001</v>
      </c>
      <c r="D2421" s="2" t="s">
        <v>4329</v>
      </c>
    </row>
    <row r="2422" spans="1:4" x14ac:dyDescent="0.25">
      <c r="A2422" s="2" t="s">
        <v>6900</v>
      </c>
      <c r="B2422" s="2" t="s">
        <v>2921</v>
      </c>
      <c r="C2422" s="2" t="str">
        <f t="shared" si="37"/>
        <v>TX0110663_001</v>
      </c>
      <c r="D2422" s="2" t="s">
        <v>4111</v>
      </c>
    </row>
    <row r="2423" spans="1:4" x14ac:dyDescent="0.25">
      <c r="A2423" s="2" t="s">
        <v>6901</v>
      </c>
      <c r="B2423" s="2" t="s">
        <v>2921</v>
      </c>
      <c r="C2423" s="2" t="str">
        <f t="shared" si="37"/>
        <v>TX0111201_001</v>
      </c>
      <c r="D2423" s="2" t="s">
        <v>4330</v>
      </c>
    </row>
    <row r="2424" spans="1:4" x14ac:dyDescent="0.25">
      <c r="A2424" s="2" t="s">
        <v>6902</v>
      </c>
      <c r="B2424" s="2" t="s">
        <v>2921</v>
      </c>
      <c r="C2424" s="2" t="str">
        <f t="shared" si="37"/>
        <v>TX0111325_001</v>
      </c>
      <c r="D2424" s="2" t="s">
        <v>4331</v>
      </c>
    </row>
    <row r="2425" spans="1:4" x14ac:dyDescent="0.25">
      <c r="A2425" s="2" t="s">
        <v>6903</v>
      </c>
      <c r="B2425" s="2" t="s">
        <v>2921</v>
      </c>
      <c r="C2425" s="2" t="str">
        <f t="shared" si="37"/>
        <v>TX0111333_001</v>
      </c>
      <c r="D2425" s="2" t="s">
        <v>4332</v>
      </c>
    </row>
    <row r="2426" spans="1:4" x14ac:dyDescent="0.25">
      <c r="A2426" s="2" t="s">
        <v>6904</v>
      </c>
      <c r="B2426" s="2" t="s">
        <v>2921</v>
      </c>
      <c r="C2426" s="2" t="str">
        <f t="shared" si="37"/>
        <v>TX0111341_001</v>
      </c>
      <c r="D2426" s="2" t="s">
        <v>4333</v>
      </c>
    </row>
    <row r="2427" spans="1:4" x14ac:dyDescent="0.25">
      <c r="A2427" s="2" t="s">
        <v>6905</v>
      </c>
      <c r="B2427" s="2" t="s">
        <v>2921</v>
      </c>
      <c r="C2427" s="2" t="str">
        <f t="shared" si="37"/>
        <v>TX0111350_001</v>
      </c>
      <c r="D2427" s="2" t="s">
        <v>4334</v>
      </c>
    </row>
    <row r="2428" spans="1:4" x14ac:dyDescent="0.25">
      <c r="A2428" s="2" t="s">
        <v>6906</v>
      </c>
      <c r="B2428" s="2" t="s">
        <v>2921</v>
      </c>
      <c r="C2428" s="2" t="str">
        <f t="shared" si="37"/>
        <v>TX0111465_001</v>
      </c>
      <c r="D2428" s="2" t="s">
        <v>4335</v>
      </c>
    </row>
    <row r="2429" spans="1:4" x14ac:dyDescent="0.25">
      <c r="A2429" s="2" t="s">
        <v>6907</v>
      </c>
      <c r="B2429" s="2" t="s">
        <v>2921</v>
      </c>
      <c r="C2429" s="2" t="str">
        <f t="shared" si="37"/>
        <v>TX0111520_001</v>
      </c>
      <c r="D2429" s="2" t="s">
        <v>4336</v>
      </c>
    </row>
    <row r="2430" spans="1:4" x14ac:dyDescent="0.25">
      <c r="A2430" s="2" t="s">
        <v>6908</v>
      </c>
      <c r="B2430" s="2" t="s">
        <v>2921</v>
      </c>
      <c r="C2430" s="2" t="str">
        <f t="shared" si="37"/>
        <v>TX0111589_001</v>
      </c>
      <c r="D2430" s="2" t="s">
        <v>4337</v>
      </c>
    </row>
    <row r="2431" spans="1:4" x14ac:dyDescent="0.25">
      <c r="A2431" s="2" t="s">
        <v>6909</v>
      </c>
      <c r="B2431" s="2" t="s">
        <v>2921</v>
      </c>
      <c r="C2431" s="2" t="str">
        <f t="shared" si="37"/>
        <v>TX0111660_001</v>
      </c>
      <c r="D2431" s="2" t="s">
        <v>4338</v>
      </c>
    </row>
    <row r="2432" spans="1:4" x14ac:dyDescent="0.25">
      <c r="A2432" s="2" t="s">
        <v>6910</v>
      </c>
      <c r="B2432" s="2" t="s">
        <v>2921</v>
      </c>
      <c r="C2432" s="2" t="str">
        <f t="shared" si="37"/>
        <v>TX0111767_001</v>
      </c>
      <c r="D2432" s="2" t="s">
        <v>4339</v>
      </c>
    </row>
    <row r="2433" spans="1:4" x14ac:dyDescent="0.25">
      <c r="A2433" s="2" t="s">
        <v>6911</v>
      </c>
      <c r="B2433" s="2" t="s">
        <v>2921</v>
      </c>
      <c r="C2433" s="2" t="str">
        <f t="shared" si="37"/>
        <v>TX0111791_001</v>
      </c>
      <c r="D2433" s="2" t="s">
        <v>3297</v>
      </c>
    </row>
    <row r="2434" spans="1:4" x14ac:dyDescent="0.25">
      <c r="A2434" s="2" t="s">
        <v>6912</v>
      </c>
      <c r="B2434" s="2" t="s">
        <v>2921</v>
      </c>
      <c r="C2434" s="2" t="str">
        <f t="shared" si="37"/>
        <v>TX0111872_001</v>
      </c>
      <c r="D2434" s="2" t="s">
        <v>3670</v>
      </c>
    </row>
    <row r="2435" spans="1:4" x14ac:dyDescent="0.25">
      <c r="A2435" s="2" t="s">
        <v>6913</v>
      </c>
      <c r="B2435" s="2" t="s">
        <v>2921</v>
      </c>
      <c r="C2435" s="2" t="str">
        <f t="shared" ref="C2435:C2498" si="38">A2435 &amp; "_" &amp; B2435</f>
        <v>TX0111937_001</v>
      </c>
      <c r="D2435" s="2" t="s">
        <v>4340</v>
      </c>
    </row>
    <row r="2436" spans="1:4" x14ac:dyDescent="0.25">
      <c r="A2436" s="2" t="s">
        <v>6914</v>
      </c>
      <c r="B2436" s="2" t="s">
        <v>2921</v>
      </c>
      <c r="C2436" s="2" t="str">
        <f t="shared" si="38"/>
        <v>TX0112038_001</v>
      </c>
      <c r="D2436" s="2" t="s">
        <v>4341</v>
      </c>
    </row>
    <row r="2437" spans="1:4" x14ac:dyDescent="0.25">
      <c r="A2437" s="2" t="s">
        <v>6914</v>
      </c>
      <c r="B2437" s="2" t="s">
        <v>2923</v>
      </c>
      <c r="C2437" s="2" t="str">
        <f t="shared" si="38"/>
        <v>TX0112038_002</v>
      </c>
      <c r="D2437" s="2" t="s">
        <v>4341</v>
      </c>
    </row>
    <row r="2438" spans="1:4" x14ac:dyDescent="0.25">
      <c r="A2438" s="2" t="s">
        <v>6914</v>
      </c>
      <c r="B2438" s="2" t="s">
        <v>2924</v>
      </c>
      <c r="C2438" s="2" t="str">
        <f t="shared" si="38"/>
        <v>TX0112038_003</v>
      </c>
      <c r="D2438" s="2" t="s">
        <v>4341</v>
      </c>
    </row>
    <row r="2439" spans="1:4" x14ac:dyDescent="0.25">
      <c r="A2439" s="2" t="s">
        <v>6914</v>
      </c>
      <c r="B2439" s="2" t="s">
        <v>2936</v>
      </c>
      <c r="C2439" s="2" t="str">
        <f t="shared" si="38"/>
        <v>TX0112038_004</v>
      </c>
      <c r="D2439" s="2" t="s">
        <v>4341</v>
      </c>
    </row>
    <row r="2440" spans="1:4" x14ac:dyDescent="0.25">
      <c r="A2440" s="2" t="s">
        <v>6915</v>
      </c>
      <c r="B2440" s="2" t="s">
        <v>2921</v>
      </c>
      <c r="C2440" s="2" t="str">
        <f t="shared" si="38"/>
        <v>TX0112119_001</v>
      </c>
      <c r="D2440" s="2" t="s">
        <v>4342</v>
      </c>
    </row>
    <row r="2441" spans="1:4" x14ac:dyDescent="0.25">
      <c r="A2441" s="2" t="s">
        <v>6916</v>
      </c>
      <c r="B2441" s="2" t="s">
        <v>2921</v>
      </c>
      <c r="C2441" s="2" t="str">
        <f t="shared" si="38"/>
        <v>TX0112151_001</v>
      </c>
      <c r="D2441" s="2" t="s">
        <v>4343</v>
      </c>
    </row>
    <row r="2442" spans="1:4" x14ac:dyDescent="0.25">
      <c r="A2442" s="2" t="s">
        <v>6917</v>
      </c>
      <c r="B2442" s="2" t="s">
        <v>2921</v>
      </c>
      <c r="C2442" s="2" t="str">
        <f t="shared" si="38"/>
        <v>TX0112259_001</v>
      </c>
      <c r="D2442" s="2" t="s">
        <v>4174</v>
      </c>
    </row>
    <row r="2443" spans="1:4" x14ac:dyDescent="0.25">
      <c r="A2443" s="2" t="s">
        <v>6918</v>
      </c>
      <c r="B2443" s="2" t="s">
        <v>2921</v>
      </c>
      <c r="C2443" s="2" t="str">
        <f t="shared" si="38"/>
        <v>TX0112283_001</v>
      </c>
      <c r="D2443" s="2" t="s">
        <v>4344</v>
      </c>
    </row>
    <row r="2444" spans="1:4" x14ac:dyDescent="0.25">
      <c r="A2444" s="2" t="s">
        <v>6919</v>
      </c>
      <c r="B2444" s="2" t="s">
        <v>2921</v>
      </c>
      <c r="C2444" s="2" t="str">
        <f t="shared" si="38"/>
        <v>TX0112461_001</v>
      </c>
      <c r="D2444" s="2" t="s">
        <v>4345</v>
      </c>
    </row>
    <row r="2445" spans="1:4" x14ac:dyDescent="0.25">
      <c r="A2445" s="2" t="s">
        <v>6919</v>
      </c>
      <c r="B2445" s="2" t="s">
        <v>2923</v>
      </c>
      <c r="C2445" s="2" t="str">
        <f t="shared" si="38"/>
        <v>TX0112461_002</v>
      </c>
      <c r="D2445" s="2" t="s">
        <v>4345</v>
      </c>
    </row>
    <row r="2446" spans="1:4" x14ac:dyDescent="0.25">
      <c r="A2446" s="2" t="s">
        <v>6920</v>
      </c>
      <c r="B2446" s="2" t="s">
        <v>2921</v>
      </c>
      <c r="C2446" s="2" t="str">
        <f t="shared" si="38"/>
        <v>TX0112585_001</v>
      </c>
      <c r="D2446" s="2" t="s">
        <v>4346</v>
      </c>
    </row>
    <row r="2447" spans="1:4" x14ac:dyDescent="0.25">
      <c r="A2447" s="2" t="s">
        <v>6921</v>
      </c>
      <c r="B2447" s="2" t="s">
        <v>2921</v>
      </c>
      <c r="C2447" s="2" t="str">
        <f t="shared" si="38"/>
        <v>TX0112593_001</v>
      </c>
      <c r="D2447" s="2" t="s">
        <v>4347</v>
      </c>
    </row>
    <row r="2448" spans="1:4" x14ac:dyDescent="0.25">
      <c r="A2448" s="2" t="s">
        <v>6922</v>
      </c>
      <c r="B2448" s="2" t="s">
        <v>2921</v>
      </c>
      <c r="C2448" s="2" t="str">
        <f t="shared" si="38"/>
        <v>TX0112691_001</v>
      </c>
      <c r="D2448" s="2" t="s">
        <v>4348</v>
      </c>
    </row>
    <row r="2449" spans="1:4" x14ac:dyDescent="0.25">
      <c r="A2449" s="2" t="s">
        <v>6922</v>
      </c>
      <c r="B2449" s="2" t="s">
        <v>2923</v>
      </c>
      <c r="C2449" s="2" t="str">
        <f t="shared" si="38"/>
        <v>TX0112691_002</v>
      </c>
      <c r="D2449" s="2" t="s">
        <v>4348</v>
      </c>
    </row>
    <row r="2450" spans="1:4" x14ac:dyDescent="0.25">
      <c r="A2450" s="2" t="s">
        <v>6922</v>
      </c>
      <c r="B2450" s="2" t="s">
        <v>2924</v>
      </c>
      <c r="C2450" s="2" t="str">
        <f t="shared" si="38"/>
        <v>TX0112691_003</v>
      </c>
      <c r="D2450" s="2" t="s">
        <v>4348</v>
      </c>
    </row>
    <row r="2451" spans="1:4" x14ac:dyDescent="0.25">
      <c r="A2451" s="2" t="s">
        <v>6922</v>
      </c>
      <c r="B2451" s="2" t="s">
        <v>2936</v>
      </c>
      <c r="C2451" s="2" t="str">
        <f t="shared" si="38"/>
        <v>TX0112691_004</v>
      </c>
      <c r="D2451" s="2" t="s">
        <v>4348</v>
      </c>
    </row>
    <row r="2452" spans="1:4" x14ac:dyDescent="0.25">
      <c r="A2452" s="2" t="s">
        <v>6923</v>
      </c>
      <c r="B2452" s="2" t="s">
        <v>2921</v>
      </c>
      <c r="C2452" s="2" t="str">
        <f t="shared" si="38"/>
        <v>TX0112739_001</v>
      </c>
      <c r="D2452" s="2" t="s">
        <v>4349</v>
      </c>
    </row>
    <row r="2453" spans="1:4" x14ac:dyDescent="0.25">
      <c r="A2453" s="2" t="s">
        <v>6924</v>
      </c>
      <c r="B2453" s="2" t="s">
        <v>2921</v>
      </c>
      <c r="C2453" s="2" t="str">
        <f t="shared" si="38"/>
        <v>TX0112747_001</v>
      </c>
      <c r="D2453" s="2" t="s">
        <v>3286</v>
      </c>
    </row>
    <row r="2454" spans="1:4" x14ac:dyDescent="0.25">
      <c r="A2454" s="2" t="s">
        <v>6925</v>
      </c>
      <c r="B2454" s="2" t="s">
        <v>2921</v>
      </c>
      <c r="C2454" s="2" t="str">
        <f t="shared" si="38"/>
        <v>TX0112763_001</v>
      </c>
      <c r="D2454" s="2" t="s">
        <v>4350</v>
      </c>
    </row>
    <row r="2455" spans="1:4" x14ac:dyDescent="0.25">
      <c r="A2455" s="2" t="s">
        <v>6926</v>
      </c>
      <c r="B2455" s="2" t="s">
        <v>2921</v>
      </c>
      <c r="C2455" s="2" t="str">
        <f t="shared" si="38"/>
        <v>TX0112861_001</v>
      </c>
      <c r="D2455" s="2" t="s">
        <v>4351</v>
      </c>
    </row>
    <row r="2456" spans="1:4" x14ac:dyDescent="0.25">
      <c r="A2456" s="2" t="s">
        <v>6927</v>
      </c>
      <c r="B2456" s="2" t="s">
        <v>2921</v>
      </c>
      <c r="C2456" s="2" t="str">
        <f t="shared" si="38"/>
        <v>TX0113000_001</v>
      </c>
      <c r="D2456" s="2" t="s">
        <v>4352</v>
      </c>
    </row>
    <row r="2457" spans="1:4" x14ac:dyDescent="0.25">
      <c r="A2457" s="2" t="s">
        <v>6928</v>
      </c>
      <c r="B2457" s="2" t="s">
        <v>2921</v>
      </c>
      <c r="C2457" s="2" t="str">
        <f t="shared" si="38"/>
        <v>TX0113026_001</v>
      </c>
      <c r="D2457" s="2" t="s">
        <v>3537</v>
      </c>
    </row>
    <row r="2458" spans="1:4" x14ac:dyDescent="0.25">
      <c r="A2458" s="2" t="s">
        <v>6929</v>
      </c>
      <c r="B2458" s="2" t="s">
        <v>2921</v>
      </c>
      <c r="C2458" s="2" t="str">
        <f t="shared" si="38"/>
        <v>TX0113107_001</v>
      </c>
      <c r="D2458" s="2" t="s">
        <v>4353</v>
      </c>
    </row>
    <row r="2459" spans="1:4" x14ac:dyDescent="0.25">
      <c r="A2459" s="2" t="s">
        <v>6930</v>
      </c>
      <c r="B2459" s="2" t="s">
        <v>2921</v>
      </c>
      <c r="C2459" s="2" t="str">
        <f t="shared" si="38"/>
        <v>TX0113115_001</v>
      </c>
      <c r="D2459" s="2" t="s">
        <v>3893</v>
      </c>
    </row>
    <row r="2460" spans="1:4" x14ac:dyDescent="0.25">
      <c r="A2460" s="2" t="s">
        <v>6931</v>
      </c>
      <c r="B2460" s="2" t="s">
        <v>2921</v>
      </c>
      <c r="C2460" s="2" t="str">
        <f t="shared" si="38"/>
        <v>TX0113123_001</v>
      </c>
      <c r="D2460" s="2" t="s">
        <v>3893</v>
      </c>
    </row>
    <row r="2461" spans="1:4" x14ac:dyDescent="0.25">
      <c r="A2461" s="2" t="s">
        <v>6932</v>
      </c>
      <c r="B2461" s="2" t="s">
        <v>2921</v>
      </c>
      <c r="C2461" s="2" t="str">
        <f t="shared" si="38"/>
        <v>TX0113131_001</v>
      </c>
      <c r="D2461" s="2" t="s">
        <v>3110</v>
      </c>
    </row>
    <row r="2462" spans="1:4" x14ac:dyDescent="0.25">
      <c r="A2462" s="2" t="s">
        <v>6933</v>
      </c>
      <c r="B2462" s="2" t="s">
        <v>2921</v>
      </c>
      <c r="C2462" s="2" t="str">
        <f t="shared" si="38"/>
        <v>TX0113379_001</v>
      </c>
      <c r="D2462" s="2" t="s">
        <v>4354</v>
      </c>
    </row>
    <row r="2463" spans="1:4" x14ac:dyDescent="0.25">
      <c r="A2463" s="2" t="s">
        <v>6934</v>
      </c>
      <c r="B2463" s="2" t="s">
        <v>2921</v>
      </c>
      <c r="C2463" s="2" t="str">
        <f t="shared" si="38"/>
        <v>TX0113484_001</v>
      </c>
      <c r="D2463" s="2" t="s">
        <v>4355</v>
      </c>
    </row>
    <row r="2464" spans="1:4" x14ac:dyDescent="0.25">
      <c r="A2464" s="2" t="s">
        <v>6935</v>
      </c>
      <c r="B2464" s="2" t="s">
        <v>2921</v>
      </c>
      <c r="C2464" s="2" t="str">
        <f t="shared" si="38"/>
        <v>TX0113565_001</v>
      </c>
      <c r="D2464" s="2" t="s">
        <v>3248</v>
      </c>
    </row>
    <row r="2465" spans="1:4" x14ac:dyDescent="0.25">
      <c r="A2465" s="2" t="s">
        <v>6936</v>
      </c>
      <c r="B2465" s="2" t="s">
        <v>2921</v>
      </c>
      <c r="C2465" s="2" t="str">
        <f t="shared" si="38"/>
        <v>TX0113573_001</v>
      </c>
      <c r="D2465" s="2" t="s">
        <v>4292</v>
      </c>
    </row>
    <row r="2466" spans="1:4" x14ac:dyDescent="0.25">
      <c r="A2466" s="2" t="s">
        <v>6937</v>
      </c>
      <c r="B2466" s="2" t="s">
        <v>2921</v>
      </c>
      <c r="C2466" s="2" t="str">
        <f t="shared" si="38"/>
        <v>TX0113603_001</v>
      </c>
      <c r="D2466" s="2" t="s">
        <v>4356</v>
      </c>
    </row>
    <row r="2467" spans="1:4" x14ac:dyDescent="0.25">
      <c r="A2467" s="2" t="s">
        <v>6938</v>
      </c>
      <c r="B2467" s="2" t="s">
        <v>2921</v>
      </c>
      <c r="C2467" s="2" t="str">
        <f t="shared" si="38"/>
        <v>TX0113697_001</v>
      </c>
      <c r="D2467" s="2" t="s">
        <v>4357</v>
      </c>
    </row>
    <row r="2468" spans="1:4" x14ac:dyDescent="0.25">
      <c r="A2468" s="2" t="s">
        <v>6939</v>
      </c>
      <c r="B2468" s="2" t="s">
        <v>2921</v>
      </c>
      <c r="C2468" s="2" t="str">
        <f t="shared" si="38"/>
        <v>TX0113760_001</v>
      </c>
      <c r="D2468" s="2" t="s">
        <v>4358</v>
      </c>
    </row>
    <row r="2469" spans="1:4" x14ac:dyDescent="0.25">
      <c r="A2469" s="2" t="s">
        <v>6940</v>
      </c>
      <c r="B2469" s="2" t="s">
        <v>2921</v>
      </c>
      <c r="C2469" s="2" t="str">
        <f t="shared" si="38"/>
        <v>TX0113786_001</v>
      </c>
      <c r="D2469" s="2" t="s">
        <v>3199</v>
      </c>
    </row>
    <row r="2470" spans="1:4" x14ac:dyDescent="0.25">
      <c r="A2470" s="2" t="s">
        <v>6941</v>
      </c>
      <c r="B2470" s="2" t="s">
        <v>2921</v>
      </c>
      <c r="C2470" s="2" t="str">
        <f t="shared" si="38"/>
        <v>TX0113859_001</v>
      </c>
      <c r="D2470" s="2" t="s">
        <v>3511</v>
      </c>
    </row>
    <row r="2471" spans="1:4" x14ac:dyDescent="0.25">
      <c r="A2471" s="2" t="s">
        <v>6942</v>
      </c>
      <c r="B2471" s="2" t="s">
        <v>2921</v>
      </c>
      <c r="C2471" s="2" t="str">
        <f t="shared" si="38"/>
        <v>TX0113875_001</v>
      </c>
      <c r="D2471" s="2" t="s">
        <v>4359</v>
      </c>
    </row>
    <row r="2472" spans="1:4" x14ac:dyDescent="0.25">
      <c r="A2472" s="2" t="s">
        <v>6943</v>
      </c>
      <c r="B2472" s="2" t="s">
        <v>2921</v>
      </c>
      <c r="C2472" s="2" t="str">
        <f t="shared" si="38"/>
        <v>TX0113883_001</v>
      </c>
      <c r="D2472" s="2" t="s">
        <v>4360</v>
      </c>
    </row>
    <row r="2473" spans="1:4" x14ac:dyDescent="0.25">
      <c r="A2473" s="2" t="s">
        <v>6944</v>
      </c>
      <c r="B2473" s="2" t="s">
        <v>2921</v>
      </c>
      <c r="C2473" s="2" t="str">
        <f t="shared" si="38"/>
        <v>TX0113913_001</v>
      </c>
      <c r="D2473" s="2" t="s">
        <v>4191</v>
      </c>
    </row>
    <row r="2474" spans="1:4" x14ac:dyDescent="0.25">
      <c r="A2474" s="2" t="s">
        <v>6945</v>
      </c>
      <c r="B2474" s="2" t="s">
        <v>2921</v>
      </c>
      <c r="C2474" s="2" t="str">
        <f t="shared" si="38"/>
        <v>TX0113930_001</v>
      </c>
      <c r="D2474" s="2" t="s">
        <v>4103</v>
      </c>
    </row>
    <row r="2475" spans="1:4" x14ac:dyDescent="0.25">
      <c r="A2475" s="2" t="s">
        <v>6946</v>
      </c>
      <c r="B2475" s="2" t="s">
        <v>2921</v>
      </c>
      <c r="C2475" s="2" t="str">
        <f t="shared" si="38"/>
        <v>TX0113972_001</v>
      </c>
      <c r="D2475" s="2" t="s">
        <v>4361</v>
      </c>
    </row>
    <row r="2476" spans="1:4" x14ac:dyDescent="0.25">
      <c r="A2476" s="2" t="s">
        <v>6947</v>
      </c>
      <c r="B2476" s="2" t="s">
        <v>2921</v>
      </c>
      <c r="C2476" s="2" t="str">
        <f t="shared" si="38"/>
        <v>TX0113981_001</v>
      </c>
      <c r="D2476" s="2" t="s">
        <v>4242</v>
      </c>
    </row>
    <row r="2477" spans="1:4" x14ac:dyDescent="0.25">
      <c r="A2477" s="2" t="s">
        <v>6948</v>
      </c>
      <c r="B2477" s="2" t="s">
        <v>2921</v>
      </c>
      <c r="C2477" s="2" t="str">
        <f t="shared" si="38"/>
        <v>TX0114006_001</v>
      </c>
      <c r="D2477" s="2" t="s">
        <v>3185</v>
      </c>
    </row>
    <row r="2478" spans="1:4" x14ac:dyDescent="0.25">
      <c r="A2478" s="2" t="s">
        <v>6949</v>
      </c>
      <c r="B2478" s="2" t="s">
        <v>2921</v>
      </c>
      <c r="C2478" s="2" t="str">
        <f t="shared" si="38"/>
        <v>TX0114031_001</v>
      </c>
      <c r="D2478" s="2" t="s">
        <v>4362</v>
      </c>
    </row>
    <row r="2479" spans="1:4" x14ac:dyDescent="0.25">
      <c r="A2479" s="2" t="s">
        <v>6950</v>
      </c>
      <c r="B2479" s="2" t="s">
        <v>2921</v>
      </c>
      <c r="C2479" s="2" t="str">
        <f t="shared" si="38"/>
        <v>TX0114413_001</v>
      </c>
      <c r="D2479" s="2" t="s">
        <v>4363</v>
      </c>
    </row>
    <row r="2480" spans="1:4" x14ac:dyDescent="0.25">
      <c r="A2480" s="2" t="s">
        <v>6951</v>
      </c>
      <c r="B2480" s="2" t="s">
        <v>2921</v>
      </c>
      <c r="C2480" s="2" t="str">
        <f t="shared" si="38"/>
        <v>TX0114812_001</v>
      </c>
      <c r="D2480" s="2" t="s">
        <v>4364</v>
      </c>
    </row>
    <row r="2481" spans="1:4" x14ac:dyDescent="0.25">
      <c r="A2481" s="2" t="s">
        <v>6952</v>
      </c>
      <c r="B2481" s="2" t="s">
        <v>2921</v>
      </c>
      <c r="C2481" s="2" t="str">
        <f t="shared" si="38"/>
        <v>TX0114821_001</v>
      </c>
      <c r="D2481" s="2" t="s">
        <v>4365</v>
      </c>
    </row>
    <row r="2482" spans="1:4" x14ac:dyDescent="0.25">
      <c r="A2482" s="2" t="s">
        <v>6953</v>
      </c>
      <c r="B2482" s="2" t="s">
        <v>2921</v>
      </c>
      <c r="C2482" s="2" t="str">
        <f t="shared" si="38"/>
        <v>TX0114839_001</v>
      </c>
      <c r="D2482" s="2" t="s">
        <v>4366</v>
      </c>
    </row>
    <row r="2483" spans="1:4" x14ac:dyDescent="0.25">
      <c r="A2483" s="2" t="s">
        <v>6954</v>
      </c>
      <c r="B2483" s="2" t="s">
        <v>2921</v>
      </c>
      <c r="C2483" s="2" t="str">
        <f t="shared" si="38"/>
        <v>TX0114847_001</v>
      </c>
      <c r="D2483" s="2" t="s">
        <v>4020</v>
      </c>
    </row>
    <row r="2484" spans="1:4" x14ac:dyDescent="0.25">
      <c r="A2484" s="2" t="s">
        <v>6955</v>
      </c>
      <c r="B2484" s="2" t="s">
        <v>2921</v>
      </c>
      <c r="C2484" s="2" t="str">
        <f t="shared" si="38"/>
        <v>TX0114855_001</v>
      </c>
      <c r="D2484" s="2" t="s">
        <v>4117</v>
      </c>
    </row>
    <row r="2485" spans="1:4" x14ac:dyDescent="0.25">
      <c r="A2485" s="2" t="s">
        <v>6956</v>
      </c>
      <c r="B2485" s="2" t="s">
        <v>2921</v>
      </c>
      <c r="C2485" s="2" t="str">
        <f t="shared" si="38"/>
        <v>TX0114880_001</v>
      </c>
      <c r="D2485" s="2" t="s">
        <v>4367</v>
      </c>
    </row>
    <row r="2486" spans="1:4" x14ac:dyDescent="0.25">
      <c r="A2486" s="2" t="s">
        <v>6957</v>
      </c>
      <c r="B2486" s="2" t="s">
        <v>2921</v>
      </c>
      <c r="C2486" s="2" t="str">
        <f t="shared" si="38"/>
        <v>TX0114995_001</v>
      </c>
      <c r="D2486" s="2" t="s">
        <v>4368</v>
      </c>
    </row>
    <row r="2487" spans="1:4" x14ac:dyDescent="0.25">
      <c r="A2487" s="2" t="s">
        <v>6958</v>
      </c>
      <c r="B2487" s="2" t="s">
        <v>2921</v>
      </c>
      <c r="C2487" s="2" t="str">
        <f t="shared" si="38"/>
        <v>TX0115002_001</v>
      </c>
      <c r="D2487" s="2" t="s">
        <v>4369</v>
      </c>
    </row>
    <row r="2488" spans="1:4" x14ac:dyDescent="0.25">
      <c r="A2488" s="2" t="s">
        <v>6959</v>
      </c>
      <c r="B2488" s="2" t="s">
        <v>2921</v>
      </c>
      <c r="C2488" s="2" t="str">
        <f t="shared" si="38"/>
        <v>TX0115134_001</v>
      </c>
      <c r="D2488" s="2" t="s">
        <v>4370</v>
      </c>
    </row>
    <row r="2489" spans="1:4" x14ac:dyDescent="0.25">
      <c r="A2489" s="2" t="s">
        <v>6960</v>
      </c>
      <c r="B2489" s="2" t="s">
        <v>2921</v>
      </c>
      <c r="C2489" s="2" t="str">
        <f t="shared" si="38"/>
        <v>TX0115142_001</v>
      </c>
      <c r="D2489" s="2" t="s">
        <v>4371</v>
      </c>
    </row>
    <row r="2490" spans="1:4" x14ac:dyDescent="0.25">
      <c r="A2490" s="2" t="s">
        <v>6961</v>
      </c>
      <c r="B2490" s="2" t="s">
        <v>2921</v>
      </c>
      <c r="C2490" s="2" t="str">
        <f t="shared" si="38"/>
        <v>TX0115169_001</v>
      </c>
      <c r="D2490" s="2" t="s">
        <v>3433</v>
      </c>
    </row>
    <row r="2491" spans="1:4" x14ac:dyDescent="0.25">
      <c r="A2491" s="2" t="s">
        <v>6962</v>
      </c>
      <c r="B2491" s="2" t="s">
        <v>2921</v>
      </c>
      <c r="C2491" s="2" t="str">
        <f t="shared" si="38"/>
        <v>TX0115177_001</v>
      </c>
      <c r="D2491" s="2" t="s">
        <v>4372</v>
      </c>
    </row>
    <row r="2492" spans="1:4" x14ac:dyDescent="0.25">
      <c r="A2492" s="2" t="s">
        <v>6963</v>
      </c>
      <c r="B2492" s="2" t="s">
        <v>2921</v>
      </c>
      <c r="C2492" s="2" t="str">
        <f t="shared" si="38"/>
        <v>TX0115657_001</v>
      </c>
      <c r="D2492" s="2" t="s">
        <v>4373</v>
      </c>
    </row>
    <row r="2493" spans="1:4" x14ac:dyDescent="0.25">
      <c r="A2493" s="2" t="s">
        <v>6964</v>
      </c>
      <c r="B2493" s="2" t="s">
        <v>2921</v>
      </c>
      <c r="C2493" s="2" t="str">
        <f t="shared" si="38"/>
        <v>TX0115797_001</v>
      </c>
      <c r="D2493" s="2" t="s">
        <v>3917</v>
      </c>
    </row>
    <row r="2494" spans="1:4" x14ac:dyDescent="0.25">
      <c r="A2494" s="2" t="s">
        <v>6965</v>
      </c>
      <c r="B2494" s="2" t="s">
        <v>2921</v>
      </c>
      <c r="C2494" s="2" t="str">
        <f t="shared" si="38"/>
        <v>TX0115819_001</v>
      </c>
      <c r="D2494" s="2" t="s">
        <v>3846</v>
      </c>
    </row>
    <row r="2495" spans="1:4" x14ac:dyDescent="0.25">
      <c r="A2495" s="2" t="s">
        <v>6966</v>
      </c>
      <c r="B2495" s="2" t="s">
        <v>2921</v>
      </c>
      <c r="C2495" s="2" t="str">
        <f t="shared" si="38"/>
        <v>TX0115827_001</v>
      </c>
      <c r="D2495" s="2" t="s">
        <v>4103</v>
      </c>
    </row>
    <row r="2496" spans="1:4" x14ac:dyDescent="0.25">
      <c r="A2496" s="2" t="s">
        <v>6967</v>
      </c>
      <c r="B2496" s="2" t="s">
        <v>2921</v>
      </c>
      <c r="C2496" s="2" t="str">
        <f t="shared" si="38"/>
        <v>TX0115851_001</v>
      </c>
      <c r="D2496" s="2" t="s">
        <v>4034</v>
      </c>
    </row>
    <row r="2497" spans="1:4" x14ac:dyDescent="0.25">
      <c r="A2497" s="2" t="s">
        <v>6967</v>
      </c>
      <c r="B2497" s="2" t="s">
        <v>2923</v>
      </c>
      <c r="C2497" s="2" t="str">
        <f t="shared" si="38"/>
        <v>TX0115851_002</v>
      </c>
      <c r="D2497" s="2" t="s">
        <v>4034</v>
      </c>
    </row>
    <row r="2498" spans="1:4" x14ac:dyDescent="0.25">
      <c r="A2498" s="2" t="s">
        <v>6967</v>
      </c>
      <c r="B2498" s="2" t="s">
        <v>2924</v>
      </c>
      <c r="C2498" s="2" t="str">
        <f t="shared" si="38"/>
        <v>TX0115851_003</v>
      </c>
      <c r="D2498" s="2" t="s">
        <v>4034</v>
      </c>
    </row>
    <row r="2499" spans="1:4" x14ac:dyDescent="0.25">
      <c r="A2499" s="2" t="s">
        <v>6967</v>
      </c>
      <c r="B2499" s="2" t="s">
        <v>2936</v>
      </c>
      <c r="C2499" s="2" t="str">
        <f t="shared" ref="C2499:C2562" si="39">A2499 &amp; "_" &amp; B2499</f>
        <v>TX0115851_004</v>
      </c>
      <c r="D2499" s="2" t="s">
        <v>4034</v>
      </c>
    </row>
    <row r="2500" spans="1:4" x14ac:dyDescent="0.25">
      <c r="A2500" s="2" t="s">
        <v>6967</v>
      </c>
      <c r="B2500" s="2" t="s">
        <v>2934</v>
      </c>
      <c r="C2500" s="2" t="str">
        <f t="shared" si="39"/>
        <v>TX0115851_005</v>
      </c>
      <c r="D2500" s="2" t="s">
        <v>4034</v>
      </c>
    </row>
    <row r="2501" spans="1:4" x14ac:dyDescent="0.25">
      <c r="A2501" s="2" t="s">
        <v>6967</v>
      </c>
      <c r="B2501" s="2" t="s">
        <v>2959</v>
      </c>
      <c r="C2501" s="2" t="str">
        <f t="shared" si="39"/>
        <v>TX0115851_007</v>
      </c>
      <c r="D2501" s="2" t="s">
        <v>4034</v>
      </c>
    </row>
    <row r="2502" spans="1:4" x14ac:dyDescent="0.25">
      <c r="A2502" s="2" t="s">
        <v>6967</v>
      </c>
      <c r="B2502" s="2" t="s">
        <v>2946</v>
      </c>
      <c r="C2502" s="2" t="str">
        <f t="shared" si="39"/>
        <v>TX0115851_008</v>
      </c>
      <c r="D2502" s="2" t="s">
        <v>4034</v>
      </c>
    </row>
    <row r="2503" spans="1:4" x14ac:dyDescent="0.25">
      <c r="A2503" s="2" t="s">
        <v>6968</v>
      </c>
      <c r="B2503" s="2" t="s">
        <v>2921</v>
      </c>
      <c r="C2503" s="2" t="str">
        <f t="shared" si="39"/>
        <v>TX0115894_001</v>
      </c>
      <c r="D2503" s="2" t="s">
        <v>4374</v>
      </c>
    </row>
    <row r="2504" spans="1:4" x14ac:dyDescent="0.25">
      <c r="A2504" s="2" t="s">
        <v>6969</v>
      </c>
      <c r="B2504" s="2" t="s">
        <v>2921</v>
      </c>
      <c r="C2504" s="2" t="str">
        <f t="shared" si="39"/>
        <v>TX0115924_001</v>
      </c>
      <c r="D2504" s="2" t="s">
        <v>3110</v>
      </c>
    </row>
    <row r="2505" spans="1:4" x14ac:dyDescent="0.25">
      <c r="A2505" s="2" t="s">
        <v>6970</v>
      </c>
      <c r="B2505" s="2" t="s">
        <v>2921</v>
      </c>
      <c r="C2505" s="2" t="str">
        <f t="shared" si="39"/>
        <v>TX0115983_001</v>
      </c>
      <c r="D2505" s="2" t="s">
        <v>4375</v>
      </c>
    </row>
    <row r="2506" spans="1:4" x14ac:dyDescent="0.25">
      <c r="A2506" s="2" t="s">
        <v>6971</v>
      </c>
      <c r="B2506" s="2" t="s">
        <v>2921</v>
      </c>
      <c r="C2506" s="2" t="str">
        <f t="shared" si="39"/>
        <v>TX0115991_001</v>
      </c>
      <c r="D2506" s="2" t="s">
        <v>4292</v>
      </c>
    </row>
    <row r="2507" spans="1:4" x14ac:dyDescent="0.25">
      <c r="A2507" s="2" t="s">
        <v>6972</v>
      </c>
      <c r="B2507" s="2" t="s">
        <v>2921</v>
      </c>
      <c r="C2507" s="2" t="str">
        <f t="shared" si="39"/>
        <v>TX0116009_001</v>
      </c>
      <c r="D2507" s="2" t="s">
        <v>4376</v>
      </c>
    </row>
    <row r="2508" spans="1:4" x14ac:dyDescent="0.25">
      <c r="A2508" s="2" t="s">
        <v>6973</v>
      </c>
      <c r="B2508" s="2" t="s">
        <v>2921</v>
      </c>
      <c r="C2508" s="2" t="str">
        <f t="shared" si="39"/>
        <v>TX0116068_001</v>
      </c>
      <c r="D2508" s="2" t="s">
        <v>4377</v>
      </c>
    </row>
    <row r="2509" spans="1:4" x14ac:dyDescent="0.25">
      <c r="A2509" s="2" t="s">
        <v>6974</v>
      </c>
      <c r="B2509" s="2" t="s">
        <v>2921</v>
      </c>
      <c r="C2509" s="2" t="str">
        <f t="shared" si="39"/>
        <v>TX0116076_001</v>
      </c>
      <c r="D2509" s="2" t="s">
        <v>4378</v>
      </c>
    </row>
    <row r="2510" spans="1:4" x14ac:dyDescent="0.25">
      <c r="A2510" s="2" t="s">
        <v>6974</v>
      </c>
      <c r="B2510" s="2" t="s">
        <v>2924</v>
      </c>
      <c r="C2510" s="2" t="str">
        <f t="shared" si="39"/>
        <v>TX0116076_003</v>
      </c>
      <c r="D2510" s="2" t="s">
        <v>4378</v>
      </c>
    </row>
    <row r="2511" spans="1:4" x14ac:dyDescent="0.25">
      <c r="A2511" s="2" t="s">
        <v>6975</v>
      </c>
      <c r="B2511" s="2" t="s">
        <v>2921</v>
      </c>
      <c r="C2511" s="2" t="str">
        <f t="shared" si="39"/>
        <v>TX0116084_001</v>
      </c>
      <c r="D2511" s="2" t="s">
        <v>3196</v>
      </c>
    </row>
    <row r="2512" spans="1:4" x14ac:dyDescent="0.25">
      <c r="A2512" s="2" t="s">
        <v>6976</v>
      </c>
      <c r="B2512" s="2" t="s">
        <v>2921</v>
      </c>
      <c r="C2512" s="2" t="str">
        <f t="shared" si="39"/>
        <v>TX0116114_001</v>
      </c>
      <c r="D2512" s="2" t="s">
        <v>3181</v>
      </c>
    </row>
    <row r="2513" spans="1:4" x14ac:dyDescent="0.25">
      <c r="A2513" s="2" t="s">
        <v>6977</v>
      </c>
      <c r="B2513" s="2" t="s">
        <v>2921</v>
      </c>
      <c r="C2513" s="2" t="str">
        <f t="shared" si="39"/>
        <v>TX0116157_001</v>
      </c>
      <c r="D2513" s="2" t="s">
        <v>4379</v>
      </c>
    </row>
    <row r="2514" spans="1:4" x14ac:dyDescent="0.25">
      <c r="A2514" s="2" t="s">
        <v>6978</v>
      </c>
      <c r="B2514" s="2" t="s">
        <v>2921</v>
      </c>
      <c r="C2514" s="2" t="str">
        <f t="shared" si="39"/>
        <v>TX0116173_001</v>
      </c>
      <c r="D2514" s="2" t="s">
        <v>4380</v>
      </c>
    </row>
    <row r="2515" spans="1:4" x14ac:dyDescent="0.25">
      <c r="A2515" s="2" t="s">
        <v>6979</v>
      </c>
      <c r="B2515" s="2" t="s">
        <v>2921</v>
      </c>
      <c r="C2515" s="2" t="str">
        <f t="shared" si="39"/>
        <v>TX0116211_001</v>
      </c>
      <c r="D2515" s="2" t="s">
        <v>4381</v>
      </c>
    </row>
    <row r="2516" spans="1:4" x14ac:dyDescent="0.25">
      <c r="A2516" s="2" t="s">
        <v>6980</v>
      </c>
      <c r="B2516" s="2" t="s">
        <v>2921</v>
      </c>
      <c r="C2516" s="2" t="str">
        <f t="shared" si="39"/>
        <v>TX0116262_001</v>
      </c>
      <c r="D2516" s="2" t="s">
        <v>4382</v>
      </c>
    </row>
    <row r="2517" spans="1:4" x14ac:dyDescent="0.25">
      <c r="A2517" s="2" t="s">
        <v>6981</v>
      </c>
      <c r="B2517" s="2" t="s">
        <v>2921</v>
      </c>
      <c r="C2517" s="2" t="str">
        <f t="shared" si="39"/>
        <v>TX0116271_001</v>
      </c>
      <c r="D2517" s="2" t="s">
        <v>4383</v>
      </c>
    </row>
    <row r="2518" spans="1:4" x14ac:dyDescent="0.25">
      <c r="A2518" s="2" t="s">
        <v>6982</v>
      </c>
      <c r="B2518" s="2" t="s">
        <v>2921</v>
      </c>
      <c r="C2518" s="2" t="str">
        <f t="shared" si="39"/>
        <v>TX0116360_001</v>
      </c>
      <c r="D2518" s="2" t="s">
        <v>4384</v>
      </c>
    </row>
    <row r="2519" spans="1:4" x14ac:dyDescent="0.25">
      <c r="A2519" s="2" t="s">
        <v>6983</v>
      </c>
      <c r="B2519" s="2" t="s">
        <v>2921</v>
      </c>
      <c r="C2519" s="2" t="str">
        <f t="shared" si="39"/>
        <v>TX0116378_001</v>
      </c>
      <c r="D2519" s="2" t="s">
        <v>4385</v>
      </c>
    </row>
    <row r="2520" spans="1:4" x14ac:dyDescent="0.25">
      <c r="A2520" s="2" t="s">
        <v>6984</v>
      </c>
      <c r="B2520" s="2" t="s">
        <v>2921</v>
      </c>
      <c r="C2520" s="2" t="str">
        <f t="shared" si="39"/>
        <v>TX0116386_001</v>
      </c>
      <c r="D2520" s="2" t="s">
        <v>4386</v>
      </c>
    </row>
    <row r="2521" spans="1:4" x14ac:dyDescent="0.25">
      <c r="A2521" s="2" t="s">
        <v>6985</v>
      </c>
      <c r="B2521" s="2" t="s">
        <v>2921</v>
      </c>
      <c r="C2521" s="2" t="str">
        <f t="shared" si="39"/>
        <v>TX0116394_001</v>
      </c>
      <c r="D2521" s="2" t="s">
        <v>3172</v>
      </c>
    </row>
    <row r="2522" spans="1:4" x14ac:dyDescent="0.25">
      <c r="A2522" s="2" t="s">
        <v>6986</v>
      </c>
      <c r="B2522" s="2" t="s">
        <v>2921</v>
      </c>
      <c r="C2522" s="2" t="str">
        <f t="shared" si="39"/>
        <v>TX0116408_001</v>
      </c>
      <c r="D2522" s="2" t="s">
        <v>4387</v>
      </c>
    </row>
    <row r="2523" spans="1:4" x14ac:dyDescent="0.25">
      <c r="A2523" s="2" t="s">
        <v>6987</v>
      </c>
      <c r="B2523" s="2" t="s">
        <v>2921</v>
      </c>
      <c r="C2523" s="2" t="str">
        <f t="shared" si="39"/>
        <v>TX0116441_001</v>
      </c>
      <c r="D2523" s="2" t="s">
        <v>4388</v>
      </c>
    </row>
    <row r="2524" spans="1:4" x14ac:dyDescent="0.25">
      <c r="A2524" s="2" t="s">
        <v>6988</v>
      </c>
      <c r="B2524" s="2" t="s">
        <v>2921</v>
      </c>
      <c r="C2524" s="2" t="str">
        <f t="shared" si="39"/>
        <v>TX0116459_001</v>
      </c>
      <c r="D2524" s="2" t="s">
        <v>4389</v>
      </c>
    </row>
    <row r="2525" spans="1:4" x14ac:dyDescent="0.25">
      <c r="A2525" s="2" t="s">
        <v>6989</v>
      </c>
      <c r="B2525" s="2" t="s">
        <v>2921</v>
      </c>
      <c r="C2525" s="2" t="str">
        <f t="shared" si="39"/>
        <v>TX0116556_001</v>
      </c>
      <c r="D2525" s="2" t="s">
        <v>4390</v>
      </c>
    </row>
    <row r="2526" spans="1:4" x14ac:dyDescent="0.25">
      <c r="A2526" s="2" t="s">
        <v>6990</v>
      </c>
      <c r="B2526" s="2" t="s">
        <v>2921</v>
      </c>
      <c r="C2526" s="2" t="str">
        <f t="shared" si="39"/>
        <v>TX0116572_001</v>
      </c>
      <c r="D2526" s="2" t="s">
        <v>3164</v>
      </c>
    </row>
    <row r="2527" spans="1:4" x14ac:dyDescent="0.25">
      <c r="A2527" s="2" t="s">
        <v>6991</v>
      </c>
      <c r="B2527" s="2" t="s">
        <v>2921</v>
      </c>
      <c r="C2527" s="2" t="str">
        <f t="shared" si="39"/>
        <v>TX0116581_001</v>
      </c>
      <c r="D2527" s="2" t="s">
        <v>3453</v>
      </c>
    </row>
    <row r="2528" spans="1:4" x14ac:dyDescent="0.25">
      <c r="A2528" s="2" t="s">
        <v>6992</v>
      </c>
      <c r="B2528" s="2" t="s">
        <v>2921</v>
      </c>
      <c r="C2528" s="2" t="str">
        <f t="shared" si="39"/>
        <v>TX0116637_001</v>
      </c>
      <c r="D2528" s="2" t="s">
        <v>4271</v>
      </c>
    </row>
    <row r="2529" spans="1:4" x14ac:dyDescent="0.25">
      <c r="A2529" s="2" t="s">
        <v>6993</v>
      </c>
      <c r="B2529" s="2" t="s">
        <v>2921</v>
      </c>
      <c r="C2529" s="2" t="str">
        <f t="shared" si="39"/>
        <v>TX0116661_001</v>
      </c>
      <c r="D2529" s="2" t="s">
        <v>4391</v>
      </c>
    </row>
    <row r="2530" spans="1:4" x14ac:dyDescent="0.25">
      <c r="A2530" s="2" t="s">
        <v>6994</v>
      </c>
      <c r="B2530" s="2" t="s">
        <v>2921</v>
      </c>
      <c r="C2530" s="2" t="str">
        <f t="shared" si="39"/>
        <v>TX0116742_001</v>
      </c>
      <c r="D2530" s="2" t="s">
        <v>4392</v>
      </c>
    </row>
    <row r="2531" spans="1:4" x14ac:dyDescent="0.25">
      <c r="A2531" s="2" t="s">
        <v>6995</v>
      </c>
      <c r="B2531" s="2" t="s">
        <v>2921</v>
      </c>
      <c r="C2531" s="2" t="str">
        <f t="shared" si="39"/>
        <v>TX0116751_001</v>
      </c>
      <c r="D2531" s="2" t="s">
        <v>4393</v>
      </c>
    </row>
    <row r="2532" spans="1:4" x14ac:dyDescent="0.25">
      <c r="A2532" s="2" t="s">
        <v>6996</v>
      </c>
      <c r="B2532" s="2" t="s">
        <v>2921</v>
      </c>
      <c r="C2532" s="2" t="str">
        <f t="shared" si="39"/>
        <v>TX0116785_001</v>
      </c>
      <c r="D2532" s="2" t="s">
        <v>4394</v>
      </c>
    </row>
    <row r="2533" spans="1:4" x14ac:dyDescent="0.25">
      <c r="A2533" s="2" t="s">
        <v>6997</v>
      </c>
      <c r="B2533" s="2" t="s">
        <v>2921</v>
      </c>
      <c r="C2533" s="2" t="str">
        <f t="shared" si="39"/>
        <v>TX0116874_001</v>
      </c>
      <c r="D2533" s="2" t="s">
        <v>4395</v>
      </c>
    </row>
    <row r="2534" spans="1:4" x14ac:dyDescent="0.25">
      <c r="A2534" s="2" t="s">
        <v>6997</v>
      </c>
      <c r="B2534" s="2" t="s">
        <v>2923</v>
      </c>
      <c r="C2534" s="2" t="str">
        <f t="shared" si="39"/>
        <v>TX0116874_002</v>
      </c>
      <c r="D2534" s="2" t="s">
        <v>4395</v>
      </c>
    </row>
    <row r="2535" spans="1:4" x14ac:dyDescent="0.25">
      <c r="A2535" s="2" t="s">
        <v>6998</v>
      </c>
      <c r="B2535" s="2" t="s">
        <v>2921</v>
      </c>
      <c r="C2535" s="2" t="str">
        <f t="shared" si="39"/>
        <v>TX0116882_001</v>
      </c>
      <c r="D2535" s="2" t="s">
        <v>4396</v>
      </c>
    </row>
    <row r="2536" spans="1:4" x14ac:dyDescent="0.25">
      <c r="A2536" s="2" t="s">
        <v>6999</v>
      </c>
      <c r="B2536" s="2" t="s">
        <v>2921</v>
      </c>
      <c r="C2536" s="2" t="str">
        <f t="shared" si="39"/>
        <v>TX0116891_001</v>
      </c>
      <c r="D2536" s="2" t="s">
        <v>3979</v>
      </c>
    </row>
    <row r="2537" spans="1:4" x14ac:dyDescent="0.25">
      <c r="A2537" s="2" t="s">
        <v>6999</v>
      </c>
      <c r="B2537" s="2" t="s">
        <v>2923</v>
      </c>
      <c r="C2537" s="2" t="str">
        <f t="shared" si="39"/>
        <v>TX0116891_002</v>
      </c>
      <c r="D2537" s="2" t="s">
        <v>3979</v>
      </c>
    </row>
    <row r="2538" spans="1:4" x14ac:dyDescent="0.25">
      <c r="A2538" s="2" t="s">
        <v>7000</v>
      </c>
      <c r="B2538" s="2" t="s">
        <v>2921</v>
      </c>
      <c r="C2538" s="2" t="str">
        <f t="shared" si="39"/>
        <v>TX0116904_001</v>
      </c>
      <c r="D2538" s="2" t="s">
        <v>4397</v>
      </c>
    </row>
    <row r="2539" spans="1:4" x14ac:dyDescent="0.25">
      <c r="A2539" s="2" t="s">
        <v>7001</v>
      </c>
      <c r="B2539" s="2" t="s">
        <v>2921</v>
      </c>
      <c r="C2539" s="2" t="str">
        <f t="shared" si="39"/>
        <v>TX0116921_001</v>
      </c>
      <c r="D2539" s="2" t="s">
        <v>2986</v>
      </c>
    </row>
    <row r="2540" spans="1:4" x14ac:dyDescent="0.25">
      <c r="A2540" s="2" t="s">
        <v>7002</v>
      </c>
      <c r="B2540" s="2" t="s">
        <v>2921</v>
      </c>
      <c r="C2540" s="2" t="str">
        <f t="shared" si="39"/>
        <v>TX0117005_001</v>
      </c>
      <c r="D2540" s="2" t="s">
        <v>4398</v>
      </c>
    </row>
    <row r="2541" spans="1:4" x14ac:dyDescent="0.25">
      <c r="A2541" s="2" t="s">
        <v>7002</v>
      </c>
      <c r="B2541" s="2" t="s">
        <v>2923</v>
      </c>
      <c r="C2541" s="2" t="str">
        <f t="shared" si="39"/>
        <v>TX0117005_002</v>
      </c>
      <c r="D2541" s="2" t="s">
        <v>4398</v>
      </c>
    </row>
    <row r="2542" spans="1:4" x14ac:dyDescent="0.25">
      <c r="A2542" s="2" t="s">
        <v>7002</v>
      </c>
      <c r="B2542" s="2" t="s">
        <v>2924</v>
      </c>
      <c r="C2542" s="2" t="str">
        <f t="shared" si="39"/>
        <v>TX0117005_003</v>
      </c>
      <c r="D2542" s="2" t="s">
        <v>4398</v>
      </c>
    </row>
    <row r="2543" spans="1:4" x14ac:dyDescent="0.25">
      <c r="A2543" s="2" t="s">
        <v>7003</v>
      </c>
      <c r="B2543" s="2" t="s">
        <v>2921</v>
      </c>
      <c r="C2543" s="2" t="str">
        <f t="shared" si="39"/>
        <v>TX0117056_001</v>
      </c>
      <c r="D2543" s="2" t="s">
        <v>4399</v>
      </c>
    </row>
    <row r="2544" spans="1:4" x14ac:dyDescent="0.25">
      <c r="A2544" s="2" t="s">
        <v>7004</v>
      </c>
      <c r="B2544" s="2" t="s">
        <v>2921</v>
      </c>
      <c r="C2544" s="2" t="str">
        <f t="shared" si="39"/>
        <v>TX0117064_001</v>
      </c>
      <c r="D2544" s="2" t="s">
        <v>4059</v>
      </c>
    </row>
    <row r="2545" spans="1:4" x14ac:dyDescent="0.25">
      <c r="A2545" s="2" t="s">
        <v>7005</v>
      </c>
      <c r="B2545" s="2" t="s">
        <v>2921</v>
      </c>
      <c r="C2545" s="2" t="str">
        <f t="shared" si="39"/>
        <v>TX0117072_001</v>
      </c>
      <c r="D2545" s="2" t="s">
        <v>3235</v>
      </c>
    </row>
    <row r="2546" spans="1:4" x14ac:dyDescent="0.25">
      <c r="A2546" s="2" t="s">
        <v>7006</v>
      </c>
      <c r="B2546" s="2" t="s">
        <v>2921</v>
      </c>
      <c r="C2546" s="2" t="str">
        <f t="shared" si="39"/>
        <v>TX0117129_001</v>
      </c>
      <c r="D2546" s="2" t="s">
        <v>4400</v>
      </c>
    </row>
    <row r="2547" spans="1:4" x14ac:dyDescent="0.25">
      <c r="A2547" s="2" t="s">
        <v>7007</v>
      </c>
      <c r="B2547" s="2" t="s">
        <v>2921</v>
      </c>
      <c r="C2547" s="2" t="str">
        <f t="shared" si="39"/>
        <v>TX0117137_001</v>
      </c>
      <c r="D2547" s="2" t="s">
        <v>3286</v>
      </c>
    </row>
    <row r="2548" spans="1:4" x14ac:dyDescent="0.25">
      <c r="A2548" s="2" t="s">
        <v>7008</v>
      </c>
      <c r="B2548" s="2" t="s">
        <v>2921</v>
      </c>
      <c r="C2548" s="2" t="str">
        <f t="shared" si="39"/>
        <v>TX0117145_001</v>
      </c>
      <c r="D2548" s="2" t="s">
        <v>4103</v>
      </c>
    </row>
    <row r="2549" spans="1:4" x14ac:dyDescent="0.25">
      <c r="A2549" s="2" t="s">
        <v>7009</v>
      </c>
      <c r="B2549" s="2" t="s">
        <v>2921</v>
      </c>
      <c r="C2549" s="2" t="str">
        <f t="shared" si="39"/>
        <v>TX0117161_001</v>
      </c>
      <c r="D2549" s="2" t="s">
        <v>3286</v>
      </c>
    </row>
    <row r="2550" spans="1:4" x14ac:dyDescent="0.25">
      <c r="A2550" s="2" t="s">
        <v>7010</v>
      </c>
      <c r="B2550" s="2" t="s">
        <v>2921</v>
      </c>
      <c r="C2550" s="2" t="str">
        <f t="shared" si="39"/>
        <v>TX0117170_001</v>
      </c>
      <c r="D2550" s="2" t="s">
        <v>4401</v>
      </c>
    </row>
    <row r="2551" spans="1:4" x14ac:dyDescent="0.25">
      <c r="A2551" s="2" t="s">
        <v>7011</v>
      </c>
      <c r="B2551" s="2" t="s">
        <v>2921</v>
      </c>
      <c r="C2551" s="2" t="str">
        <f t="shared" si="39"/>
        <v>TX0117188_001</v>
      </c>
      <c r="D2551" s="2" t="s">
        <v>4401</v>
      </c>
    </row>
    <row r="2552" spans="1:4" x14ac:dyDescent="0.25">
      <c r="A2552" s="2" t="s">
        <v>7012</v>
      </c>
      <c r="B2552" s="2" t="s">
        <v>2921</v>
      </c>
      <c r="C2552" s="2" t="str">
        <f t="shared" si="39"/>
        <v>TX0117218_001</v>
      </c>
      <c r="D2552" s="2" t="s">
        <v>4402</v>
      </c>
    </row>
    <row r="2553" spans="1:4" x14ac:dyDescent="0.25">
      <c r="A2553" s="2" t="s">
        <v>7013</v>
      </c>
      <c r="B2553" s="2" t="s">
        <v>2921</v>
      </c>
      <c r="C2553" s="2" t="str">
        <f t="shared" si="39"/>
        <v>TX0117234_001</v>
      </c>
      <c r="D2553" s="2" t="s">
        <v>3404</v>
      </c>
    </row>
    <row r="2554" spans="1:4" x14ac:dyDescent="0.25">
      <c r="A2554" s="2" t="s">
        <v>7014</v>
      </c>
      <c r="B2554" s="2" t="s">
        <v>2921</v>
      </c>
      <c r="C2554" s="2" t="str">
        <f t="shared" si="39"/>
        <v>TX0117242_001</v>
      </c>
      <c r="D2554" s="2" t="s">
        <v>4403</v>
      </c>
    </row>
    <row r="2555" spans="1:4" x14ac:dyDescent="0.25">
      <c r="A2555" s="2" t="s">
        <v>7015</v>
      </c>
      <c r="B2555" s="2" t="s">
        <v>2921</v>
      </c>
      <c r="C2555" s="2" t="str">
        <f t="shared" si="39"/>
        <v>TX0117277_001</v>
      </c>
      <c r="D2555" s="2" t="s">
        <v>4404</v>
      </c>
    </row>
    <row r="2556" spans="1:4" x14ac:dyDescent="0.25">
      <c r="A2556" s="2" t="s">
        <v>7016</v>
      </c>
      <c r="B2556" s="2" t="s">
        <v>2921</v>
      </c>
      <c r="C2556" s="2" t="str">
        <f t="shared" si="39"/>
        <v>TX0117315_001</v>
      </c>
      <c r="D2556" s="2" t="s">
        <v>4405</v>
      </c>
    </row>
    <row r="2557" spans="1:4" x14ac:dyDescent="0.25">
      <c r="A2557" s="2" t="s">
        <v>7017</v>
      </c>
      <c r="B2557" s="2" t="s">
        <v>2921</v>
      </c>
      <c r="C2557" s="2" t="str">
        <f t="shared" si="39"/>
        <v>TX0117331_001</v>
      </c>
      <c r="D2557" s="2" t="s">
        <v>4406</v>
      </c>
    </row>
    <row r="2558" spans="1:4" x14ac:dyDescent="0.25">
      <c r="A2558" s="2" t="s">
        <v>7018</v>
      </c>
      <c r="B2558" s="2" t="s">
        <v>2921</v>
      </c>
      <c r="C2558" s="2" t="str">
        <f t="shared" si="39"/>
        <v>TX0117358_001</v>
      </c>
      <c r="D2558" s="2" t="s">
        <v>4407</v>
      </c>
    </row>
    <row r="2559" spans="1:4" x14ac:dyDescent="0.25">
      <c r="A2559" s="2" t="s">
        <v>7019</v>
      </c>
      <c r="B2559" s="2" t="s">
        <v>2921</v>
      </c>
      <c r="C2559" s="2" t="str">
        <f t="shared" si="39"/>
        <v>TX0117366_001</v>
      </c>
      <c r="D2559" s="2" t="s">
        <v>4408</v>
      </c>
    </row>
    <row r="2560" spans="1:4" x14ac:dyDescent="0.25">
      <c r="A2560" s="2" t="s">
        <v>7020</v>
      </c>
      <c r="B2560" s="2" t="s">
        <v>2921</v>
      </c>
      <c r="C2560" s="2" t="str">
        <f t="shared" si="39"/>
        <v>TX0117374_001</v>
      </c>
      <c r="D2560" s="2" t="s">
        <v>3974</v>
      </c>
    </row>
    <row r="2561" spans="1:4" x14ac:dyDescent="0.25">
      <c r="A2561" s="2" t="s">
        <v>7021</v>
      </c>
      <c r="B2561" s="2" t="s">
        <v>2921</v>
      </c>
      <c r="C2561" s="2" t="str">
        <f t="shared" si="39"/>
        <v>TX0117421_001</v>
      </c>
      <c r="D2561" s="2" t="s">
        <v>3739</v>
      </c>
    </row>
    <row r="2562" spans="1:4" x14ac:dyDescent="0.25">
      <c r="A2562" s="2" t="s">
        <v>7022</v>
      </c>
      <c r="B2562" s="2" t="s">
        <v>2921</v>
      </c>
      <c r="C2562" s="2" t="str">
        <f t="shared" si="39"/>
        <v>TX0117455_001</v>
      </c>
      <c r="D2562" s="2" t="s">
        <v>3909</v>
      </c>
    </row>
    <row r="2563" spans="1:4" x14ac:dyDescent="0.25">
      <c r="A2563" s="2" t="s">
        <v>7023</v>
      </c>
      <c r="B2563" s="2" t="s">
        <v>2921</v>
      </c>
      <c r="C2563" s="2" t="str">
        <f t="shared" ref="C2563:C2626" si="40">A2563 &amp; "_" &amp; B2563</f>
        <v>TX0117463_001</v>
      </c>
      <c r="D2563" s="2" t="s">
        <v>4409</v>
      </c>
    </row>
    <row r="2564" spans="1:4" x14ac:dyDescent="0.25">
      <c r="A2564" s="2" t="s">
        <v>7024</v>
      </c>
      <c r="B2564" s="2" t="s">
        <v>2921</v>
      </c>
      <c r="C2564" s="2" t="str">
        <f t="shared" si="40"/>
        <v>TX0117498_001</v>
      </c>
      <c r="D2564" s="2" t="s">
        <v>4410</v>
      </c>
    </row>
    <row r="2565" spans="1:4" x14ac:dyDescent="0.25">
      <c r="A2565" s="2" t="s">
        <v>7025</v>
      </c>
      <c r="B2565" s="2" t="s">
        <v>2921</v>
      </c>
      <c r="C2565" s="2" t="str">
        <f t="shared" si="40"/>
        <v>TX0117501_001</v>
      </c>
      <c r="D2565" s="2" t="s">
        <v>3453</v>
      </c>
    </row>
    <row r="2566" spans="1:4" x14ac:dyDescent="0.25">
      <c r="A2566" s="2" t="s">
        <v>7026</v>
      </c>
      <c r="B2566" s="2" t="s">
        <v>2921</v>
      </c>
      <c r="C2566" s="2" t="str">
        <f t="shared" si="40"/>
        <v>TX0117528_001</v>
      </c>
      <c r="D2566" s="2" t="s">
        <v>4411</v>
      </c>
    </row>
    <row r="2567" spans="1:4" x14ac:dyDescent="0.25">
      <c r="A2567" s="2" t="s">
        <v>7027</v>
      </c>
      <c r="B2567" s="2" t="s">
        <v>2921</v>
      </c>
      <c r="C2567" s="2" t="str">
        <f t="shared" si="40"/>
        <v>TX0117536_001</v>
      </c>
      <c r="D2567" s="2" t="s">
        <v>3257</v>
      </c>
    </row>
    <row r="2568" spans="1:4" x14ac:dyDescent="0.25">
      <c r="A2568" s="2" t="s">
        <v>7028</v>
      </c>
      <c r="B2568" s="2" t="s">
        <v>2921</v>
      </c>
      <c r="C2568" s="2" t="str">
        <f t="shared" si="40"/>
        <v>TX0117544_001</v>
      </c>
      <c r="D2568" s="2" t="s">
        <v>4412</v>
      </c>
    </row>
    <row r="2569" spans="1:4" x14ac:dyDescent="0.25">
      <c r="A2569" s="2" t="s">
        <v>7029</v>
      </c>
      <c r="B2569" s="2" t="s">
        <v>2921</v>
      </c>
      <c r="C2569" s="2" t="str">
        <f t="shared" si="40"/>
        <v>TX0117579_001</v>
      </c>
      <c r="D2569" s="2" t="s">
        <v>4413</v>
      </c>
    </row>
    <row r="2570" spans="1:4" x14ac:dyDescent="0.25">
      <c r="A2570" s="2" t="s">
        <v>7030</v>
      </c>
      <c r="B2570" s="2" t="s">
        <v>2921</v>
      </c>
      <c r="C2570" s="2" t="str">
        <f t="shared" si="40"/>
        <v>TX0117587_001</v>
      </c>
      <c r="D2570" s="2" t="s">
        <v>3598</v>
      </c>
    </row>
    <row r="2571" spans="1:4" x14ac:dyDescent="0.25">
      <c r="A2571" s="2" t="s">
        <v>7031</v>
      </c>
      <c r="B2571" s="2" t="s">
        <v>2921</v>
      </c>
      <c r="C2571" s="2" t="str">
        <f t="shared" si="40"/>
        <v>TX0117595_001</v>
      </c>
      <c r="D2571" s="2" t="s">
        <v>3165</v>
      </c>
    </row>
    <row r="2572" spans="1:4" x14ac:dyDescent="0.25">
      <c r="A2572" s="2" t="s">
        <v>7032</v>
      </c>
      <c r="B2572" s="2" t="s">
        <v>2921</v>
      </c>
      <c r="C2572" s="2" t="str">
        <f t="shared" si="40"/>
        <v>TX0117609_001</v>
      </c>
      <c r="D2572" s="2" t="s">
        <v>3846</v>
      </c>
    </row>
    <row r="2573" spans="1:4" x14ac:dyDescent="0.25">
      <c r="A2573" s="2" t="s">
        <v>7033</v>
      </c>
      <c r="B2573" s="2" t="s">
        <v>2921</v>
      </c>
      <c r="C2573" s="2" t="str">
        <f t="shared" si="40"/>
        <v>TX0117633_001</v>
      </c>
      <c r="D2573" s="2" t="s">
        <v>4414</v>
      </c>
    </row>
    <row r="2574" spans="1:4" x14ac:dyDescent="0.25">
      <c r="A2574" s="2" t="s">
        <v>7034</v>
      </c>
      <c r="B2574" s="2" t="s">
        <v>2921</v>
      </c>
      <c r="C2574" s="2" t="str">
        <f t="shared" si="40"/>
        <v>TX0117650_001</v>
      </c>
      <c r="D2574" s="2" t="s">
        <v>3408</v>
      </c>
    </row>
    <row r="2575" spans="1:4" x14ac:dyDescent="0.25">
      <c r="A2575" s="2" t="s">
        <v>7035</v>
      </c>
      <c r="B2575" s="2" t="s">
        <v>2921</v>
      </c>
      <c r="C2575" s="2" t="str">
        <f t="shared" si="40"/>
        <v>TX0117668_001</v>
      </c>
      <c r="D2575" s="2" t="s">
        <v>4415</v>
      </c>
    </row>
    <row r="2576" spans="1:4" x14ac:dyDescent="0.25">
      <c r="A2576" s="2" t="s">
        <v>7036</v>
      </c>
      <c r="B2576" s="2" t="s">
        <v>2921</v>
      </c>
      <c r="C2576" s="2" t="str">
        <f t="shared" si="40"/>
        <v>TX0117676_001</v>
      </c>
      <c r="D2576" s="2" t="s">
        <v>4416</v>
      </c>
    </row>
    <row r="2577" spans="1:4" x14ac:dyDescent="0.25">
      <c r="A2577" s="2" t="s">
        <v>7037</v>
      </c>
      <c r="B2577" s="2" t="s">
        <v>2921</v>
      </c>
      <c r="C2577" s="2" t="str">
        <f t="shared" si="40"/>
        <v>TX0117684_001</v>
      </c>
      <c r="D2577" s="2" t="s">
        <v>4417</v>
      </c>
    </row>
    <row r="2578" spans="1:4" x14ac:dyDescent="0.25">
      <c r="A2578" s="2" t="s">
        <v>7038</v>
      </c>
      <c r="B2578" s="2" t="s">
        <v>2921</v>
      </c>
      <c r="C2578" s="2" t="str">
        <f t="shared" si="40"/>
        <v>TX0117706_001</v>
      </c>
      <c r="D2578" s="2" t="s">
        <v>4418</v>
      </c>
    </row>
    <row r="2579" spans="1:4" x14ac:dyDescent="0.25">
      <c r="A2579" s="2" t="s">
        <v>7039</v>
      </c>
      <c r="B2579" s="2" t="s">
        <v>2921</v>
      </c>
      <c r="C2579" s="2" t="str">
        <f t="shared" si="40"/>
        <v>TX0117722_001</v>
      </c>
      <c r="D2579" s="2" t="s">
        <v>4419</v>
      </c>
    </row>
    <row r="2580" spans="1:4" x14ac:dyDescent="0.25">
      <c r="A2580" s="2" t="s">
        <v>7040</v>
      </c>
      <c r="B2580" s="2" t="s">
        <v>2921</v>
      </c>
      <c r="C2580" s="2" t="str">
        <f t="shared" si="40"/>
        <v>TX0117731_001</v>
      </c>
      <c r="D2580" s="2" t="s">
        <v>4420</v>
      </c>
    </row>
    <row r="2581" spans="1:4" x14ac:dyDescent="0.25">
      <c r="A2581" s="2" t="s">
        <v>7041</v>
      </c>
      <c r="B2581" s="2" t="s">
        <v>2921</v>
      </c>
      <c r="C2581" s="2" t="str">
        <f t="shared" si="40"/>
        <v>TX0117757_001</v>
      </c>
      <c r="D2581" s="2" t="s">
        <v>4421</v>
      </c>
    </row>
    <row r="2582" spans="1:4" x14ac:dyDescent="0.25">
      <c r="A2582" s="2" t="s">
        <v>7042</v>
      </c>
      <c r="B2582" s="2" t="s">
        <v>2921</v>
      </c>
      <c r="C2582" s="2" t="str">
        <f t="shared" si="40"/>
        <v>TX0117765_001</v>
      </c>
      <c r="D2582" s="2" t="s">
        <v>4422</v>
      </c>
    </row>
    <row r="2583" spans="1:4" x14ac:dyDescent="0.25">
      <c r="A2583" s="2" t="s">
        <v>7043</v>
      </c>
      <c r="B2583" s="2" t="s">
        <v>2921</v>
      </c>
      <c r="C2583" s="2" t="str">
        <f t="shared" si="40"/>
        <v>TX0117811_001</v>
      </c>
      <c r="D2583" s="2" t="s">
        <v>4423</v>
      </c>
    </row>
    <row r="2584" spans="1:4" x14ac:dyDescent="0.25">
      <c r="A2584" s="2" t="s">
        <v>7043</v>
      </c>
      <c r="B2584" s="2" t="s">
        <v>2923</v>
      </c>
      <c r="C2584" s="2" t="str">
        <f t="shared" si="40"/>
        <v>TX0117811_002</v>
      </c>
      <c r="D2584" s="2" t="s">
        <v>4423</v>
      </c>
    </row>
    <row r="2585" spans="1:4" x14ac:dyDescent="0.25">
      <c r="A2585" s="2" t="s">
        <v>7044</v>
      </c>
      <c r="B2585" s="2" t="s">
        <v>2921</v>
      </c>
      <c r="C2585" s="2" t="str">
        <f t="shared" si="40"/>
        <v>TX0117820_001</v>
      </c>
      <c r="D2585" s="2" t="s">
        <v>4424</v>
      </c>
    </row>
    <row r="2586" spans="1:4" x14ac:dyDescent="0.25">
      <c r="A2586" s="2" t="s">
        <v>7045</v>
      </c>
      <c r="B2586" s="2" t="s">
        <v>2921</v>
      </c>
      <c r="C2586" s="2" t="str">
        <f t="shared" si="40"/>
        <v>TX0117846_001</v>
      </c>
      <c r="D2586" s="2" t="s">
        <v>3286</v>
      </c>
    </row>
    <row r="2587" spans="1:4" x14ac:dyDescent="0.25">
      <c r="A2587" s="2" t="s">
        <v>7046</v>
      </c>
      <c r="B2587" s="2" t="s">
        <v>2921</v>
      </c>
      <c r="C2587" s="2" t="str">
        <f t="shared" si="40"/>
        <v>TX0117854_001</v>
      </c>
      <c r="D2587" s="2" t="s">
        <v>4425</v>
      </c>
    </row>
    <row r="2588" spans="1:4" x14ac:dyDescent="0.25">
      <c r="A2588" s="2" t="s">
        <v>7047</v>
      </c>
      <c r="B2588" s="2" t="s">
        <v>2921</v>
      </c>
      <c r="C2588" s="2" t="str">
        <f t="shared" si="40"/>
        <v>TX0117889_001</v>
      </c>
      <c r="D2588" s="2" t="s">
        <v>4426</v>
      </c>
    </row>
    <row r="2589" spans="1:4" x14ac:dyDescent="0.25">
      <c r="A2589" s="2" t="s">
        <v>7048</v>
      </c>
      <c r="B2589" s="2" t="s">
        <v>2921</v>
      </c>
      <c r="C2589" s="2" t="str">
        <f t="shared" si="40"/>
        <v>TX0117897_001</v>
      </c>
      <c r="D2589" s="2" t="s">
        <v>4427</v>
      </c>
    </row>
    <row r="2590" spans="1:4" x14ac:dyDescent="0.25">
      <c r="A2590" s="2" t="s">
        <v>7049</v>
      </c>
      <c r="B2590" s="2" t="s">
        <v>2921</v>
      </c>
      <c r="C2590" s="2" t="str">
        <f t="shared" si="40"/>
        <v>TX0117919_001</v>
      </c>
      <c r="D2590" s="2" t="s">
        <v>4428</v>
      </c>
    </row>
    <row r="2591" spans="1:4" x14ac:dyDescent="0.25">
      <c r="A2591" s="2" t="s">
        <v>7050</v>
      </c>
      <c r="B2591" s="2" t="s">
        <v>2921</v>
      </c>
      <c r="C2591" s="2" t="str">
        <f t="shared" si="40"/>
        <v>TX0117927_001</v>
      </c>
      <c r="D2591" s="2" t="s">
        <v>4429</v>
      </c>
    </row>
    <row r="2592" spans="1:4" x14ac:dyDescent="0.25">
      <c r="A2592" s="2" t="s">
        <v>7051</v>
      </c>
      <c r="B2592" s="2" t="s">
        <v>2921</v>
      </c>
      <c r="C2592" s="2" t="str">
        <f t="shared" si="40"/>
        <v>TX0117935_001</v>
      </c>
      <c r="D2592" s="2" t="s">
        <v>4430</v>
      </c>
    </row>
    <row r="2593" spans="1:4" x14ac:dyDescent="0.25">
      <c r="A2593" s="2" t="s">
        <v>7052</v>
      </c>
      <c r="B2593" s="2" t="s">
        <v>2921</v>
      </c>
      <c r="C2593" s="2" t="str">
        <f t="shared" si="40"/>
        <v>TX0117951_001</v>
      </c>
      <c r="D2593" s="2" t="s">
        <v>4431</v>
      </c>
    </row>
    <row r="2594" spans="1:4" x14ac:dyDescent="0.25">
      <c r="A2594" s="2" t="s">
        <v>7053</v>
      </c>
      <c r="B2594" s="2" t="s">
        <v>2921</v>
      </c>
      <c r="C2594" s="2" t="str">
        <f t="shared" si="40"/>
        <v>TX0117960_001</v>
      </c>
      <c r="D2594" s="2" t="s">
        <v>4432</v>
      </c>
    </row>
    <row r="2595" spans="1:4" x14ac:dyDescent="0.25">
      <c r="A2595" s="2" t="s">
        <v>7054</v>
      </c>
      <c r="B2595" s="2" t="s">
        <v>2921</v>
      </c>
      <c r="C2595" s="2" t="str">
        <f t="shared" si="40"/>
        <v>TX0117978_001</v>
      </c>
      <c r="D2595" s="2" t="s">
        <v>3226</v>
      </c>
    </row>
    <row r="2596" spans="1:4" x14ac:dyDescent="0.25">
      <c r="A2596" s="2" t="s">
        <v>7055</v>
      </c>
      <c r="B2596" s="2" t="s">
        <v>2921</v>
      </c>
      <c r="C2596" s="2" t="str">
        <f t="shared" si="40"/>
        <v>TX0117986_001</v>
      </c>
      <c r="D2596" s="2" t="s">
        <v>4433</v>
      </c>
    </row>
    <row r="2597" spans="1:4" x14ac:dyDescent="0.25">
      <c r="A2597" s="2" t="s">
        <v>7056</v>
      </c>
      <c r="B2597" s="2" t="s">
        <v>2921</v>
      </c>
      <c r="C2597" s="2" t="str">
        <f t="shared" si="40"/>
        <v>TX0118001_001</v>
      </c>
      <c r="D2597" s="2" t="s">
        <v>4434</v>
      </c>
    </row>
    <row r="2598" spans="1:4" x14ac:dyDescent="0.25">
      <c r="A2598" s="2" t="s">
        <v>7057</v>
      </c>
      <c r="B2598" s="2" t="s">
        <v>2921</v>
      </c>
      <c r="C2598" s="2" t="str">
        <f t="shared" si="40"/>
        <v>TX0118028_001</v>
      </c>
      <c r="D2598" s="2" t="s">
        <v>3286</v>
      </c>
    </row>
    <row r="2599" spans="1:4" x14ac:dyDescent="0.25">
      <c r="A2599" s="2" t="s">
        <v>7058</v>
      </c>
      <c r="B2599" s="2" t="s">
        <v>2921</v>
      </c>
      <c r="C2599" s="2" t="str">
        <f t="shared" si="40"/>
        <v>TX0118079_001</v>
      </c>
      <c r="D2599" s="2" t="s">
        <v>4435</v>
      </c>
    </row>
    <row r="2600" spans="1:4" x14ac:dyDescent="0.25">
      <c r="A2600" s="2" t="s">
        <v>7059</v>
      </c>
      <c r="B2600" s="2" t="s">
        <v>2921</v>
      </c>
      <c r="C2600" s="2" t="str">
        <f t="shared" si="40"/>
        <v>TX0118087_001</v>
      </c>
      <c r="D2600" s="2" t="s">
        <v>4436</v>
      </c>
    </row>
    <row r="2601" spans="1:4" x14ac:dyDescent="0.25">
      <c r="A2601" s="2" t="s">
        <v>7060</v>
      </c>
      <c r="B2601" s="2" t="s">
        <v>2921</v>
      </c>
      <c r="C2601" s="2" t="str">
        <f t="shared" si="40"/>
        <v>TX0118095_001</v>
      </c>
      <c r="D2601" s="2" t="s">
        <v>4437</v>
      </c>
    </row>
    <row r="2602" spans="1:4" x14ac:dyDescent="0.25">
      <c r="A2602" s="2" t="s">
        <v>7061</v>
      </c>
      <c r="B2602" s="2" t="s">
        <v>2921</v>
      </c>
      <c r="C2602" s="2" t="str">
        <f t="shared" si="40"/>
        <v>TX0118109_001</v>
      </c>
      <c r="D2602" s="2" t="s">
        <v>4438</v>
      </c>
    </row>
    <row r="2603" spans="1:4" x14ac:dyDescent="0.25">
      <c r="A2603" s="2" t="s">
        <v>7062</v>
      </c>
      <c r="B2603" s="2" t="s">
        <v>2921</v>
      </c>
      <c r="C2603" s="2" t="str">
        <f t="shared" si="40"/>
        <v>TX0118125_001</v>
      </c>
      <c r="D2603" s="2" t="s">
        <v>4439</v>
      </c>
    </row>
    <row r="2604" spans="1:4" x14ac:dyDescent="0.25">
      <c r="A2604" s="2" t="s">
        <v>7062</v>
      </c>
      <c r="B2604" s="2" t="s">
        <v>2923</v>
      </c>
      <c r="C2604" s="2" t="str">
        <f t="shared" si="40"/>
        <v>TX0118125_002</v>
      </c>
      <c r="D2604" s="2" t="s">
        <v>4439</v>
      </c>
    </row>
    <row r="2605" spans="1:4" x14ac:dyDescent="0.25">
      <c r="A2605" s="2" t="s">
        <v>7062</v>
      </c>
      <c r="B2605" s="2" t="s">
        <v>2924</v>
      </c>
      <c r="C2605" s="2" t="str">
        <f t="shared" si="40"/>
        <v>TX0118125_003</v>
      </c>
      <c r="D2605" s="2" t="s">
        <v>4439</v>
      </c>
    </row>
    <row r="2606" spans="1:4" x14ac:dyDescent="0.25">
      <c r="A2606" s="2" t="s">
        <v>7063</v>
      </c>
      <c r="B2606" s="2" t="s">
        <v>2921</v>
      </c>
      <c r="C2606" s="2" t="str">
        <f t="shared" si="40"/>
        <v>TX0118206_001</v>
      </c>
      <c r="D2606" s="2" t="s">
        <v>4440</v>
      </c>
    </row>
    <row r="2607" spans="1:4" x14ac:dyDescent="0.25">
      <c r="A2607" s="2" t="s">
        <v>7064</v>
      </c>
      <c r="B2607" s="2" t="s">
        <v>2923</v>
      </c>
      <c r="C2607" s="2" t="str">
        <f t="shared" si="40"/>
        <v>TX0118214_002</v>
      </c>
      <c r="D2607" s="2" t="s">
        <v>4441</v>
      </c>
    </row>
    <row r="2608" spans="1:4" x14ac:dyDescent="0.25">
      <c r="A2608" s="2" t="s">
        <v>7064</v>
      </c>
      <c r="B2608" s="2" t="s">
        <v>2924</v>
      </c>
      <c r="C2608" s="2" t="str">
        <f t="shared" si="40"/>
        <v>TX0118214_003</v>
      </c>
      <c r="D2608" s="2" t="s">
        <v>4441</v>
      </c>
    </row>
    <row r="2609" spans="1:4" x14ac:dyDescent="0.25">
      <c r="A2609" s="2" t="s">
        <v>7064</v>
      </c>
      <c r="B2609" s="2" t="s">
        <v>2936</v>
      </c>
      <c r="C2609" s="2" t="str">
        <f t="shared" si="40"/>
        <v>TX0118214_004</v>
      </c>
      <c r="D2609" s="2" t="s">
        <v>4441</v>
      </c>
    </row>
    <row r="2610" spans="1:4" x14ac:dyDescent="0.25">
      <c r="A2610" s="2" t="s">
        <v>7065</v>
      </c>
      <c r="B2610" s="2" t="s">
        <v>2921</v>
      </c>
      <c r="C2610" s="2" t="str">
        <f t="shared" si="40"/>
        <v>TX0118222_001</v>
      </c>
      <c r="D2610" s="2" t="s">
        <v>4442</v>
      </c>
    </row>
    <row r="2611" spans="1:4" x14ac:dyDescent="0.25">
      <c r="A2611" s="2" t="s">
        <v>7066</v>
      </c>
      <c r="B2611" s="2" t="s">
        <v>2921</v>
      </c>
      <c r="C2611" s="2" t="str">
        <f t="shared" si="40"/>
        <v>TX0118231_001</v>
      </c>
      <c r="D2611" s="2" t="s">
        <v>4443</v>
      </c>
    </row>
    <row r="2612" spans="1:4" x14ac:dyDescent="0.25">
      <c r="A2612" s="2" t="s">
        <v>7067</v>
      </c>
      <c r="B2612" s="2" t="s">
        <v>2921</v>
      </c>
      <c r="C2612" s="2" t="str">
        <f t="shared" si="40"/>
        <v>TX0118265_001</v>
      </c>
      <c r="D2612" s="2" t="s">
        <v>3843</v>
      </c>
    </row>
    <row r="2613" spans="1:4" x14ac:dyDescent="0.25">
      <c r="A2613" s="2" t="s">
        <v>7068</v>
      </c>
      <c r="B2613" s="2" t="s">
        <v>2921</v>
      </c>
      <c r="C2613" s="2" t="str">
        <f t="shared" si="40"/>
        <v>TX0118273_001</v>
      </c>
      <c r="D2613" s="2" t="s">
        <v>4444</v>
      </c>
    </row>
    <row r="2614" spans="1:4" x14ac:dyDescent="0.25">
      <c r="A2614" s="2" t="s">
        <v>7069</v>
      </c>
      <c r="B2614" s="2" t="s">
        <v>2921</v>
      </c>
      <c r="C2614" s="2" t="str">
        <f t="shared" si="40"/>
        <v>TX0118281_001</v>
      </c>
      <c r="D2614" s="2" t="s">
        <v>4445</v>
      </c>
    </row>
    <row r="2615" spans="1:4" x14ac:dyDescent="0.25">
      <c r="A2615" s="2" t="s">
        <v>7070</v>
      </c>
      <c r="B2615" s="2" t="s">
        <v>2921</v>
      </c>
      <c r="C2615" s="2" t="str">
        <f t="shared" si="40"/>
        <v>TX0118311_001</v>
      </c>
      <c r="D2615" s="2" t="s">
        <v>4085</v>
      </c>
    </row>
    <row r="2616" spans="1:4" x14ac:dyDescent="0.25">
      <c r="A2616" s="2" t="s">
        <v>7071</v>
      </c>
      <c r="B2616" s="2" t="s">
        <v>2921</v>
      </c>
      <c r="C2616" s="2" t="str">
        <f t="shared" si="40"/>
        <v>TX0118320_001</v>
      </c>
      <c r="D2616" s="2" t="s">
        <v>4446</v>
      </c>
    </row>
    <row r="2617" spans="1:4" x14ac:dyDescent="0.25">
      <c r="A2617" s="2" t="s">
        <v>7072</v>
      </c>
      <c r="B2617" s="2" t="s">
        <v>2921</v>
      </c>
      <c r="C2617" s="2" t="str">
        <f t="shared" si="40"/>
        <v>TX0118346_001</v>
      </c>
      <c r="D2617" s="2" t="s">
        <v>4447</v>
      </c>
    </row>
    <row r="2618" spans="1:4" x14ac:dyDescent="0.25">
      <c r="A2618" s="2" t="s">
        <v>7073</v>
      </c>
      <c r="B2618" s="2" t="s">
        <v>2921</v>
      </c>
      <c r="C2618" s="2" t="str">
        <f t="shared" si="40"/>
        <v>TX0118354_001</v>
      </c>
      <c r="D2618" s="2" t="s">
        <v>4448</v>
      </c>
    </row>
    <row r="2619" spans="1:4" x14ac:dyDescent="0.25">
      <c r="A2619" s="2" t="s">
        <v>7074</v>
      </c>
      <c r="B2619" s="2" t="s">
        <v>2921</v>
      </c>
      <c r="C2619" s="2" t="str">
        <f t="shared" si="40"/>
        <v>TX0118362_001</v>
      </c>
      <c r="D2619" s="2" t="s">
        <v>4444</v>
      </c>
    </row>
    <row r="2620" spans="1:4" x14ac:dyDescent="0.25">
      <c r="A2620" s="2" t="s">
        <v>7075</v>
      </c>
      <c r="B2620" s="2" t="s">
        <v>2921</v>
      </c>
      <c r="C2620" s="2" t="str">
        <f t="shared" si="40"/>
        <v>TX0118371_001</v>
      </c>
      <c r="D2620" s="2" t="s">
        <v>4449</v>
      </c>
    </row>
    <row r="2621" spans="1:4" x14ac:dyDescent="0.25">
      <c r="A2621" s="2" t="s">
        <v>7076</v>
      </c>
      <c r="B2621" s="2" t="s">
        <v>2921</v>
      </c>
      <c r="C2621" s="2" t="str">
        <f t="shared" si="40"/>
        <v>TX0118389_001</v>
      </c>
      <c r="D2621" s="2" t="s">
        <v>4450</v>
      </c>
    </row>
    <row r="2622" spans="1:4" x14ac:dyDescent="0.25">
      <c r="A2622" s="2" t="s">
        <v>7076</v>
      </c>
      <c r="B2622" s="2" t="s">
        <v>2923</v>
      </c>
      <c r="C2622" s="2" t="str">
        <f t="shared" si="40"/>
        <v>TX0118389_002</v>
      </c>
      <c r="D2622" s="2" t="s">
        <v>4450</v>
      </c>
    </row>
    <row r="2623" spans="1:4" x14ac:dyDescent="0.25">
      <c r="A2623" s="2" t="s">
        <v>7077</v>
      </c>
      <c r="B2623" s="2" t="s">
        <v>2921</v>
      </c>
      <c r="C2623" s="2" t="str">
        <f t="shared" si="40"/>
        <v>TX0118397_001</v>
      </c>
      <c r="D2623" s="2" t="s">
        <v>4451</v>
      </c>
    </row>
    <row r="2624" spans="1:4" x14ac:dyDescent="0.25">
      <c r="A2624" s="2" t="s">
        <v>7078</v>
      </c>
      <c r="B2624" s="2" t="s">
        <v>2921</v>
      </c>
      <c r="C2624" s="2" t="str">
        <f t="shared" si="40"/>
        <v>TX0118427_001</v>
      </c>
      <c r="D2624" s="2" t="s">
        <v>4452</v>
      </c>
    </row>
    <row r="2625" spans="1:4" x14ac:dyDescent="0.25">
      <c r="A2625" s="2" t="s">
        <v>7079</v>
      </c>
      <c r="B2625" s="2" t="s">
        <v>2921</v>
      </c>
      <c r="C2625" s="2" t="str">
        <f t="shared" si="40"/>
        <v>TX0118443_001</v>
      </c>
      <c r="D2625" s="2" t="s">
        <v>4453</v>
      </c>
    </row>
    <row r="2626" spans="1:4" x14ac:dyDescent="0.25">
      <c r="A2626" s="2" t="s">
        <v>7080</v>
      </c>
      <c r="B2626" s="2" t="s">
        <v>2921</v>
      </c>
      <c r="C2626" s="2" t="str">
        <f t="shared" si="40"/>
        <v>TX0118451_001</v>
      </c>
      <c r="D2626" s="2" t="s">
        <v>4454</v>
      </c>
    </row>
    <row r="2627" spans="1:4" x14ac:dyDescent="0.25">
      <c r="A2627" s="2" t="s">
        <v>7081</v>
      </c>
      <c r="B2627" s="2" t="s">
        <v>2921</v>
      </c>
      <c r="C2627" s="2" t="str">
        <f t="shared" ref="C2627:C2690" si="41">A2627 &amp; "_" &amp; B2627</f>
        <v>TX0118460_001</v>
      </c>
      <c r="D2627" s="2" t="s">
        <v>4455</v>
      </c>
    </row>
    <row r="2628" spans="1:4" x14ac:dyDescent="0.25">
      <c r="A2628" s="2" t="s">
        <v>7082</v>
      </c>
      <c r="B2628" s="2" t="s">
        <v>2921</v>
      </c>
      <c r="C2628" s="2" t="str">
        <f t="shared" si="41"/>
        <v>TX0118532_001</v>
      </c>
      <c r="D2628" s="2" t="s">
        <v>4456</v>
      </c>
    </row>
    <row r="2629" spans="1:4" x14ac:dyDescent="0.25">
      <c r="A2629" s="2" t="s">
        <v>7083</v>
      </c>
      <c r="B2629" s="2" t="s">
        <v>2921</v>
      </c>
      <c r="C2629" s="2" t="str">
        <f t="shared" si="41"/>
        <v>TX0118559_001</v>
      </c>
      <c r="D2629" s="2" t="s">
        <v>4457</v>
      </c>
    </row>
    <row r="2630" spans="1:4" x14ac:dyDescent="0.25">
      <c r="A2630" s="2" t="s">
        <v>7084</v>
      </c>
      <c r="B2630" s="2" t="s">
        <v>2921</v>
      </c>
      <c r="C2630" s="2" t="str">
        <f t="shared" si="41"/>
        <v>TX0118567_001</v>
      </c>
      <c r="D2630" s="2" t="s">
        <v>4456</v>
      </c>
    </row>
    <row r="2631" spans="1:4" x14ac:dyDescent="0.25">
      <c r="A2631" s="2" t="s">
        <v>7084</v>
      </c>
      <c r="B2631" s="2" t="s">
        <v>2923</v>
      </c>
      <c r="C2631" s="2" t="str">
        <f t="shared" si="41"/>
        <v>TX0118567_002</v>
      </c>
      <c r="D2631" s="2" t="s">
        <v>4456</v>
      </c>
    </row>
    <row r="2632" spans="1:4" x14ac:dyDescent="0.25">
      <c r="A2632" s="2" t="s">
        <v>7085</v>
      </c>
      <c r="B2632" s="2" t="s">
        <v>2921</v>
      </c>
      <c r="C2632" s="2" t="str">
        <f t="shared" si="41"/>
        <v>TX0118575_001</v>
      </c>
      <c r="D2632" s="2" t="s">
        <v>4458</v>
      </c>
    </row>
    <row r="2633" spans="1:4" x14ac:dyDescent="0.25">
      <c r="A2633" s="2" t="s">
        <v>7086</v>
      </c>
      <c r="B2633" s="2" t="s">
        <v>2921</v>
      </c>
      <c r="C2633" s="2" t="str">
        <f t="shared" si="41"/>
        <v>TX0118583_001</v>
      </c>
      <c r="D2633" s="2" t="s">
        <v>4459</v>
      </c>
    </row>
    <row r="2634" spans="1:4" x14ac:dyDescent="0.25">
      <c r="A2634" s="2" t="s">
        <v>7087</v>
      </c>
      <c r="B2634" s="2" t="s">
        <v>2921</v>
      </c>
      <c r="C2634" s="2" t="str">
        <f t="shared" si="41"/>
        <v>TX0118591_001</v>
      </c>
      <c r="D2634" s="2" t="s">
        <v>3718</v>
      </c>
    </row>
    <row r="2635" spans="1:4" x14ac:dyDescent="0.25">
      <c r="A2635" s="2" t="s">
        <v>7088</v>
      </c>
      <c r="B2635" s="2" t="s">
        <v>2921</v>
      </c>
      <c r="C2635" s="2" t="str">
        <f t="shared" si="41"/>
        <v>TX0118621_001</v>
      </c>
      <c r="D2635" s="2" t="s">
        <v>3289</v>
      </c>
    </row>
    <row r="2636" spans="1:4" x14ac:dyDescent="0.25">
      <c r="A2636" s="2" t="s">
        <v>7089</v>
      </c>
      <c r="B2636" s="2" t="s">
        <v>2921</v>
      </c>
      <c r="C2636" s="2" t="str">
        <f t="shared" si="41"/>
        <v>TX0118656_001</v>
      </c>
      <c r="D2636" s="2" t="s">
        <v>4460</v>
      </c>
    </row>
    <row r="2637" spans="1:4" x14ac:dyDescent="0.25">
      <c r="A2637" s="2" t="s">
        <v>7090</v>
      </c>
      <c r="B2637" s="2" t="s">
        <v>2921</v>
      </c>
      <c r="C2637" s="2" t="str">
        <f t="shared" si="41"/>
        <v>TX0118672_001</v>
      </c>
      <c r="D2637" s="2" t="s">
        <v>3974</v>
      </c>
    </row>
    <row r="2638" spans="1:4" x14ac:dyDescent="0.25">
      <c r="A2638" s="2" t="s">
        <v>7091</v>
      </c>
      <c r="B2638" s="2" t="s">
        <v>2921</v>
      </c>
      <c r="C2638" s="2" t="str">
        <f t="shared" si="41"/>
        <v>TX0118702_001</v>
      </c>
      <c r="D2638" s="2" t="s">
        <v>4461</v>
      </c>
    </row>
    <row r="2639" spans="1:4" x14ac:dyDescent="0.25">
      <c r="A2639" s="2" t="s">
        <v>7092</v>
      </c>
      <c r="B2639" s="2" t="s">
        <v>2923</v>
      </c>
      <c r="C2639" s="2" t="str">
        <f t="shared" si="41"/>
        <v>TX0118737_002</v>
      </c>
      <c r="D2639" s="2" t="s">
        <v>2998</v>
      </c>
    </row>
    <row r="2640" spans="1:4" x14ac:dyDescent="0.25">
      <c r="A2640" s="2" t="s">
        <v>7092</v>
      </c>
      <c r="B2640" s="2" t="s">
        <v>2924</v>
      </c>
      <c r="C2640" s="2" t="str">
        <f t="shared" si="41"/>
        <v>TX0118737_003</v>
      </c>
      <c r="D2640" s="2" t="s">
        <v>2998</v>
      </c>
    </row>
    <row r="2641" spans="1:4" x14ac:dyDescent="0.25">
      <c r="A2641" s="2" t="s">
        <v>7092</v>
      </c>
      <c r="B2641" s="2" t="s">
        <v>2921</v>
      </c>
      <c r="C2641" s="2" t="str">
        <f t="shared" si="41"/>
        <v>TX0118737_001</v>
      </c>
      <c r="D2641" s="2" t="s">
        <v>2998</v>
      </c>
    </row>
    <row r="2642" spans="1:4" x14ac:dyDescent="0.25">
      <c r="A2642" s="2" t="s">
        <v>7093</v>
      </c>
      <c r="B2642" s="2" t="s">
        <v>2921</v>
      </c>
      <c r="C2642" s="2" t="str">
        <f t="shared" si="41"/>
        <v>TX0118745_001</v>
      </c>
      <c r="D2642" s="2" t="s">
        <v>4462</v>
      </c>
    </row>
    <row r="2643" spans="1:4" x14ac:dyDescent="0.25">
      <c r="A2643" s="2" t="s">
        <v>7094</v>
      </c>
      <c r="B2643" s="2" t="s">
        <v>2921</v>
      </c>
      <c r="C2643" s="2" t="str">
        <f t="shared" si="41"/>
        <v>TX0118770_001</v>
      </c>
      <c r="D2643" s="2" t="s">
        <v>4463</v>
      </c>
    </row>
    <row r="2644" spans="1:4" x14ac:dyDescent="0.25">
      <c r="A2644" s="2" t="s">
        <v>7095</v>
      </c>
      <c r="B2644" s="2" t="s">
        <v>2921</v>
      </c>
      <c r="C2644" s="2" t="str">
        <f t="shared" si="41"/>
        <v>TX0118851_001</v>
      </c>
      <c r="D2644" s="2" t="s">
        <v>4464</v>
      </c>
    </row>
    <row r="2645" spans="1:4" x14ac:dyDescent="0.25">
      <c r="A2645" s="2" t="s">
        <v>7096</v>
      </c>
      <c r="B2645" s="2" t="s">
        <v>2921</v>
      </c>
      <c r="C2645" s="2" t="str">
        <f t="shared" si="41"/>
        <v>TX0118877_001</v>
      </c>
      <c r="D2645" s="2" t="s">
        <v>4465</v>
      </c>
    </row>
    <row r="2646" spans="1:4" x14ac:dyDescent="0.25">
      <c r="A2646" s="2" t="s">
        <v>7097</v>
      </c>
      <c r="B2646" s="2" t="s">
        <v>2921</v>
      </c>
      <c r="C2646" s="2" t="str">
        <f t="shared" si="41"/>
        <v>TX0118923_001</v>
      </c>
      <c r="D2646" s="2" t="s">
        <v>3309</v>
      </c>
    </row>
    <row r="2647" spans="1:4" x14ac:dyDescent="0.25">
      <c r="A2647" s="2" t="s">
        <v>7098</v>
      </c>
      <c r="B2647" s="2" t="s">
        <v>2921</v>
      </c>
      <c r="C2647" s="2" t="str">
        <f t="shared" si="41"/>
        <v>TX0118931_001</v>
      </c>
      <c r="D2647" s="2" t="s">
        <v>4466</v>
      </c>
    </row>
    <row r="2648" spans="1:4" x14ac:dyDescent="0.25">
      <c r="A2648" s="2" t="s">
        <v>7099</v>
      </c>
      <c r="B2648" s="2" t="s">
        <v>2921</v>
      </c>
      <c r="C2648" s="2" t="str">
        <f t="shared" si="41"/>
        <v>TX0118940_001</v>
      </c>
      <c r="D2648" s="2" t="s">
        <v>4467</v>
      </c>
    </row>
    <row r="2649" spans="1:4" x14ac:dyDescent="0.25">
      <c r="A2649" s="2" t="s">
        <v>7100</v>
      </c>
      <c r="B2649" s="2" t="s">
        <v>2921</v>
      </c>
      <c r="C2649" s="2" t="str">
        <f t="shared" si="41"/>
        <v>TX0118966_001</v>
      </c>
      <c r="D2649" s="2" t="s">
        <v>4468</v>
      </c>
    </row>
    <row r="2650" spans="1:4" x14ac:dyDescent="0.25">
      <c r="A2650" s="2" t="s">
        <v>7101</v>
      </c>
      <c r="B2650" s="2" t="s">
        <v>2921</v>
      </c>
      <c r="C2650" s="2" t="str">
        <f t="shared" si="41"/>
        <v>TX0118982_001</v>
      </c>
      <c r="D2650" s="2" t="s">
        <v>4469</v>
      </c>
    </row>
    <row r="2651" spans="1:4" x14ac:dyDescent="0.25">
      <c r="A2651" s="2" t="s">
        <v>7102</v>
      </c>
      <c r="B2651" s="2" t="s">
        <v>2921</v>
      </c>
      <c r="C2651" s="2" t="str">
        <f t="shared" si="41"/>
        <v>TX0118991_001</v>
      </c>
      <c r="D2651" s="2" t="s">
        <v>4470</v>
      </c>
    </row>
    <row r="2652" spans="1:4" x14ac:dyDescent="0.25">
      <c r="A2652" s="2" t="s">
        <v>7103</v>
      </c>
      <c r="B2652" s="2" t="s">
        <v>2921</v>
      </c>
      <c r="C2652" s="2" t="str">
        <f t="shared" si="41"/>
        <v>TX0119008_001</v>
      </c>
      <c r="D2652" s="2" t="s">
        <v>4471</v>
      </c>
    </row>
    <row r="2653" spans="1:4" x14ac:dyDescent="0.25">
      <c r="A2653" s="2" t="s">
        <v>7104</v>
      </c>
      <c r="B2653" s="2" t="s">
        <v>2934</v>
      </c>
      <c r="C2653" s="2" t="str">
        <f t="shared" si="41"/>
        <v>TX0119016_005</v>
      </c>
      <c r="D2653" s="2" t="s">
        <v>4472</v>
      </c>
    </row>
    <row r="2654" spans="1:4" x14ac:dyDescent="0.25">
      <c r="A2654" s="2" t="s">
        <v>7104</v>
      </c>
      <c r="B2654" s="2" t="s">
        <v>2940</v>
      </c>
      <c r="C2654" s="2" t="str">
        <f t="shared" si="41"/>
        <v>TX0119016_006</v>
      </c>
      <c r="D2654" s="2" t="s">
        <v>4472</v>
      </c>
    </row>
    <row r="2655" spans="1:4" x14ac:dyDescent="0.25">
      <c r="A2655" s="2" t="s">
        <v>7104</v>
      </c>
      <c r="B2655" s="2" t="s">
        <v>2959</v>
      </c>
      <c r="C2655" s="2" t="str">
        <f t="shared" si="41"/>
        <v>TX0119016_007</v>
      </c>
      <c r="D2655" s="2" t="s">
        <v>4472</v>
      </c>
    </row>
    <row r="2656" spans="1:4" x14ac:dyDescent="0.25">
      <c r="A2656" s="2" t="s">
        <v>7104</v>
      </c>
      <c r="B2656" s="2" t="s">
        <v>2946</v>
      </c>
      <c r="C2656" s="2" t="str">
        <f t="shared" si="41"/>
        <v>TX0119016_008</v>
      </c>
      <c r="D2656" s="2" t="s">
        <v>4472</v>
      </c>
    </row>
    <row r="2657" spans="1:4" x14ac:dyDescent="0.25">
      <c r="A2657" s="2" t="s">
        <v>7104</v>
      </c>
      <c r="B2657" s="2" t="s">
        <v>2969</v>
      </c>
      <c r="C2657" s="2" t="str">
        <f t="shared" si="41"/>
        <v>TX0119016_009</v>
      </c>
      <c r="D2657" s="2" t="s">
        <v>4472</v>
      </c>
    </row>
    <row r="2658" spans="1:4" x14ac:dyDescent="0.25">
      <c r="A2658" s="2" t="s">
        <v>7104</v>
      </c>
      <c r="B2658" s="2" t="s">
        <v>2923</v>
      </c>
      <c r="C2658" s="2" t="str">
        <f t="shared" si="41"/>
        <v>TX0119016_002</v>
      </c>
      <c r="D2658" s="2" t="s">
        <v>4472</v>
      </c>
    </row>
    <row r="2659" spans="1:4" x14ac:dyDescent="0.25">
      <c r="A2659" s="2" t="s">
        <v>7104</v>
      </c>
      <c r="B2659" s="2" t="s">
        <v>2924</v>
      </c>
      <c r="C2659" s="2" t="str">
        <f t="shared" si="41"/>
        <v>TX0119016_003</v>
      </c>
      <c r="D2659" s="2" t="s">
        <v>4472</v>
      </c>
    </row>
    <row r="2660" spans="1:4" x14ac:dyDescent="0.25">
      <c r="A2660" s="2" t="s">
        <v>7104</v>
      </c>
      <c r="B2660" s="2" t="s">
        <v>2936</v>
      </c>
      <c r="C2660" s="2" t="str">
        <f t="shared" si="41"/>
        <v>TX0119016_004</v>
      </c>
      <c r="D2660" s="2" t="s">
        <v>4472</v>
      </c>
    </row>
    <row r="2661" spans="1:4" x14ac:dyDescent="0.25">
      <c r="A2661" s="2" t="s">
        <v>7104</v>
      </c>
      <c r="B2661" s="2" t="s">
        <v>2921</v>
      </c>
      <c r="C2661" s="2" t="str">
        <f t="shared" si="41"/>
        <v>TX0119016_001</v>
      </c>
      <c r="D2661" s="2" t="s">
        <v>4472</v>
      </c>
    </row>
    <row r="2662" spans="1:4" x14ac:dyDescent="0.25">
      <c r="A2662" s="2" t="s">
        <v>7105</v>
      </c>
      <c r="B2662" s="2" t="s">
        <v>2921</v>
      </c>
      <c r="C2662" s="2" t="str">
        <f t="shared" si="41"/>
        <v>TX0119024_001</v>
      </c>
      <c r="D2662" s="2" t="s">
        <v>4362</v>
      </c>
    </row>
    <row r="2663" spans="1:4" x14ac:dyDescent="0.25">
      <c r="A2663" s="2" t="s">
        <v>7106</v>
      </c>
      <c r="B2663" s="2" t="s">
        <v>2921</v>
      </c>
      <c r="C2663" s="2" t="str">
        <f t="shared" si="41"/>
        <v>TX0119041_001</v>
      </c>
      <c r="D2663" s="2" t="s">
        <v>3404</v>
      </c>
    </row>
    <row r="2664" spans="1:4" x14ac:dyDescent="0.25">
      <c r="A2664" s="2" t="s">
        <v>7107</v>
      </c>
      <c r="B2664" s="2" t="s">
        <v>2921</v>
      </c>
      <c r="C2664" s="2" t="str">
        <f t="shared" si="41"/>
        <v>TX0119067_001</v>
      </c>
      <c r="D2664" s="2" t="s">
        <v>3286</v>
      </c>
    </row>
    <row r="2665" spans="1:4" x14ac:dyDescent="0.25">
      <c r="A2665" s="2" t="s">
        <v>7108</v>
      </c>
      <c r="B2665" s="2" t="s">
        <v>2921</v>
      </c>
      <c r="C2665" s="2" t="str">
        <f t="shared" si="41"/>
        <v>TX0119075_001</v>
      </c>
      <c r="D2665" s="2" t="s">
        <v>4473</v>
      </c>
    </row>
    <row r="2666" spans="1:4" x14ac:dyDescent="0.25">
      <c r="A2666" s="2" t="s">
        <v>7109</v>
      </c>
      <c r="B2666" s="2" t="s">
        <v>2921</v>
      </c>
      <c r="C2666" s="2" t="str">
        <f t="shared" si="41"/>
        <v>TX0119083_001</v>
      </c>
      <c r="D2666" s="2" t="s">
        <v>4474</v>
      </c>
    </row>
    <row r="2667" spans="1:4" x14ac:dyDescent="0.25">
      <c r="A2667" s="2" t="s">
        <v>7110</v>
      </c>
      <c r="B2667" s="2" t="s">
        <v>2921</v>
      </c>
      <c r="C2667" s="2" t="str">
        <f t="shared" si="41"/>
        <v>TX0119105_001</v>
      </c>
      <c r="D2667" s="2" t="s">
        <v>4475</v>
      </c>
    </row>
    <row r="2668" spans="1:4" x14ac:dyDescent="0.25">
      <c r="A2668" s="2" t="s">
        <v>7111</v>
      </c>
      <c r="B2668" s="2" t="s">
        <v>2921</v>
      </c>
      <c r="C2668" s="2" t="str">
        <f t="shared" si="41"/>
        <v>TX0119113_001</v>
      </c>
      <c r="D2668" s="2" t="s">
        <v>4476</v>
      </c>
    </row>
    <row r="2669" spans="1:4" x14ac:dyDescent="0.25">
      <c r="A2669" s="2" t="s">
        <v>7112</v>
      </c>
      <c r="B2669" s="2" t="s">
        <v>2921</v>
      </c>
      <c r="C2669" s="2" t="str">
        <f t="shared" si="41"/>
        <v>TX0119121_001</v>
      </c>
      <c r="D2669" s="2" t="s">
        <v>4477</v>
      </c>
    </row>
    <row r="2670" spans="1:4" x14ac:dyDescent="0.25">
      <c r="A2670" s="2" t="s">
        <v>7113</v>
      </c>
      <c r="B2670" s="2" t="s">
        <v>2921</v>
      </c>
      <c r="C2670" s="2" t="str">
        <f t="shared" si="41"/>
        <v>TX0119172_001</v>
      </c>
      <c r="D2670" s="2" t="s">
        <v>3185</v>
      </c>
    </row>
    <row r="2671" spans="1:4" x14ac:dyDescent="0.25">
      <c r="A2671" s="2" t="s">
        <v>7114</v>
      </c>
      <c r="B2671" s="2" t="s">
        <v>2921</v>
      </c>
      <c r="C2671" s="2" t="str">
        <f t="shared" si="41"/>
        <v>TX0119181_001</v>
      </c>
      <c r="D2671" s="2" t="s">
        <v>4478</v>
      </c>
    </row>
    <row r="2672" spans="1:4" x14ac:dyDescent="0.25">
      <c r="A2672" s="2" t="s">
        <v>7115</v>
      </c>
      <c r="B2672" s="2" t="s">
        <v>2921</v>
      </c>
      <c r="C2672" s="2" t="str">
        <f t="shared" si="41"/>
        <v>TX0119199_001</v>
      </c>
      <c r="D2672" s="2" t="s">
        <v>4117</v>
      </c>
    </row>
    <row r="2673" spans="1:4" x14ac:dyDescent="0.25">
      <c r="A2673" s="2" t="s">
        <v>7116</v>
      </c>
      <c r="B2673" s="2" t="s">
        <v>2921</v>
      </c>
      <c r="C2673" s="2" t="str">
        <f t="shared" si="41"/>
        <v>TX0119202_001</v>
      </c>
      <c r="D2673" s="2" t="s">
        <v>4479</v>
      </c>
    </row>
    <row r="2674" spans="1:4" x14ac:dyDescent="0.25">
      <c r="A2674" s="2" t="s">
        <v>7117</v>
      </c>
      <c r="B2674" s="2" t="s">
        <v>2921</v>
      </c>
      <c r="C2674" s="2" t="str">
        <f t="shared" si="41"/>
        <v>TX0119211_001</v>
      </c>
      <c r="D2674" s="2" t="s">
        <v>4480</v>
      </c>
    </row>
    <row r="2675" spans="1:4" x14ac:dyDescent="0.25">
      <c r="A2675" s="2" t="s">
        <v>7118</v>
      </c>
      <c r="B2675" s="2" t="s">
        <v>2921</v>
      </c>
      <c r="C2675" s="2" t="str">
        <f t="shared" si="41"/>
        <v>TX0119229_001</v>
      </c>
      <c r="D2675" s="2" t="s">
        <v>4481</v>
      </c>
    </row>
    <row r="2676" spans="1:4" x14ac:dyDescent="0.25">
      <c r="A2676" s="2" t="s">
        <v>7119</v>
      </c>
      <c r="B2676" s="2" t="s">
        <v>2921</v>
      </c>
      <c r="C2676" s="2" t="str">
        <f t="shared" si="41"/>
        <v>TX0119245_001</v>
      </c>
      <c r="D2676" s="2" t="s">
        <v>4482</v>
      </c>
    </row>
    <row r="2677" spans="1:4" x14ac:dyDescent="0.25">
      <c r="A2677" s="2" t="s">
        <v>7120</v>
      </c>
      <c r="B2677" s="2" t="s">
        <v>2921</v>
      </c>
      <c r="C2677" s="2" t="str">
        <f t="shared" si="41"/>
        <v>TX0119261_001</v>
      </c>
      <c r="D2677" s="2" t="s">
        <v>3767</v>
      </c>
    </row>
    <row r="2678" spans="1:4" x14ac:dyDescent="0.25">
      <c r="A2678" s="2" t="s">
        <v>7121</v>
      </c>
      <c r="B2678" s="2" t="s">
        <v>2921</v>
      </c>
      <c r="C2678" s="2" t="str">
        <f t="shared" si="41"/>
        <v>TX0119270_001</v>
      </c>
      <c r="D2678" s="2" t="s">
        <v>3286</v>
      </c>
    </row>
    <row r="2679" spans="1:4" x14ac:dyDescent="0.25">
      <c r="A2679" s="2" t="s">
        <v>7122</v>
      </c>
      <c r="B2679" s="2" t="s">
        <v>2921</v>
      </c>
      <c r="C2679" s="2" t="str">
        <f t="shared" si="41"/>
        <v>TX0119288_001</v>
      </c>
      <c r="D2679" s="2" t="s">
        <v>4483</v>
      </c>
    </row>
    <row r="2680" spans="1:4" x14ac:dyDescent="0.25">
      <c r="A2680" s="2" t="s">
        <v>7122</v>
      </c>
      <c r="B2680" s="2" t="s">
        <v>2923</v>
      </c>
      <c r="C2680" s="2" t="str">
        <f t="shared" si="41"/>
        <v>TX0119288_002</v>
      </c>
      <c r="D2680" s="2" t="s">
        <v>4483</v>
      </c>
    </row>
    <row r="2681" spans="1:4" x14ac:dyDescent="0.25">
      <c r="A2681" s="2" t="s">
        <v>7123</v>
      </c>
      <c r="B2681" s="2" t="s">
        <v>2923</v>
      </c>
      <c r="C2681" s="2" t="str">
        <f t="shared" si="41"/>
        <v>TX0119326_002</v>
      </c>
      <c r="D2681" s="2" t="s">
        <v>4484</v>
      </c>
    </row>
    <row r="2682" spans="1:4" x14ac:dyDescent="0.25">
      <c r="A2682" s="2" t="s">
        <v>7123</v>
      </c>
      <c r="B2682" s="2" t="s">
        <v>2921</v>
      </c>
      <c r="C2682" s="2" t="str">
        <f t="shared" si="41"/>
        <v>TX0119326_001</v>
      </c>
      <c r="D2682" s="2" t="s">
        <v>4484</v>
      </c>
    </row>
    <row r="2683" spans="1:4" x14ac:dyDescent="0.25">
      <c r="A2683" s="2" t="s">
        <v>7124</v>
      </c>
      <c r="B2683" s="2" t="s">
        <v>2921</v>
      </c>
      <c r="C2683" s="2" t="str">
        <f t="shared" si="41"/>
        <v>TX0119351_001</v>
      </c>
      <c r="D2683" s="2" t="s">
        <v>4485</v>
      </c>
    </row>
    <row r="2684" spans="1:4" x14ac:dyDescent="0.25">
      <c r="A2684" s="2" t="s">
        <v>7125</v>
      </c>
      <c r="B2684" s="2" t="s">
        <v>2921</v>
      </c>
      <c r="C2684" s="2" t="str">
        <f t="shared" si="41"/>
        <v>TX0119369_001</v>
      </c>
      <c r="D2684" s="2" t="s">
        <v>4486</v>
      </c>
    </row>
    <row r="2685" spans="1:4" x14ac:dyDescent="0.25">
      <c r="A2685" s="2" t="s">
        <v>7125</v>
      </c>
      <c r="B2685" s="2" t="s">
        <v>2923</v>
      </c>
      <c r="C2685" s="2" t="str">
        <f t="shared" si="41"/>
        <v>TX0119369_002</v>
      </c>
      <c r="D2685" s="2" t="s">
        <v>4486</v>
      </c>
    </row>
    <row r="2686" spans="1:4" x14ac:dyDescent="0.25">
      <c r="A2686" s="2" t="s">
        <v>7126</v>
      </c>
      <c r="B2686" s="2" t="s">
        <v>2921</v>
      </c>
      <c r="C2686" s="2" t="str">
        <f t="shared" si="41"/>
        <v>TX0119407_001</v>
      </c>
      <c r="D2686" s="2" t="s">
        <v>4487</v>
      </c>
    </row>
    <row r="2687" spans="1:4" x14ac:dyDescent="0.25">
      <c r="A2687" s="2" t="s">
        <v>7127</v>
      </c>
      <c r="B2687" s="2" t="s">
        <v>2921</v>
      </c>
      <c r="C2687" s="2" t="str">
        <f t="shared" si="41"/>
        <v>TX0119415_001</v>
      </c>
      <c r="D2687" s="2" t="s">
        <v>4488</v>
      </c>
    </row>
    <row r="2688" spans="1:4" x14ac:dyDescent="0.25">
      <c r="A2688" s="2" t="s">
        <v>7128</v>
      </c>
      <c r="B2688" s="2" t="s">
        <v>2921</v>
      </c>
      <c r="C2688" s="2" t="str">
        <f t="shared" si="41"/>
        <v>TX0119423_001</v>
      </c>
      <c r="D2688" s="2" t="s">
        <v>4489</v>
      </c>
    </row>
    <row r="2689" spans="1:4" x14ac:dyDescent="0.25">
      <c r="A2689" s="2" t="s">
        <v>7129</v>
      </c>
      <c r="B2689" s="2" t="s">
        <v>2921</v>
      </c>
      <c r="C2689" s="2" t="str">
        <f t="shared" si="41"/>
        <v>TX0119431_001</v>
      </c>
      <c r="D2689" s="2" t="s">
        <v>4490</v>
      </c>
    </row>
    <row r="2690" spans="1:4" x14ac:dyDescent="0.25">
      <c r="A2690" s="2" t="s">
        <v>7130</v>
      </c>
      <c r="B2690" s="2" t="s">
        <v>2921</v>
      </c>
      <c r="C2690" s="2" t="str">
        <f t="shared" si="41"/>
        <v>TX0119458_001</v>
      </c>
      <c r="D2690" s="2" t="s">
        <v>4491</v>
      </c>
    </row>
    <row r="2691" spans="1:4" x14ac:dyDescent="0.25">
      <c r="A2691" s="2" t="s">
        <v>7131</v>
      </c>
      <c r="B2691" s="2" t="s">
        <v>2921</v>
      </c>
      <c r="C2691" s="2" t="str">
        <f t="shared" ref="C2691:C2754" si="42">A2691 &amp; "_" &amp; B2691</f>
        <v>TX0119466_001</v>
      </c>
      <c r="D2691" s="2" t="s">
        <v>4492</v>
      </c>
    </row>
    <row r="2692" spans="1:4" x14ac:dyDescent="0.25">
      <c r="A2692" s="2" t="s">
        <v>7132</v>
      </c>
      <c r="B2692" s="2" t="s">
        <v>2921</v>
      </c>
      <c r="C2692" s="2" t="str">
        <f t="shared" si="42"/>
        <v>TX0119482_001</v>
      </c>
      <c r="D2692" s="2" t="s">
        <v>4493</v>
      </c>
    </row>
    <row r="2693" spans="1:4" x14ac:dyDescent="0.25">
      <c r="A2693" s="2" t="s">
        <v>7133</v>
      </c>
      <c r="B2693" s="2" t="s">
        <v>2921</v>
      </c>
      <c r="C2693" s="2" t="str">
        <f t="shared" si="42"/>
        <v>TX0119504_001</v>
      </c>
      <c r="D2693" s="2" t="s">
        <v>3286</v>
      </c>
    </row>
    <row r="2694" spans="1:4" x14ac:dyDescent="0.25">
      <c r="A2694" s="2" t="s">
        <v>7134</v>
      </c>
      <c r="B2694" s="2" t="s">
        <v>2921</v>
      </c>
      <c r="C2694" s="2" t="str">
        <f t="shared" si="42"/>
        <v>TX0119521_001</v>
      </c>
      <c r="D2694" s="2" t="s">
        <v>4494</v>
      </c>
    </row>
    <row r="2695" spans="1:4" x14ac:dyDescent="0.25">
      <c r="A2695" s="2" t="s">
        <v>7135</v>
      </c>
      <c r="B2695" s="2" t="s">
        <v>2921</v>
      </c>
      <c r="C2695" s="2" t="str">
        <f t="shared" si="42"/>
        <v>TX0119539_001</v>
      </c>
      <c r="D2695" s="2" t="s">
        <v>4495</v>
      </c>
    </row>
    <row r="2696" spans="1:4" x14ac:dyDescent="0.25">
      <c r="A2696" s="2" t="s">
        <v>7136</v>
      </c>
      <c r="B2696" s="2" t="s">
        <v>2921</v>
      </c>
      <c r="C2696" s="2" t="str">
        <f t="shared" si="42"/>
        <v>TX0119547_001</v>
      </c>
      <c r="D2696" s="2" t="s">
        <v>3286</v>
      </c>
    </row>
    <row r="2697" spans="1:4" x14ac:dyDescent="0.25">
      <c r="A2697" s="2" t="s">
        <v>7137</v>
      </c>
      <c r="B2697" s="2" t="s">
        <v>2921</v>
      </c>
      <c r="C2697" s="2" t="str">
        <f t="shared" si="42"/>
        <v>TX0119563_001</v>
      </c>
      <c r="D2697" s="2" t="s">
        <v>4496</v>
      </c>
    </row>
    <row r="2698" spans="1:4" x14ac:dyDescent="0.25">
      <c r="A2698" s="2" t="s">
        <v>7138</v>
      </c>
      <c r="B2698" s="2" t="s">
        <v>2921</v>
      </c>
      <c r="C2698" s="2" t="str">
        <f t="shared" si="42"/>
        <v>TX0119571_001</v>
      </c>
      <c r="D2698" s="2" t="s">
        <v>3286</v>
      </c>
    </row>
    <row r="2699" spans="1:4" x14ac:dyDescent="0.25">
      <c r="A2699" s="2" t="s">
        <v>7139</v>
      </c>
      <c r="B2699" s="2" t="s">
        <v>2921</v>
      </c>
      <c r="C2699" s="2" t="str">
        <f t="shared" si="42"/>
        <v>TX0119580_001</v>
      </c>
      <c r="D2699" s="2" t="s">
        <v>4497</v>
      </c>
    </row>
    <row r="2700" spans="1:4" x14ac:dyDescent="0.25">
      <c r="A2700" s="2" t="s">
        <v>7140</v>
      </c>
      <c r="B2700" s="2" t="s">
        <v>2921</v>
      </c>
      <c r="C2700" s="2" t="str">
        <f t="shared" si="42"/>
        <v>TX0119598_001</v>
      </c>
      <c r="D2700" s="2" t="s">
        <v>4111</v>
      </c>
    </row>
    <row r="2701" spans="1:4" x14ac:dyDescent="0.25">
      <c r="A2701" s="2" t="s">
        <v>7141</v>
      </c>
      <c r="B2701" s="2" t="s">
        <v>2921</v>
      </c>
      <c r="C2701" s="2" t="str">
        <f t="shared" si="42"/>
        <v>TX0119601_001</v>
      </c>
      <c r="D2701" s="2" t="s">
        <v>4498</v>
      </c>
    </row>
    <row r="2702" spans="1:4" x14ac:dyDescent="0.25">
      <c r="A2702" s="2" t="s">
        <v>7142</v>
      </c>
      <c r="B2702" s="2" t="s">
        <v>2921</v>
      </c>
      <c r="C2702" s="2" t="str">
        <f t="shared" si="42"/>
        <v>TX0119610_001</v>
      </c>
      <c r="D2702" s="2" t="s">
        <v>4499</v>
      </c>
    </row>
    <row r="2703" spans="1:4" x14ac:dyDescent="0.25">
      <c r="A2703" s="2" t="s">
        <v>7143</v>
      </c>
      <c r="B2703" s="2" t="s">
        <v>2921</v>
      </c>
      <c r="C2703" s="2" t="str">
        <f t="shared" si="42"/>
        <v>TX0119628_001</v>
      </c>
      <c r="D2703" s="2" t="s">
        <v>4500</v>
      </c>
    </row>
    <row r="2704" spans="1:4" x14ac:dyDescent="0.25">
      <c r="A2704" s="2" t="s">
        <v>7144</v>
      </c>
      <c r="B2704" s="2" t="s">
        <v>2921</v>
      </c>
      <c r="C2704" s="2" t="str">
        <f t="shared" si="42"/>
        <v>TX0119679_001</v>
      </c>
      <c r="D2704" s="2" t="s">
        <v>4501</v>
      </c>
    </row>
    <row r="2705" spans="1:4" x14ac:dyDescent="0.25">
      <c r="A2705" s="2" t="s">
        <v>7145</v>
      </c>
      <c r="B2705" s="2" t="s">
        <v>2921</v>
      </c>
      <c r="C2705" s="2" t="str">
        <f t="shared" si="42"/>
        <v>TX0119687_001</v>
      </c>
      <c r="D2705" s="2" t="s">
        <v>3286</v>
      </c>
    </row>
    <row r="2706" spans="1:4" x14ac:dyDescent="0.25">
      <c r="A2706" s="2" t="s">
        <v>7146</v>
      </c>
      <c r="B2706" s="2" t="s">
        <v>2921</v>
      </c>
      <c r="C2706" s="2" t="str">
        <f t="shared" si="42"/>
        <v>TX0119709_001</v>
      </c>
      <c r="D2706" s="2" t="s">
        <v>4412</v>
      </c>
    </row>
    <row r="2707" spans="1:4" x14ac:dyDescent="0.25">
      <c r="A2707" s="2" t="s">
        <v>7147</v>
      </c>
      <c r="B2707" s="2" t="s">
        <v>2921</v>
      </c>
      <c r="C2707" s="2" t="str">
        <f t="shared" si="42"/>
        <v>TX0119725_001</v>
      </c>
      <c r="D2707" s="2" t="s">
        <v>4502</v>
      </c>
    </row>
    <row r="2708" spans="1:4" x14ac:dyDescent="0.25">
      <c r="A2708" s="2" t="s">
        <v>7148</v>
      </c>
      <c r="B2708" s="2" t="s">
        <v>2921</v>
      </c>
      <c r="C2708" s="2" t="str">
        <f t="shared" si="42"/>
        <v>TX0119776_001</v>
      </c>
      <c r="D2708" s="2" t="s">
        <v>3140</v>
      </c>
    </row>
    <row r="2709" spans="1:4" x14ac:dyDescent="0.25">
      <c r="A2709" s="2" t="s">
        <v>7148</v>
      </c>
      <c r="B2709" s="2" t="s">
        <v>2924</v>
      </c>
      <c r="C2709" s="2" t="str">
        <f t="shared" si="42"/>
        <v>TX0119776_003</v>
      </c>
      <c r="D2709" s="2" t="s">
        <v>3140</v>
      </c>
    </row>
    <row r="2710" spans="1:4" x14ac:dyDescent="0.25">
      <c r="A2710" s="2" t="s">
        <v>7148</v>
      </c>
      <c r="B2710" s="2" t="s">
        <v>2923</v>
      </c>
      <c r="C2710" s="2" t="str">
        <f t="shared" si="42"/>
        <v>TX0119776_002</v>
      </c>
      <c r="D2710" s="2" t="s">
        <v>3140</v>
      </c>
    </row>
    <row r="2711" spans="1:4" x14ac:dyDescent="0.25">
      <c r="A2711" s="2" t="s">
        <v>7149</v>
      </c>
      <c r="B2711" s="2" t="s">
        <v>2921</v>
      </c>
      <c r="C2711" s="2" t="str">
        <f t="shared" si="42"/>
        <v>TX0119784_001</v>
      </c>
      <c r="D2711" s="2" t="s">
        <v>4503</v>
      </c>
    </row>
    <row r="2712" spans="1:4" x14ac:dyDescent="0.25">
      <c r="A2712" s="2" t="s">
        <v>7150</v>
      </c>
      <c r="B2712" s="2" t="s">
        <v>2921</v>
      </c>
      <c r="C2712" s="2" t="str">
        <f t="shared" si="42"/>
        <v>TX0119792_001</v>
      </c>
      <c r="D2712" s="2" t="s">
        <v>4504</v>
      </c>
    </row>
    <row r="2713" spans="1:4" x14ac:dyDescent="0.25">
      <c r="A2713" s="2" t="s">
        <v>7150</v>
      </c>
      <c r="B2713" s="2" t="s">
        <v>2924</v>
      </c>
      <c r="C2713" s="2" t="str">
        <f t="shared" si="42"/>
        <v>TX0119792_003</v>
      </c>
      <c r="D2713" s="2" t="s">
        <v>4504</v>
      </c>
    </row>
    <row r="2714" spans="1:4" x14ac:dyDescent="0.25">
      <c r="A2714" s="2" t="s">
        <v>7150</v>
      </c>
      <c r="B2714" s="2" t="s">
        <v>2936</v>
      </c>
      <c r="C2714" s="2" t="str">
        <f t="shared" si="42"/>
        <v>TX0119792_004</v>
      </c>
      <c r="D2714" s="2" t="s">
        <v>4504</v>
      </c>
    </row>
    <row r="2715" spans="1:4" x14ac:dyDescent="0.25">
      <c r="A2715" s="2" t="s">
        <v>7150</v>
      </c>
      <c r="B2715" s="2" t="s">
        <v>2934</v>
      </c>
      <c r="C2715" s="2" t="str">
        <f t="shared" si="42"/>
        <v>TX0119792_005</v>
      </c>
      <c r="D2715" s="2" t="s">
        <v>4504</v>
      </c>
    </row>
    <row r="2716" spans="1:4" x14ac:dyDescent="0.25">
      <c r="A2716" s="2" t="s">
        <v>7150</v>
      </c>
      <c r="B2716" s="2" t="s">
        <v>2940</v>
      </c>
      <c r="C2716" s="2" t="str">
        <f t="shared" si="42"/>
        <v>TX0119792_006</v>
      </c>
      <c r="D2716" s="2" t="s">
        <v>4504</v>
      </c>
    </row>
    <row r="2717" spans="1:4" x14ac:dyDescent="0.25">
      <c r="A2717" s="2" t="s">
        <v>7150</v>
      </c>
      <c r="B2717" s="2" t="s">
        <v>2946</v>
      </c>
      <c r="C2717" s="2" t="str">
        <f t="shared" si="42"/>
        <v>TX0119792_008</v>
      </c>
      <c r="D2717" s="2" t="s">
        <v>4504</v>
      </c>
    </row>
    <row r="2718" spans="1:4" x14ac:dyDescent="0.25">
      <c r="A2718" s="2" t="s">
        <v>7150</v>
      </c>
      <c r="B2718" s="2" t="s">
        <v>2947</v>
      </c>
      <c r="C2718" s="2" t="str">
        <f t="shared" si="42"/>
        <v>TX0119792_010</v>
      </c>
      <c r="D2718" s="2" t="s">
        <v>4504</v>
      </c>
    </row>
    <row r="2719" spans="1:4" x14ac:dyDescent="0.25">
      <c r="A2719" s="2" t="s">
        <v>7150</v>
      </c>
      <c r="B2719" s="2" t="s">
        <v>2969</v>
      </c>
      <c r="C2719" s="2" t="str">
        <f t="shared" si="42"/>
        <v>TX0119792_009</v>
      </c>
      <c r="D2719" s="2" t="s">
        <v>4504</v>
      </c>
    </row>
    <row r="2720" spans="1:4" x14ac:dyDescent="0.25">
      <c r="A2720" s="2" t="s">
        <v>7150</v>
      </c>
      <c r="B2720" s="2" t="s">
        <v>2959</v>
      </c>
      <c r="C2720" s="2" t="str">
        <f t="shared" si="42"/>
        <v>TX0119792_007</v>
      </c>
      <c r="D2720" s="2" t="s">
        <v>4504</v>
      </c>
    </row>
    <row r="2721" spans="1:4" x14ac:dyDescent="0.25">
      <c r="A2721" s="2" t="s">
        <v>7151</v>
      </c>
      <c r="B2721" s="2" t="s">
        <v>2921</v>
      </c>
      <c r="C2721" s="2" t="str">
        <f t="shared" si="42"/>
        <v>TX0119814_001</v>
      </c>
      <c r="D2721" s="2" t="s">
        <v>3575</v>
      </c>
    </row>
    <row r="2722" spans="1:4" x14ac:dyDescent="0.25">
      <c r="A2722" s="2" t="s">
        <v>7152</v>
      </c>
      <c r="B2722" s="2" t="s">
        <v>2921</v>
      </c>
      <c r="C2722" s="2" t="str">
        <f t="shared" si="42"/>
        <v>TX0119849_001</v>
      </c>
      <c r="D2722" s="2" t="s">
        <v>3518</v>
      </c>
    </row>
    <row r="2723" spans="1:4" x14ac:dyDescent="0.25">
      <c r="A2723" s="2" t="s">
        <v>7153</v>
      </c>
      <c r="B2723" s="2" t="s">
        <v>2921</v>
      </c>
      <c r="C2723" s="2" t="str">
        <f t="shared" si="42"/>
        <v>TX0119857_001</v>
      </c>
      <c r="D2723" s="2" t="s">
        <v>4505</v>
      </c>
    </row>
    <row r="2724" spans="1:4" x14ac:dyDescent="0.25">
      <c r="A2724" s="2" t="s">
        <v>7154</v>
      </c>
      <c r="B2724" s="2" t="s">
        <v>2921</v>
      </c>
      <c r="C2724" s="2" t="str">
        <f t="shared" si="42"/>
        <v>TX0119873_001</v>
      </c>
      <c r="D2724" s="2" t="s">
        <v>4506</v>
      </c>
    </row>
    <row r="2725" spans="1:4" x14ac:dyDescent="0.25">
      <c r="A2725" s="2" t="s">
        <v>7155</v>
      </c>
      <c r="B2725" s="2" t="s">
        <v>2921</v>
      </c>
      <c r="C2725" s="2" t="str">
        <f t="shared" si="42"/>
        <v>TX0119890_001</v>
      </c>
      <c r="D2725" s="2" t="s">
        <v>4507</v>
      </c>
    </row>
    <row r="2726" spans="1:4" x14ac:dyDescent="0.25">
      <c r="A2726" s="2" t="s">
        <v>7156</v>
      </c>
      <c r="B2726" s="2" t="s">
        <v>2921</v>
      </c>
      <c r="C2726" s="2" t="str">
        <f t="shared" si="42"/>
        <v>TX0119946_001</v>
      </c>
      <c r="D2726" s="2" t="s">
        <v>4508</v>
      </c>
    </row>
    <row r="2727" spans="1:4" x14ac:dyDescent="0.25">
      <c r="A2727" s="2" t="s">
        <v>7157</v>
      </c>
      <c r="B2727" s="2" t="s">
        <v>2921</v>
      </c>
      <c r="C2727" s="2" t="str">
        <f t="shared" si="42"/>
        <v>TX0119954_001</v>
      </c>
      <c r="D2727" s="2" t="s">
        <v>4508</v>
      </c>
    </row>
    <row r="2728" spans="1:4" x14ac:dyDescent="0.25">
      <c r="A2728" s="2" t="s">
        <v>7158</v>
      </c>
      <c r="B2728" s="2" t="s">
        <v>2921</v>
      </c>
      <c r="C2728" s="2" t="str">
        <f t="shared" si="42"/>
        <v>TX0119962_001</v>
      </c>
      <c r="D2728" s="2" t="s">
        <v>4508</v>
      </c>
    </row>
    <row r="2729" spans="1:4" x14ac:dyDescent="0.25">
      <c r="A2729" s="2" t="s">
        <v>7159</v>
      </c>
      <c r="B2729" s="2" t="s">
        <v>2921</v>
      </c>
      <c r="C2729" s="2" t="str">
        <f t="shared" si="42"/>
        <v>TX0120006_001</v>
      </c>
      <c r="D2729" s="2" t="s">
        <v>4509</v>
      </c>
    </row>
    <row r="2730" spans="1:4" x14ac:dyDescent="0.25">
      <c r="A2730" s="2" t="s">
        <v>7160</v>
      </c>
      <c r="B2730" s="2" t="s">
        <v>2921</v>
      </c>
      <c r="C2730" s="2" t="str">
        <f t="shared" si="42"/>
        <v>TX0120022_001</v>
      </c>
      <c r="D2730" s="2" t="s">
        <v>4510</v>
      </c>
    </row>
    <row r="2731" spans="1:4" x14ac:dyDescent="0.25">
      <c r="A2731" s="2" t="s">
        <v>7161</v>
      </c>
      <c r="B2731" s="2" t="s">
        <v>2921</v>
      </c>
      <c r="C2731" s="2" t="str">
        <f t="shared" si="42"/>
        <v>TX0120073_001</v>
      </c>
      <c r="D2731" s="2" t="s">
        <v>3286</v>
      </c>
    </row>
    <row r="2732" spans="1:4" x14ac:dyDescent="0.25">
      <c r="A2732" s="2" t="s">
        <v>7162</v>
      </c>
      <c r="B2732" s="2" t="s">
        <v>2921</v>
      </c>
      <c r="C2732" s="2" t="str">
        <f t="shared" si="42"/>
        <v>TX0120111_001</v>
      </c>
      <c r="D2732" s="2" t="s">
        <v>3286</v>
      </c>
    </row>
    <row r="2733" spans="1:4" x14ac:dyDescent="0.25">
      <c r="A2733" s="2" t="s">
        <v>7163</v>
      </c>
      <c r="B2733" s="2" t="s">
        <v>2921</v>
      </c>
      <c r="C2733" s="2" t="str">
        <f t="shared" si="42"/>
        <v>TX0120146_001</v>
      </c>
      <c r="D2733" s="2" t="s">
        <v>4511</v>
      </c>
    </row>
    <row r="2734" spans="1:4" x14ac:dyDescent="0.25">
      <c r="A2734" s="2" t="s">
        <v>7164</v>
      </c>
      <c r="B2734" s="2" t="s">
        <v>2921</v>
      </c>
      <c r="C2734" s="2" t="str">
        <f t="shared" si="42"/>
        <v>TX0120189_001</v>
      </c>
      <c r="D2734" s="2" t="s">
        <v>4512</v>
      </c>
    </row>
    <row r="2735" spans="1:4" x14ac:dyDescent="0.25">
      <c r="A2735" s="2" t="s">
        <v>7165</v>
      </c>
      <c r="B2735" s="2" t="s">
        <v>2921</v>
      </c>
      <c r="C2735" s="2" t="str">
        <f t="shared" si="42"/>
        <v>TX0120243_001</v>
      </c>
      <c r="D2735" s="2" t="s">
        <v>3286</v>
      </c>
    </row>
    <row r="2736" spans="1:4" x14ac:dyDescent="0.25">
      <c r="A2736" s="2" t="s">
        <v>7166</v>
      </c>
      <c r="B2736" s="2" t="s">
        <v>2921</v>
      </c>
      <c r="C2736" s="2" t="str">
        <f t="shared" si="42"/>
        <v>TX0121053_001</v>
      </c>
      <c r="D2736" s="2" t="s">
        <v>4513</v>
      </c>
    </row>
    <row r="2737" spans="1:4" x14ac:dyDescent="0.25">
      <c r="A2737" s="2" t="s">
        <v>7167</v>
      </c>
      <c r="B2737" s="2" t="s">
        <v>2921</v>
      </c>
      <c r="C2737" s="2" t="str">
        <f t="shared" si="42"/>
        <v>TX0121061_001</v>
      </c>
      <c r="D2737" s="2" t="s">
        <v>4514</v>
      </c>
    </row>
    <row r="2738" spans="1:4" x14ac:dyDescent="0.25">
      <c r="A2738" s="2" t="s">
        <v>7168</v>
      </c>
      <c r="B2738" s="2" t="s">
        <v>2921</v>
      </c>
      <c r="C2738" s="2" t="str">
        <f t="shared" si="42"/>
        <v>TX0121126_001</v>
      </c>
      <c r="D2738" s="2" t="s">
        <v>3974</v>
      </c>
    </row>
    <row r="2739" spans="1:4" x14ac:dyDescent="0.25">
      <c r="A2739" s="2" t="s">
        <v>7169</v>
      </c>
      <c r="B2739" s="2" t="s">
        <v>2921</v>
      </c>
      <c r="C2739" s="2" t="str">
        <f t="shared" si="42"/>
        <v>TX0121762_001</v>
      </c>
      <c r="D2739" s="2" t="s">
        <v>4515</v>
      </c>
    </row>
    <row r="2740" spans="1:4" x14ac:dyDescent="0.25">
      <c r="A2740" s="2" t="s">
        <v>7170</v>
      </c>
      <c r="B2740" s="2" t="s">
        <v>2921</v>
      </c>
      <c r="C2740" s="2" t="str">
        <f t="shared" si="42"/>
        <v>TX0121797_001</v>
      </c>
      <c r="D2740" s="2" t="s">
        <v>4516</v>
      </c>
    </row>
    <row r="2741" spans="1:4" x14ac:dyDescent="0.25">
      <c r="A2741" s="2" t="s">
        <v>7171</v>
      </c>
      <c r="B2741" s="2" t="s">
        <v>2921</v>
      </c>
      <c r="C2741" s="2" t="str">
        <f t="shared" si="42"/>
        <v>TX0122157_001</v>
      </c>
      <c r="D2741" s="2" t="s">
        <v>4517</v>
      </c>
    </row>
    <row r="2742" spans="1:4" x14ac:dyDescent="0.25">
      <c r="A2742" s="2" t="s">
        <v>7172</v>
      </c>
      <c r="B2742" s="2" t="s">
        <v>2921</v>
      </c>
      <c r="C2742" s="2" t="str">
        <f t="shared" si="42"/>
        <v>TX0122173_001</v>
      </c>
      <c r="D2742" s="2" t="s">
        <v>4518</v>
      </c>
    </row>
    <row r="2743" spans="1:4" x14ac:dyDescent="0.25">
      <c r="A2743" s="2" t="s">
        <v>7173</v>
      </c>
      <c r="B2743" s="2" t="s">
        <v>2921</v>
      </c>
      <c r="C2743" s="2" t="str">
        <f t="shared" si="42"/>
        <v>TX0122181_001</v>
      </c>
      <c r="D2743" s="2" t="s">
        <v>3488</v>
      </c>
    </row>
    <row r="2744" spans="1:4" x14ac:dyDescent="0.25">
      <c r="A2744" s="2" t="s">
        <v>7174</v>
      </c>
      <c r="B2744" s="2" t="s">
        <v>2921</v>
      </c>
      <c r="C2744" s="2" t="str">
        <f t="shared" si="42"/>
        <v>TX0122203_001</v>
      </c>
      <c r="D2744" s="2" t="s">
        <v>4519</v>
      </c>
    </row>
    <row r="2745" spans="1:4" x14ac:dyDescent="0.25">
      <c r="A2745" s="2" t="s">
        <v>7175</v>
      </c>
      <c r="B2745" s="2" t="s">
        <v>2921</v>
      </c>
      <c r="C2745" s="2" t="str">
        <f t="shared" si="42"/>
        <v>TX0122211_001</v>
      </c>
      <c r="D2745" s="2" t="s">
        <v>4520</v>
      </c>
    </row>
    <row r="2746" spans="1:4" x14ac:dyDescent="0.25">
      <c r="A2746" s="2" t="s">
        <v>7176</v>
      </c>
      <c r="B2746" s="2" t="s">
        <v>2921</v>
      </c>
      <c r="C2746" s="2" t="str">
        <f t="shared" si="42"/>
        <v>TX0122246_001</v>
      </c>
      <c r="D2746" s="2" t="s">
        <v>4521</v>
      </c>
    </row>
    <row r="2747" spans="1:4" x14ac:dyDescent="0.25">
      <c r="A2747" s="2" t="s">
        <v>7177</v>
      </c>
      <c r="B2747" s="2" t="s">
        <v>2921</v>
      </c>
      <c r="C2747" s="2" t="str">
        <f t="shared" si="42"/>
        <v>TX0122271_001</v>
      </c>
      <c r="D2747" s="2" t="s">
        <v>4522</v>
      </c>
    </row>
    <row r="2748" spans="1:4" x14ac:dyDescent="0.25">
      <c r="A2748" s="2" t="s">
        <v>7178</v>
      </c>
      <c r="B2748" s="2" t="s">
        <v>2921</v>
      </c>
      <c r="C2748" s="2" t="str">
        <f t="shared" si="42"/>
        <v>TX0122297_001</v>
      </c>
      <c r="D2748" s="2" t="s">
        <v>4523</v>
      </c>
    </row>
    <row r="2749" spans="1:4" x14ac:dyDescent="0.25">
      <c r="A2749" s="2" t="s">
        <v>7179</v>
      </c>
      <c r="B2749" s="2" t="s">
        <v>2921</v>
      </c>
      <c r="C2749" s="2" t="str">
        <f t="shared" si="42"/>
        <v>TX0122327_001</v>
      </c>
      <c r="D2749" s="2" t="s">
        <v>4524</v>
      </c>
    </row>
    <row r="2750" spans="1:4" x14ac:dyDescent="0.25">
      <c r="A2750" s="2" t="s">
        <v>7180</v>
      </c>
      <c r="B2750" s="2" t="s">
        <v>2921</v>
      </c>
      <c r="C2750" s="2" t="str">
        <f t="shared" si="42"/>
        <v>TX0122335_001</v>
      </c>
      <c r="D2750" s="2" t="s">
        <v>4525</v>
      </c>
    </row>
    <row r="2751" spans="1:4" x14ac:dyDescent="0.25">
      <c r="A2751" s="2" t="s">
        <v>7181</v>
      </c>
      <c r="B2751" s="2" t="s">
        <v>2921</v>
      </c>
      <c r="C2751" s="2" t="str">
        <f t="shared" si="42"/>
        <v>TX0122351_001</v>
      </c>
      <c r="D2751" s="2" t="s">
        <v>3161</v>
      </c>
    </row>
    <row r="2752" spans="1:4" x14ac:dyDescent="0.25">
      <c r="A2752" s="2" t="s">
        <v>7182</v>
      </c>
      <c r="B2752" s="2" t="s">
        <v>2921</v>
      </c>
      <c r="C2752" s="2" t="str">
        <f t="shared" si="42"/>
        <v>TX0122360_001</v>
      </c>
      <c r="D2752" s="2" t="s">
        <v>4526</v>
      </c>
    </row>
    <row r="2753" spans="1:4" x14ac:dyDescent="0.25">
      <c r="A2753" s="2" t="s">
        <v>7183</v>
      </c>
      <c r="B2753" s="2" t="s">
        <v>2921</v>
      </c>
      <c r="C2753" s="2" t="str">
        <f t="shared" si="42"/>
        <v>TX0122386_001</v>
      </c>
      <c r="D2753" s="2" t="s">
        <v>4527</v>
      </c>
    </row>
    <row r="2754" spans="1:4" x14ac:dyDescent="0.25">
      <c r="A2754" s="2" t="s">
        <v>7184</v>
      </c>
      <c r="B2754" s="2" t="s">
        <v>2921</v>
      </c>
      <c r="C2754" s="2" t="str">
        <f t="shared" si="42"/>
        <v>TX0122459_001</v>
      </c>
      <c r="D2754" s="2" t="s">
        <v>3286</v>
      </c>
    </row>
    <row r="2755" spans="1:4" x14ac:dyDescent="0.25">
      <c r="A2755" s="2" t="s">
        <v>7185</v>
      </c>
      <c r="B2755" s="2" t="s">
        <v>2921</v>
      </c>
      <c r="C2755" s="2" t="str">
        <f t="shared" ref="C2755:C2818" si="43">A2755 &amp; "_" &amp; B2755</f>
        <v>TX0122483_001</v>
      </c>
      <c r="D2755" s="2" t="s">
        <v>4528</v>
      </c>
    </row>
    <row r="2756" spans="1:4" x14ac:dyDescent="0.25">
      <c r="A2756" s="2" t="s">
        <v>7186</v>
      </c>
      <c r="B2756" s="2" t="s">
        <v>2921</v>
      </c>
      <c r="C2756" s="2" t="str">
        <f t="shared" si="43"/>
        <v>TX0122513_001</v>
      </c>
      <c r="D2756" s="2" t="s">
        <v>3909</v>
      </c>
    </row>
    <row r="2757" spans="1:4" x14ac:dyDescent="0.25">
      <c r="A2757" s="2" t="s">
        <v>7187</v>
      </c>
      <c r="B2757" s="2" t="s">
        <v>2921</v>
      </c>
      <c r="C2757" s="2" t="str">
        <f t="shared" si="43"/>
        <v>TX0122521_001</v>
      </c>
      <c r="D2757" s="2" t="s">
        <v>4529</v>
      </c>
    </row>
    <row r="2758" spans="1:4" x14ac:dyDescent="0.25">
      <c r="A2758" s="2" t="s">
        <v>7188</v>
      </c>
      <c r="B2758" s="2" t="s">
        <v>2921</v>
      </c>
      <c r="C2758" s="2" t="str">
        <f t="shared" si="43"/>
        <v>TX0122530_001</v>
      </c>
      <c r="D2758" s="2" t="s">
        <v>3286</v>
      </c>
    </row>
    <row r="2759" spans="1:4" x14ac:dyDescent="0.25">
      <c r="A2759" s="2" t="s">
        <v>7189</v>
      </c>
      <c r="B2759" s="2" t="s">
        <v>2921</v>
      </c>
      <c r="C2759" s="2" t="str">
        <f t="shared" si="43"/>
        <v>TX0122556_001</v>
      </c>
      <c r="D2759" s="2" t="s">
        <v>4530</v>
      </c>
    </row>
    <row r="2760" spans="1:4" x14ac:dyDescent="0.25">
      <c r="A2760" s="2" t="s">
        <v>7190</v>
      </c>
      <c r="B2760" s="2" t="s">
        <v>2921</v>
      </c>
      <c r="C2760" s="2" t="str">
        <f t="shared" si="43"/>
        <v>TX0122564_001</v>
      </c>
      <c r="D2760" s="2" t="s">
        <v>4531</v>
      </c>
    </row>
    <row r="2761" spans="1:4" x14ac:dyDescent="0.25">
      <c r="A2761" s="2" t="s">
        <v>7191</v>
      </c>
      <c r="B2761" s="2" t="s">
        <v>2921</v>
      </c>
      <c r="C2761" s="2" t="str">
        <f t="shared" si="43"/>
        <v>TX0122572_001</v>
      </c>
      <c r="D2761" s="2" t="s">
        <v>4138</v>
      </c>
    </row>
    <row r="2762" spans="1:4" x14ac:dyDescent="0.25">
      <c r="A2762" s="2" t="s">
        <v>7192</v>
      </c>
      <c r="B2762" s="2" t="s">
        <v>2921</v>
      </c>
      <c r="C2762" s="2" t="str">
        <f t="shared" si="43"/>
        <v>TX0122661_001</v>
      </c>
      <c r="D2762" s="2" t="s">
        <v>3286</v>
      </c>
    </row>
    <row r="2763" spans="1:4" x14ac:dyDescent="0.25">
      <c r="A2763" s="2" t="s">
        <v>7193</v>
      </c>
      <c r="B2763" s="2" t="s">
        <v>2921</v>
      </c>
      <c r="C2763" s="2" t="str">
        <f t="shared" si="43"/>
        <v>TX0122823_001</v>
      </c>
      <c r="D2763" s="2" t="s">
        <v>4532</v>
      </c>
    </row>
    <row r="2764" spans="1:4" x14ac:dyDescent="0.25">
      <c r="A2764" s="2" t="s">
        <v>7194</v>
      </c>
      <c r="B2764" s="2" t="s">
        <v>2921</v>
      </c>
      <c r="C2764" s="2" t="str">
        <f t="shared" si="43"/>
        <v>TX0122840_001</v>
      </c>
      <c r="D2764" s="2" t="s">
        <v>4533</v>
      </c>
    </row>
    <row r="2765" spans="1:4" x14ac:dyDescent="0.25">
      <c r="A2765" s="2" t="s">
        <v>7195</v>
      </c>
      <c r="B2765" s="2" t="s">
        <v>2921</v>
      </c>
      <c r="C2765" s="2" t="str">
        <f t="shared" si="43"/>
        <v>TX0122963_001</v>
      </c>
      <c r="D2765" s="2" t="s">
        <v>4534</v>
      </c>
    </row>
    <row r="2766" spans="1:4" x14ac:dyDescent="0.25">
      <c r="A2766" s="2" t="s">
        <v>7196</v>
      </c>
      <c r="B2766" s="2" t="s">
        <v>2921</v>
      </c>
      <c r="C2766" s="2" t="str">
        <f t="shared" si="43"/>
        <v>TX0122980_001</v>
      </c>
      <c r="D2766" s="2" t="s">
        <v>4535</v>
      </c>
    </row>
    <row r="2767" spans="1:4" x14ac:dyDescent="0.25">
      <c r="A2767" s="2" t="s">
        <v>7197</v>
      </c>
      <c r="B2767" s="2" t="s">
        <v>2921</v>
      </c>
      <c r="C2767" s="2" t="str">
        <f t="shared" si="43"/>
        <v>TX0123013_001</v>
      </c>
      <c r="D2767" s="2" t="s">
        <v>3286</v>
      </c>
    </row>
    <row r="2768" spans="1:4" x14ac:dyDescent="0.25">
      <c r="A2768" s="2" t="s">
        <v>7198</v>
      </c>
      <c r="B2768" s="2" t="s">
        <v>2921</v>
      </c>
      <c r="C2768" s="2" t="str">
        <f t="shared" si="43"/>
        <v>TX0123056_001</v>
      </c>
      <c r="D2768" s="2" t="s">
        <v>4536</v>
      </c>
    </row>
    <row r="2769" spans="1:4" x14ac:dyDescent="0.25">
      <c r="A2769" s="2" t="s">
        <v>7199</v>
      </c>
      <c r="B2769" s="2" t="s">
        <v>2921</v>
      </c>
      <c r="C2769" s="2" t="str">
        <f t="shared" si="43"/>
        <v>TX0123137_001</v>
      </c>
      <c r="D2769" s="2" t="s">
        <v>4537</v>
      </c>
    </row>
    <row r="2770" spans="1:4" x14ac:dyDescent="0.25">
      <c r="A2770" s="2" t="s">
        <v>7200</v>
      </c>
      <c r="B2770" s="2" t="s">
        <v>2921</v>
      </c>
      <c r="C2770" s="2" t="str">
        <f t="shared" si="43"/>
        <v>TX0123145_001</v>
      </c>
      <c r="D2770" s="2" t="s">
        <v>4538</v>
      </c>
    </row>
    <row r="2771" spans="1:4" x14ac:dyDescent="0.25">
      <c r="A2771" s="2" t="s">
        <v>7200</v>
      </c>
      <c r="B2771" s="2" t="s">
        <v>2923</v>
      </c>
      <c r="C2771" s="2" t="str">
        <f t="shared" si="43"/>
        <v>TX0123145_002</v>
      </c>
      <c r="D2771" s="2" t="s">
        <v>4538</v>
      </c>
    </row>
    <row r="2772" spans="1:4" x14ac:dyDescent="0.25">
      <c r="A2772" s="2" t="s">
        <v>7200</v>
      </c>
      <c r="B2772" s="2" t="s">
        <v>2924</v>
      </c>
      <c r="C2772" s="2" t="str">
        <f t="shared" si="43"/>
        <v>TX0123145_003</v>
      </c>
      <c r="D2772" s="2" t="s">
        <v>4538</v>
      </c>
    </row>
    <row r="2773" spans="1:4" x14ac:dyDescent="0.25">
      <c r="A2773" s="2" t="s">
        <v>7201</v>
      </c>
      <c r="B2773" s="2" t="s">
        <v>2921</v>
      </c>
      <c r="C2773" s="2" t="str">
        <f t="shared" si="43"/>
        <v>TX0123200_001</v>
      </c>
      <c r="D2773" s="2" t="s">
        <v>4539</v>
      </c>
    </row>
    <row r="2774" spans="1:4" x14ac:dyDescent="0.25">
      <c r="A2774" s="2" t="s">
        <v>7202</v>
      </c>
      <c r="B2774" s="2" t="s">
        <v>2921</v>
      </c>
      <c r="C2774" s="2" t="str">
        <f t="shared" si="43"/>
        <v>TX0123293_001</v>
      </c>
      <c r="D2774" s="2" t="s">
        <v>3331</v>
      </c>
    </row>
    <row r="2775" spans="1:4" x14ac:dyDescent="0.25">
      <c r="A2775" s="2" t="s">
        <v>7203</v>
      </c>
      <c r="B2775" s="2" t="s">
        <v>2921</v>
      </c>
      <c r="C2775" s="2" t="str">
        <f t="shared" si="43"/>
        <v>TX0123307_001</v>
      </c>
      <c r="D2775" s="2" t="s">
        <v>4540</v>
      </c>
    </row>
    <row r="2776" spans="1:4" x14ac:dyDescent="0.25">
      <c r="A2776" s="2" t="s">
        <v>7204</v>
      </c>
      <c r="B2776" s="2" t="s">
        <v>2921</v>
      </c>
      <c r="C2776" s="2" t="str">
        <f t="shared" si="43"/>
        <v>TX0123315_001</v>
      </c>
      <c r="D2776" s="2" t="s">
        <v>4541</v>
      </c>
    </row>
    <row r="2777" spans="1:4" x14ac:dyDescent="0.25">
      <c r="A2777" s="2" t="s">
        <v>7205</v>
      </c>
      <c r="B2777" s="2" t="s">
        <v>2921</v>
      </c>
      <c r="C2777" s="2" t="str">
        <f t="shared" si="43"/>
        <v>TX0123358_001</v>
      </c>
      <c r="D2777" s="2" t="s">
        <v>3655</v>
      </c>
    </row>
    <row r="2778" spans="1:4" x14ac:dyDescent="0.25">
      <c r="A2778" s="2" t="s">
        <v>7206</v>
      </c>
      <c r="B2778" s="2" t="s">
        <v>2921</v>
      </c>
      <c r="C2778" s="2" t="str">
        <f t="shared" si="43"/>
        <v>TX0123374_001</v>
      </c>
      <c r="D2778" s="2" t="s">
        <v>4542</v>
      </c>
    </row>
    <row r="2779" spans="1:4" x14ac:dyDescent="0.25">
      <c r="A2779" s="2" t="s">
        <v>7207</v>
      </c>
      <c r="B2779" s="2" t="s">
        <v>2921</v>
      </c>
      <c r="C2779" s="2" t="str">
        <f t="shared" si="43"/>
        <v>TX0123421_001</v>
      </c>
      <c r="D2779" s="2" t="s">
        <v>4543</v>
      </c>
    </row>
    <row r="2780" spans="1:4" x14ac:dyDescent="0.25">
      <c r="A2780" s="2" t="s">
        <v>7208</v>
      </c>
      <c r="B2780" s="2" t="s">
        <v>2921</v>
      </c>
      <c r="C2780" s="2" t="str">
        <f t="shared" si="43"/>
        <v>TX0123498_001</v>
      </c>
      <c r="D2780" s="2" t="s">
        <v>4271</v>
      </c>
    </row>
    <row r="2781" spans="1:4" x14ac:dyDescent="0.25">
      <c r="A2781" s="2" t="s">
        <v>7209</v>
      </c>
      <c r="B2781" s="2" t="s">
        <v>2921</v>
      </c>
      <c r="C2781" s="2" t="str">
        <f t="shared" si="43"/>
        <v>TX0123510_001</v>
      </c>
      <c r="D2781" s="2" t="s">
        <v>4544</v>
      </c>
    </row>
    <row r="2782" spans="1:4" x14ac:dyDescent="0.25">
      <c r="A2782" s="2" t="s">
        <v>7210</v>
      </c>
      <c r="B2782" s="2" t="s">
        <v>2921</v>
      </c>
      <c r="C2782" s="2" t="str">
        <f t="shared" si="43"/>
        <v>TX0123528_001</v>
      </c>
      <c r="D2782" s="2" t="s">
        <v>4545</v>
      </c>
    </row>
    <row r="2783" spans="1:4" x14ac:dyDescent="0.25">
      <c r="A2783" s="2" t="s">
        <v>7211</v>
      </c>
      <c r="B2783" s="2" t="s">
        <v>2921</v>
      </c>
      <c r="C2783" s="2" t="str">
        <f t="shared" si="43"/>
        <v>TX0123552_001</v>
      </c>
      <c r="D2783" s="2" t="s">
        <v>4546</v>
      </c>
    </row>
    <row r="2784" spans="1:4" x14ac:dyDescent="0.25">
      <c r="A2784" s="2" t="s">
        <v>7212</v>
      </c>
      <c r="B2784" s="2" t="s">
        <v>2921</v>
      </c>
      <c r="C2784" s="2" t="str">
        <f t="shared" si="43"/>
        <v>TX0123561_001</v>
      </c>
      <c r="D2784" s="2" t="s">
        <v>3155</v>
      </c>
    </row>
    <row r="2785" spans="1:4" x14ac:dyDescent="0.25">
      <c r="A2785" s="2" t="s">
        <v>7213</v>
      </c>
      <c r="B2785" s="2" t="s">
        <v>2921</v>
      </c>
      <c r="C2785" s="2" t="str">
        <f t="shared" si="43"/>
        <v>TX0123579_001</v>
      </c>
      <c r="D2785" s="2" t="s">
        <v>4142</v>
      </c>
    </row>
    <row r="2786" spans="1:4" x14ac:dyDescent="0.25">
      <c r="A2786" s="2" t="s">
        <v>7214</v>
      </c>
      <c r="B2786" s="2" t="s">
        <v>2921</v>
      </c>
      <c r="C2786" s="2" t="str">
        <f t="shared" si="43"/>
        <v>TX0123587_001</v>
      </c>
      <c r="D2786" s="2" t="s">
        <v>4547</v>
      </c>
    </row>
    <row r="2787" spans="1:4" x14ac:dyDescent="0.25">
      <c r="A2787" s="2" t="s">
        <v>7215</v>
      </c>
      <c r="B2787" s="2" t="s">
        <v>2921</v>
      </c>
      <c r="C2787" s="2" t="str">
        <f t="shared" si="43"/>
        <v>TX0123595_001</v>
      </c>
      <c r="D2787" s="2" t="s">
        <v>4469</v>
      </c>
    </row>
    <row r="2788" spans="1:4" x14ac:dyDescent="0.25">
      <c r="A2788" s="2" t="s">
        <v>7216</v>
      </c>
      <c r="B2788" s="2" t="s">
        <v>2921</v>
      </c>
      <c r="C2788" s="2" t="str">
        <f t="shared" si="43"/>
        <v>TX0123633_001</v>
      </c>
      <c r="D2788" s="2" t="s">
        <v>4548</v>
      </c>
    </row>
    <row r="2789" spans="1:4" x14ac:dyDescent="0.25">
      <c r="A2789" s="2" t="s">
        <v>7217</v>
      </c>
      <c r="B2789" s="2" t="s">
        <v>2921</v>
      </c>
      <c r="C2789" s="2" t="str">
        <f t="shared" si="43"/>
        <v>TX0123676_001</v>
      </c>
      <c r="D2789" s="2" t="s">
        <v>4549</v>
      </c>
    </row>
    <row r="2790" spans="1:4" x14ac:dyDescent="0.25">
      <c r="A2790" s="2" t="s">
        <v>7218</v>
      </c>
      <c r="B2790" s="2" t="s">
        <v>2921</v>
      </c>
      <c r="C2790" s="2" t="str">
        <f t="shared" si="43"/>
        <v>TX0123714_001</v>
      </c>
      <c r="D2790" s="2" t="s">
        <v>4175</v>
      </c>
    </row>
    <row r="2791" spans="1:4" x14ac:dyDescent="0.25">
      <c r="A2791" s="2" t="s">
        <v>7219</v>
      </c>
      <c r="B2791" s="2" t="s">
        <v>2921</v>
      </c>
      <c r="C2791" s="2" t="str">
        <f t="shared" si="43"/>
        <v>TX0123722_001</v>
      </c>
      <c r="D2791" s="2" t="s">
        <v>4550</v>
      </c>
    </row>
    <row r="2792" spans="1:4" x14ac:dyDescent="0.25">
      <c r="A2792" s="2" t="s">
        <v>7220</v>
      </c>
      <c r="B2792" s="2" t="s">
        <v>2921</v>
      </c>
      <c r="C2792" s="2" t="str">
        <f t="shared" si="43"/>
        <v>TX0123749_001</v>
      </c>
      <c r="D2792" s="2" t="s">
        <v>4551</v>
      </c>
    </row>
    <row r="2793" spans="1:4" x14ac:dyDescent="0.25">
      <c r="A2793" s="2" t="s">
        <v>7221</v>
      </c>
      <c r="B2793" s="2" t="s">
        <v>2923</v>
      </c>
      <c r="C2793" s="2" t="str">
        <f t="shared" si="43"/>
        <v>TX0123781_002</v>
      </c>
      <c r="D2793" s="2" t="s">
        <v>3102</v>
      </c>
    </row>
    <row r="2794" spans="1:4" x14ac:dyDescent="0.25">
      <c r="A2794" s="2" t="s">
        <v>7221</v>
      </c>
      <c r="B2794" s="2" t="s">
        <v>2921</v>
      </c>
      <c r="C2794" s="2" t="str">
        <f t="shared" si="43"/>
        <v>TX0123781_001</v>
      </c>
      <c r="D2794" s="2" t="s">
        <v>3102</v>
      </c>
    </row>
    <row r="2795" spans="1:4" x14ac:dyDescent="0.25">
      <c r="A2795" s="2" t="s">
        <v>7222</v>
      </c>
      <c r="B2795" s="2" t="s">
        <v>2921</v>
      </c>
      <c r="C2795" s="2" t="str">
        <f t="shared" si="43"/>
        <v>TX0123820_001</v>
      </c>
      <c r="D2795" s="2" t="s">
        <v>4552</v>
      </c>
    </row>
    <row r="2796" spans="1:4" x14ac:dyDescent="0.25">
      <c r="A2796" s="2" t="s">
        <v>7223</v>
      </c>
      <c r="B2796" s="2" t="s">
        <v>2921</v>
      </c>
      <c r="C2796" s="2" t="str">
        <f t="shared" si="43"/>
        <v>TX0123854_001</v>
      </c>
      <c r="D2796" s="2" t="s">
        <v>4553</v>
      </c>
    </row>
    <row r="2797" spans="1:4" x14ac:dyDescent="0.25">
      <c r="A2797" s="2" t="s">
        <v>7224</v>
      </c>
      <c r="B2797" s="2" t="s">
        <v>2921</v>
      </c>
      <c r="C2797" s="2" t="str">
        <f t="shared" si="43"/>
        <v>TX0123862_001</v>
      </c>
      <c r="D2797" s="2" t="s">
        <v>4554</v>
      </c>
    </row>
    <row r="2798" spans="1:4" x14ac:dyDescent="0.25">
      <c r="A2798" s="2" t="s">
        <v>7225</v>
      </c>
      <c r="B2798" s="2" t="s">
        <v>2921</v>
      </c>
      <c r="C2798" s="2" t="str">
        <f t="shared" si="43"/>
        <v>TX0123871_001</v>
      </c>
      <c r="D2798" s="2" t="s">
        <v>4555</v>
      </c>
    </row>
    <row r="2799" spans="1:4" x14ac:dyDescent="0.25">
      <c r="A2799" s="2" t="s">
        <v>7226</v>
      </c>
      <c r="B2799" s="2" t="s">
        <v>2921</v>
      </c>
      <c r="C2799" s="2" t="str">
        <f t="shared" si="43"/>
        <v>TX0123901_001</v>
      </c>
      <c r="D2799" s="2" t="s">
        <v>3155</v>
      </c>
    </row>
    <row r="2800" spans="1:4" x14ac:dyDescent="0.25">
      <c r="A2800" s="2" t="s">
        <v>7227</v>
      </c>
      <c r="B2800" s="2" t="s">
        <v>2921</v>
      </c>
      <c r="C2800" s="2" t="str">
        <f t="shared" si="43"/>
        <v>TX0123935_001</v>
      </c>
      <c r="D2800" s="2" t="s">
        <v>4556</v>
      </c>
    </row>
    <row r="2801" spans="1:4" x14ac:dyDescent="0.25">
      <c r="A2801" s="2" t="s">
        <v>7228</v>
      </c>
      <c r="B2801" s="2" t="s">
        <v>2921</v>
      </c>
      <c r="C2801" s="2" t="str">
        <f t="shared" si="43"/>
        <v>TX0123978_001</v>
      </c>
      <c r="D2801" s="2" t="s">
        <v>4260</v>
      </c>
    </row>
    <row r="2802" spans="1:4" x14ac:dyDescent="0.25">
      <c r="A2802" s="2" t="s">
        <v>7229</v>
      </c>
      <c r="B2802" s="2" t="s">
        <v>2921</v>
      </c>
      <c r="C2802" s="2" t="str">
        <f t="shared" si="43"/>
        <v>TX0123994_001</v>
      </c>
      <c r="D2802" s="2" t="s">
        <v>4557</v>
      </c>
    </row>
    <row r="2803" spans="1:4" x14ac:dyDescent="0.25">
      <c r="A2803" s="2" t="s">
        <v>7230</v>
      </c>
      <c r="B2803" s="2" t="s">
        <v>2921</v>
      </c>
      <c r="C2803" s="2" t="str">
        <f t="shared" si="43"/>
        <v>TX0124001_001</v>
      </c>
      <c r="D2803" s="2" t="s">
        <v>4558</v>
      </c>
    </row>
    <row r="2804" spans="1:4" x14ac:dyDescent="0.25">
      <c r="A2804" s="2" t="s">
        <v>7231</v>
      </c>
      <c r="B2804" s="2" t="s">
        <v>2921</v>
      </c>
      <c r="C2804" s="2" t="str">
        <f t="shared" si="43"/>
        <v>TX0124079_001</v>
      </c>
      <c r="D2804" s="2" t="s">
        <v>3286</v>
      </c>
    </row>
    <row r="2805" spans="1:4" x14ac:dyDescent="0.25">
      <c r="A2805" s="2" t="s">
        <v>7232</v>
      </c>
      <c r="B2805" s="2" t="s">
        <v>2921</v>
      </c>
      <c r="C2805" s="2" t="str">
        <f t="shared" si="43"/>
        <v>TX0124087_001</v>
      </c>
      <c r="D2805" s="2" t="s">
        <v>4559</v>
      </c>
    </row>
    <row r="2806" spans="1:4" x14ac:dyDescent="0.25">
      <c r="A2806" s="2" t="s">
        <v>7233</v>
      </c>
      <c r="B2806" s="2" t="s">
        <v>2921</v>
      </c>
      <c r="C2806" s="2" t="str">
        <f t="shared" si="43"/>
        <v>TX0124125_001</v>
      </c>
      <c r="D2806" s="2" t="s">
        <v>3446</v>
      </c>
    </row>
    <row r="2807" spans="1:4" x14ac:dyDescent="0.25">
      <c r="A2807" s="2" t="s">
        <v>7234</v>
      </c>
      <c r="B2807" s="2" t="s">
        <v>2921</v>
      </c>
      <c r="C2807" s="2" t="str">
        <f t="shared" si="43"/>
        <v>TX0124141_001</v>
      </c>
      <c r="D2807" s="2" t="s">
        <v>4560</v>
      </c>
    </row>
    <row r="2808" spans="1:4" x14ac:dyDescent="0.25">
      <c r="A2808" s="2" t="s">
        <v>7235</v>
      </c>
      <c r="B2808" s="2" t="s">
        <v>2921</v>
      </c>
      <c r="C2808" s="2" t="str">
        <f t="shared" si="43"/>
        <v>TX0124150_001</v>
      </c>
      <c r="D2808" s="2" t="s">
        <v>4561</v>
      </c>
    </row>
    <row r="2809" spans="1:4" x14ac:dyDescent="0.25">
      <c r="A2809" s="2" t="s">
        <v>7236</v>
      </c>
      <c r="B2809" s="2" t="s">
        <v>2921</v>
      </c>
      <c r="C2809" s="2" t="str">
        <f t="shared" si="43"/>
        <v>TX0124168_001</v>
      </c>
      <c r="D2809" s="2" t="s">
        <v>4562</v>
      </c>
    </row>
    <row r="2810" spans="1:4" x14ac:dyDescent="0.25">
      <c r="A2810" s="2" t="s">
        <v>7237</v>
      </c>
      <c r="B2810" s="2" t="s">
        <v>2921</v>
      </c>
      <c r="C2810" s="2" t="str">
        <f t="shared" si="43"/>
        <v>TX0124249_001</v>
      </c>
      <c r="D2810" s="2" t="s">
        <v>2995</v>
      </c>
    </row>
    <row r="2811" spans="1:4" x14ac:dyDescent="0.25">
      <c r="A2811" s="2" t="s">
        <v>7237</v>
      </c>
      <c r="B2811" s="2" t="s">
        <v>2923</v>
      </c>
      <c r="C2811" s="2" t="str">
        <f t="shared" si="43"/>
        <v>TX0124249_002</v>
      </c>
      <c r="D2811" s="2" t="s">
        <v>2995</v>
      </c>
    </row>
    <row r="2812" spans="1:4" x14ac:dyDescent="0.25">
      <c r="A2812" s="2" t="s">
        <v>7238</v>
      </c>
      <c r="B2812" s="2" t="s">
        <v>2921</v>
      </c>
      <c r="C2812" s="2" t="str">
        <f t="shared" si="43"/>
        <v>TX0124257_001</v>
      </c>
      <c r="D2812" s="2" t="s">
        <v>4563</v>
      </c>
    </row>
    <row r="2813" spans="1:4" x14ac:dyDescent="0.25">
      <c r="A2813" s="2" t="s">
        <v>7239</v>
      </c>
      <c r="B2813" s="2" t="s">
        <v>2921</v>
      </c>
      <c r="C2813" s="2" t="str">
        <f t="shared" si="43"/>
        <v>TX0124265_001</v>
      </c>
      <c r="D2813" s="2" t="s">
        <v>4564</v>
      </c>
    </row>
    <row r="2814" spans="1:4" x14ac:dyDescent="0.25">
      <c r="A2814" s="2" t="s">
        <v>7240</v>
      </c>
      <c r="B2814" s="2" t="s">
        <v>2921</v>
      </c>
      <c r="C2814" s="2" t="str">
        <f t="shared" si="43"/>
        <v>TX0124281_001</v>
      </c>
      <c r="D2814" s="2" t="s">
        <v>4565</v>
      </c>
    </row>
    <row r="2815" spans="1:4" x14ac:dyDescent="0.25">
      <c r="A2815" s="2" t="s">
        <v>7241</v>
      </c>
      <c r="B2815" s="2" t="s">
        <v>2921</v>
      </c>
      <c r="C2815" s="2" t="str">
        <f t="shared" si="43"/>
        <v>TX0124303_001</v>
      </c>
      <c r="D2815" s="2" t="s">
        <v>4566</v>
      </c>
    </row>
    <row r="2816" spans="1:4" x14ac:dyDescent="0.25">
      <c r="A2816" s="2" t="s">
        <v>7242</v>
      </c>
      <c r="B2816" s="2" t="s">
        <v>2921</v>
      </c>
      <c r="C2816" s="2" t="str">
        <f t="shared" si="43"/>
        <v>TX0124311_001</v>
      </c>
      <c r="D2816" s="2" t="s">
        <v>2930</v>
      </c>
    </row>
    <row r="2817" spans="1:4" x14ac:dyDescent="0.25">
      <c r="A2817" s="2" t="s">
        <v>7242</v>
      </c>
      <c r="B2817" s="2" t="s">
        <v>2923</v>
      </c>
      <c r="C2817" s="2" t="str">
        <f t="shared" si="43"/>
        <v>TX0124311_002</v>
      </c>
      <c r="D2817" s="2" t="s">
        <v>2930</v>
      </c>
    </row>
    <row r="2818" spans="1:4" x14ac:dyDescent="0.25">
      <c r="A2818" s="2" t="s">
        <v>7242</v>
      </c>
      <c r="B2818" s="2" t="s">
        <v>2936</v>
      </c>
      <c r="C2818" s="2" t="str">
        <f t="shared" si="43"/>
        <v>TX0124311_004</v>
      </c>
      <c r="D2818" s="2" t="s">
        <v>2930</v>
      </c>
    </row>
    <row r="2819" spans="1:4" x14ac:dyDescent="0.25">
      <c r="A2819" s="2" t="s">
        <v>7242</v>
      </c>
      <c r="B2819" s="2" t="s">
        <v>2934</v>
      </c>
      <c r="C2819" s="2" t="str">
        <f t="shared" ref="C2819:C2882" si="44">A2819 &amp; "_" &amp; B2819</f>
        <v>TX0124311_005</v>
      </c>
      <c r="D2819" s="2" t="s">
        <v>2930</v>
      </c>
    </row>
    <row r="2820" spans="1:4" x14ac:dyDescent="0.25">
      <c r="A2820" s="2" t="s">
        <v>7242</v>
      </c>
      <c r="B2820" s="2" t="s">
        <v>2940</v>
      </c>
      <c r="C2820" s="2" t="str">
        <f t="shared" si="44"/>
        <v>TX0124311_006</v>
      </c>
      <c r="D2820" s="2" t="s">
        <v>2930</v>
      </c>
    </row>
    <row r="2821" spans="1:4" x14ac:dyDescent="0.25">
      <c r="A2821" s="2" t="s">
        <v>7243</v>
      </c>
      <c r="B2821" s="2" t="s">
        <v>2921</v>
      </c>
      <c r="C2821" s="2" t="str">
        <f t="shared" si="44"/>
        <v>TX0124362_001</v>
      </c>
      <c r="D2821" s="2" t="s">
        <v>3509</v>
      </c>
    </row>
    <row r="2822" spans="1:4" x14ac:dyDescent="0.25">
      <c r="A2822" s="2" t="s">
        <v>7244</v>
      </c>
      <c r="B2822" s="2" t="s">
        <v>2921</v>
      </c>
      <c r="C2822" s="2" t="str">
        <f t="shared" si="44"/>
        <v>TX0124371_001</v>
      </c>
      <c r="D2822" s="2" t="s">
        <v>4567</v>
      </c>
    </row>
    <row r="2823" spans="1:4" x14ac:dyDescent="0.25">
      <c r="A2823" s="2" t="s">
        <v>7245</v>
      </c>
      <c r="B2823" s="2" t="s">
        <v>2921</v>
      </c>
      <c r="C2823" s="2" t="str">
        <f t="shared" si="44"/>
        <v>TX0124389_001</v>
      </c>
      <c r="D2823" s="2" t="s">
        <v>3846</v>
      </c>
    </row>
    <row r="2824" spans="1:4" x14ac:dyDescent="0.25">
      <c r="A2824" s="2" t="s">
        <v>7246</v>
      </c>
      <c r="B2824" s="2" t="s">
        <v>2921</v>
      </c>
      <c r="C2824" s="2" t="str">
        <f t="shared" si="44"/>
        <v>TX0124401_001</v>
      </c>
      <c r="D2824" s="2" t="s">
        <v>4450</v>
      </c>
    </row>
    <row r="2825" spans="1:4" x14ac:dyDescent="0.25">
      <c r="A2825" s="2" t="s">
        <v>7247</v>
      </c>
      <c r="B2825" s="2" t="s">
        <v>2921</v>
      </c>
      <c r="C2825" s="2" t="str">
        <f t="shared" si="44"/>
        <v>TX0124419_001</v>
      </c>
      <c r="D2825" s="2" t="s">
        <v>4568</v>
      </c>
    </row>
    <row r="2826" spans="1:4" x14ac:dyDescent="0.25">
      <c r="A2826" s="2" t="s">
        <v>7247</v>
      </c>
      <c r="B2826" s="2" t="s">
        <v>2923</v>
      </c>
      <c r="C2826" s="2" t="str">
        <f t="shared" si="44"/>
        <v>TX0124419_002</v>
      </c>
      <c r="D2826" s="2" t="s">
        <v>4568</v>
      </c>
    </row>
    <row r="2827" spans="1:4" x14ac:dyDescent="0.25">
      <c r="A2827" s="2" t="s">
        <v>7248</v>
      </c>
      <c r="B2827" s="2" t="s">
        <v>2921</v>
      </c>
      <c r="C2827" s="2" t="str">
        <f t="shared" si="44"/>
        <v>TX0124427_001</v>
      </c>
      <c r="D2827" s="2" t="s">
        <v>4569</v>
      </c>
    </row>
    <row r="2828" spans="1:4" x14ac:dyDescent="0.25">
      <c r="A2828" s="2" t="s">
        <v>7249</v>
      </c>
      <c r="B2828" s="2" t="s">
        <v>2921</v>
      </c>
      <c r="C2828" s="2" t="str">
        <f t="shared" si="44"/>
        <v>TX0124451_001</v>
      </c>
      <c r="D2828" s="2" t="s">
        <v>4570</v>
      </c>
    </row>
    <row r="2829" spans="1:4" x14ac:dyDescent="0.25">
      <c r="A2829" s="2" t="s">
        <v>7250</v>
      </c>
      <c r="B2829" s="2" t="s">
        <v>2921</v>
      </c>
      <c r="C2829" s="2" t="str">
        <f t="shared" si="44"/>
        <v>TX0124478_001</v>
      </c>
      <c r="D2829" s="2" t="s">
        <v>3846</v>
      </c>
    </row>
    <row r="2830" spans="1:4" x14ac:dyDescent="0.25">
      <c r="A2830" s="2" t="s">
        <v>7251</v>
      </c>
      <c r="B2830" s="2" t="s">
        <v>2921</v>
      </c>
      <c r="C2830" s="2" t="str">
        <f t="shared" si="44"/>
        <v>TX0124486_001</v>
      </c>
      <c r="D2830" s="2" t="s">
        <v>4571</v>
      </c>
    </row>
    <row r="2831" spans="1:4" x14ac:dyDescent="0.25">
      <c r="A2831" s="2" t="s">
        <v>7252</v>
      </c>
      <c r="B2831" s="2" t="s">
        <v>2921</v>
      </c>
      <c r="C2831" s="2" t="str">
        <f t="shared" si="44"/>
        <v>TX0124494_001</v>
      </c>
      <c r="D2831" s="2" t="s">
        <v>4572</v>
      </c>
    </row>
    <row r="2832" spans="1:4" x14ac:dyDescent="0.25">
      <c r="A2832" s="2" t="s">
        <v>7253</v>
      </c>
      <c r="B2832" s="2" t="s">
        <v>2921</v>
      </c>
      <c r="C2832" s="2" t="str">
        <f t="shared" si="44"/>
        <v>TX0124516_001</v>
      </c>
      <c r="D2832" s="2" t="s">
        <v>4573</v>
      </c>
    </row>
    <row r="2833" spans="1:4" x14ac:dyDescent="0.25">
      <c r="A2833" s="2" t="s">
        <v>7253</v>
      </c>
      <c r="B2833" s="2" t="s">
        <v>2923</v>
      </c>
      <c r="C2833" s="2" t="str">
        <f t="shared" si="44"/>
        <v>TX0124516_002</v>
      </c>
      <c r="D2833" s="2" t="s">
        <v>4573</v>
      </c>
    </row>
    <row r="2834" spans="1:4" x14ac:dyDescent="0.25">
      <c r="A2834" s="2" t="s">
        <v>7254</v>
      </c>
      <c r="B2834" s="2" t="s">
        <v>2921</v>
      </c>
      <c r="C2834" s="2" t="str">
        <f t="shared" si="44"/>
        <v>TX0124541_001</v>
      </c>
      <c r="D2834" s="2" t="s">
        <v>4254</v>
      </c>
    </row>
    <row r="2835" spans="1:4" x14ac:dyDescent="0.25">
      <c r="A2835" s="2" t="s">
        <v>7255</v>
      </c>
      <c r="B2835" s="2" t="s">
        <v>2948</v>
      </c>
      <c r="C2835" s="2" t="str">
        <f t="shared" si="44"/>
        <v>TX0124575_011</v>
      </c>
      <c r="D2835" s="2" t="s">
        <v>4574</v>
      </c>
    </row>
    <row r="2836" spans="1:4" x14ac:dyDescent="0.25">
      <c r="A2836" s="2" t="s">
        <v>7255</v>
      </c>
      <c r="B2836" s="2" t="s">
        <v>2949</v>
      </c>
      <c r="C2836" s="2" t="str">
        <f t="shared" si="44"/>
        <v>TX0124575_012</v>
      </c>
      <c r="D2836" s="2" t="s">
        <v>4574</v>
      </c>
    </row>
    <row r="2837" spans="1:4" x14ac:dyDescent="0.25">
      <c r="A2837" s="2" t="s">
        <v>7255</v>
      </c>
      <c r="B2837" s="2" t="s">
        <v>2942</v>
      </c>
      <c r="C2837" s="2" t="str">
        <f t="shared" si="44"/>
        <v>TX0124575_013</v>
      </c>
      <c r="D2837" s="2" t="s">
        <v>4574</v>
      </c>
    </row>
    <row r="2838" spans="1:4" x14ac:dyDescent="0.25">
      <c r="A2838" s="2" t="s">
        <v>7255</v>
      </c>
      <c r="B2838" s="2" t="s">
        <v>2921</v>
      </c>
      <c r="C2838" s="2" t="str">
        <f t="shared" si="44"/>
        <v>TX0124575_001</v>
      </c>
      <c r="D2838" s="2" t="s">
        <v>4574</v>
      </c>
    </row>
    <row r="2839" spans="1:4" x14ac:dyDescent="0.25">
      <c r="A2839" s="2" t="s">
        <v>7255</v>
      </c>
      <c r="B2839" s="2" t="s">
        <v>2924</v>
      </c>
      <c r="C2839" s="2" t="str">
        <f t="shared" si="44"/>
        <v>TX0124575_003</v>
      </c>
      <c r="D2839" s="2" t="s">
        <v>4574</v>
      </c>
    </row>
    <row r="2840" spans="1:4" x14ac:dyDescent="0.25">
      <c r="A2840" s="2" t="s">
        <v>7255</v>
      </c>
      <c r="B2840" s="2" t="s">
        <v>2936</v>
      </c>
      <c r="C2840" s="2" t="str">
        <f t="shared" si="44"/>
        <v>TX0124575_004</v>
      </c>
      <c r="D2840" s="2" t="s">
        <v>4574</v>
      </c>
    </row>
    <row r="2841" spans="1:4" x14ac:dyDescent="0.25">
      <c r="A2841" s="2" t="s">
        <v>7255</v>
      </c>
      <c r="B2841" s="2" t="s">
        <v>2934</v>
      </c>
      <c r="C2841" s="2" t="str">
        <f t="shared" si="44"/>
        <v>TX0124575_005</v>
      </c>
      <c r="D2841" s="2" t="s">
        <v>4574</v>
      </c>
    </row>
    <row r="2842" spans="1:4" x14ac:dyDescent="0.25">
      <c r="A2842" s="2" t="s">
        <v>7255</v>
      </c>
      <c r="B2842" s="2" t="s">
        <v>2940</v>
      </c>
      <c r="C2842" s="2" t="str">
        <f t="shared" si="44"/>
        <v>TX0124575_006</v>
      </c>
      <c r="D2842" s="2" t="s">
        <v>4574</v>
      </c>
    </row>
    <row r="2843" spans="1:4" x14ac:dyDescent="0.25">
      <c r="A2843" s="2" t="s">
        <v>7255</v>
      </c>
      <c r="B2843" s="2" t="s">
        <v>2959</v>
      </c>
      <c r="C2843" s="2" t="str">
        <f t="shared" si="44"/>
        <v>TX0124575_007</v>
      </c>
      <c r="D2843" s="2" t="s">
        <v>4574</v>
      </c>
    </row>
    <row r="2844" spans="1:4" x14ac:dyDescent="0.25">
      <c r="A2844" s="2" t="s">
        <v>7255</v>
      </c>
      <c r="B2844" s="2" t="s">
        <v>2946</v>
      </c>
      <c r="C2844" s="2" t="str">
        <f t="shared" si="44"/>
        <v>TX0124575_008</v>
      </c>
      <c r="D2844" s="2" t="s">
        <v>4574</v>
      </c>
    </row>
    <row r="2845" spans="1:4" x14ac:dyDescent="0.25">
      <c r="A2845" s="2" t="s">
        <v>7255</v>
      </c>
      <c r="B2845" s="2" t="s">
        <v>2969</v>
      </c>
      <c r="C2845" s="2" t="str">
        <f t="shared" si="44"/>
        <v>TX0124575_009</v>
      </c>
      <c r="D2845" s="2" t="s">
        <v>4574</v>
      </c>
    </row>
    <row r="2846" spans="1:4" x14ac:dyDescent="0.25">
      <c r="A2846" s="2" t="s">
        <v>7256</v>
      </c>
      <c r="B2846" s="2" t="s">
        <v>2921</v>
      </c>
      <c r="C2846" s="2" t="str">
        <f t="shared" si="44"/>
        <v>TX0124583_001</v>
      </c>
      <c r="D2846" s="2" t="s">
        <v>4575</v>
      </c>
    </row>
    <row r="2847" spans="1:4" x14ac:dyDescent="0.25">
      <c r="A2847" s="2" t="s">
        <v>7257</v>
      </c>
      <c r="B2847" s="2" t="s">
        <v>2921</v>
      </c>
      <c r="C2847" s="2" t="str">
        <f t="shared" si="44"/>
        <v>TX0124605_001</v>
      </c>
      <c r="D2847" s="2" t="s">
        <v>4201</v>
      </c>
    </row>
    <row r="2848" spans="1:4" x14ac:dyDescent="0.25">
      <c r="A2848" s="2" t="s">
        <v>7258</v>
      </c>
      <c r="B2848" s="2" t="s">
        <v>2921</v>
      </c>
      <c r="C2848" s="2" t="str">
        <f t="shared" si="44"/>
        <v>TX0124664_001</v>
      </c>
      <c r="D2848" s="2" t="s">
        <v>4576</v>
      </c>
    </row>
    <row r="2849" spans="1:4" x14ac:dyDescent="0.25">
      <c r="A2849" s="2" t="s">
        <v>7259</v>
      </c>
      <c r="B2849" s="2" t="s">
        <v>2921</v>
      </c>
      <c r="C2849" s="2" t="str">
        <f t="shared" si="44"/>
        <v>TX0124681_001</v>
      </c>
      <c r="D2849" s="2" t="s">
        <v>4577</v>
      </c>
    </row>
    <row r="2850" spans="1:4" x14ac:dyDescent="0.25">
      <c r="A2850" s="2" t="s">
        <v>7260</v>
      </c>
      <c r="B2850" s="2" t="s">
        <v>2921</v>
      </c>
      <c r="C2850" s="2" t="str">
        <f t="shared" si="44"/>
        <v>TX0124699_001</v>
      </c>
      <c r="D2850" s="2" t="s">
        <v>4578</v>
      </c>
    </row>
    <row r="2851" spans="1:4" x14ac:dyDescent="0.25">
      <c r="A2851" s="2" t="s">
        <v>7261</v>
      </c>
      <c r="B2851" s="2" t="s">
        <v>2921</v>
      </c>
      <c r="C2851" s="2" t="str">
        <f t="shared" si="44"/>
        <v>TX0124702_001</v>
      </c>
      <c r="D2851" s="2" t="s">
        <v>4579</v>
      </c>
    </row>
    <row r="2852" spans="1:4" x14ac:dyDescent="0.25">
      <c r="A2852" s="2" t="s">
        <v>7262</v>
      </c>
      <c r="B2852" s="2" t="s">
        <v>2921</v>
      </c>
      <c r="C2852" s="2" t="str">
        <f t="shared" si="44"/>
        <v>TX0124737_001</v>
      </c>
      <c r="D2852" s="2" t="s">
        <v>4580</v>
      </c>
    </row>
    <row r="2853" spans="1:4" x14ac:dyDescent="0.25">
      <c r="A2853" s="2" t="s">
        <v>7263</v>
      </c>
      <c r="B2853" s="2" t="s">
        <v>2921</v>
      </c>
      <c r="C2853" s="2" t="str">
        <f t="shared" si="44"/>
        <v>TX0124745_001</v>
      </c>
      <c r="D2853" s="2" t="s">
        <v>3102</v>
      </c>
    </row>
    <row r="2854" spans="1:4" x14ac:dyDescent="0.25">
      <c r="A2854" s="2" t="s">
        <v>7264</v>
      </c>
      <c r="B2854" s="2" t="s">
        <v>2921</v>
      </c>
      <c r="C2854" s="2" t="str">
        <f t="shared" si="44"/>
        <v>TX0124761_001</v>
      </c>
      <c r="D2854" s="2" t="s">
        <v>4581</v>
      </c>
    </row>
    <row r="2855" spans="1:4" x14ac:dyDescent="0.25">
      <c r="A2855" s="2" t="s">
        <v>7265</v>
      </c>
      <c r="B2855" s="2" t="s">
        <v>2921</v>
      </c>
      <c r="C2855" s="2" t="str">
        <f t="shared" si="44"/>
        <v>TX0124770_001</v>
      </c>
      <c r="D2855" s="2" t="s">
        <v>4582</v>
      </c>
    </row>
    <row r="2856" spans="1:4" x14ac:dyDescent="0.25">
      <c r="A2856" s="2" t="s">
        <v>7266</v>
      </c>
      <c r="B2856" s="2" t="s">
        <v>2921</v>
      </c>
      <c r="C2856" s="2" t="str">
        <f t="shared" si="44"/>
        <v>TX0124796_001</v>
      </c>
      <c r="D2856" s="2" t="s">
        <v>3270</v>
      </c>
    </row>
    <row r="2857" spans="1:4" x14ac:dyDescent="0.25">
      <c r="A2857" s="2" t="s">
        <v>7267</v>
      </c>
      <c r="B2857" s="2" t="s">
        <v>2921</v>
      </c>
      <c r="C2857" s="2" t="str">
        <f t="shared" si="44"/>
        <v>TX0124800_001</v>
      </c>
      <c r="D2857" s="2" t="s">
        <v>3509</v>
      </c>
    </row>
    <row r="2858" spans="1:4" x14ac:dyDescent="0.25">
      <c r="A2858" s="2" t="s">
        <v>7268</v>
      </c>
      <c r="B2858" s="2" t="s">
        <v>2921</v>
      </c>
      <c r="C2858" s="2" t="str">
        <f t="shared" si="44"/>
        <v>TX0124842_001</v>
      </c>
      <c r="D2858" s="2" t="s">
        <v>4583</v>
      </c>
    </row>
    <row r="2859" spans="1:4" x14ac:dyDescent="0.25">
      <c r="A2859" s="2" t="s">
        <v>7269</v>
      </c>
      <c r="B2859" s="2" t="s">
        <v>2921</v>
      </c>
      <c r="C2859" s="2" t="str">
        <f t="shared" si="44"/>
        <v>TX0124851_001</v>
      </c>
      <c r="D2859" s="2" t="s">
        <v>4584</v>
      </c>
    </row>
    <row r="2860" spans="1:4" x14ac:dyDescent="0.25">
      <c r="A2860" s="2" t="s">
        <v>7270</v>
      </c>
      <c r="B2860" s="2" t="s">
        <v>2921</v>
      </c>
      <c r="C2860" s="2" t="str">
        <f t="shared" si="44"/>
        <v>TX0124877_001</v>
      </c>
      <c r="D2860" s="2" t="s">
        <v>4585</v>
      </c>
    </row>
    <row r="2861" spans="1:4" x14ac:dyDescent="0.25">
      <c r="A2861" s="2" t="s">
        <v>7271</v>
      </c>
      <c r="B2861" s="2" t="s">
        <v>2921</v>
      </c>
      <c r="C2861" s="2" t="str">
        <f t="shared" si="44"/>
        <v>TX0124893_001</v>
      </c>
      <c r="D2861" s="2" t="s">
        <v>3529</v>
      </c>
    </row>
    <row r="2862" spans="1:4" x14ac:dyDescent="0.25">
      <c r="A2862" s="2" t="s">
        <v>7272</v>
      </c>
      <c r="B2862" s="2" t="s">
        <v>2921</v>
      </c>
      <c r="C2862" s="2" t="str">
        <f t="shared" si="44"/>
        <v>TX0124907_001</v>
      </c>
      <c r="D2862" s="2" t="s">
        <v>4586</v>
      </c>
    </row>
    <row r="2863" spans="1:4" x14ac:dyDescent="0.25">
      <c r="A2863" s="2" t="s">
        <v>7273</v>
      </c>
      <c r="B2863" s="2" t="s">
        <v>2921</v>
      </c>
      <c r="C2863" s="2" t="str">
        <f t="shared" si="44"/>
        <v>TX0124915_001</v>
      </c>
      <c r="D2863" s="2" t="s">
        <v>2972</v>
      </c>
    </row>
    <row r="2864" spans="1:4" x14ac:dyDescent="0.25">
      <c r="A2864" s="2" t="s">
        <v>7273</v>
      </c>
      <c r="B2864" s="2" t="s">
        <v>2923</v>
      </c>
      <c r="C2864" s="2" t="str">
        <f t="shared" si="44"/>
        <v>TX0124915_002</v>
      </c>
      <c r="D2864" s="2" t="s">
        <v>2972</v>
      </c>
    </row>
    <row r="2865" spans="1:4" x14ac:dyDescent="0.25">
      <c r="A2865" s="2" t="s">
        <v>7274</v>
      </c>
      <c r="B2865" s="2" t="s">
        <v>2921</v>
      </c>
      <c r="C2865" s="2" t="str">
        <f t="shared" si="44"/>
        <v>TX0124923_001</v>
      </c>
      <c r="D2865" s="2" t="s">
        <v>4587</v>
      </c>
    </row>
    <row r="2866" spans="1:4" x14ac:dyDescent="0.25">
      <c r="A2866" s="2" t="s">
        <v>7275</v>
      </c>
      <c r="B2866" s="2" t="s">
        <v>2921</v>
      </c>
      <c r="C2866" s="2" t="str">
        <f t="shared" si="44"/>
        <v>TX0124958_001</v>
      </c>
      <c r="D2866" s="2" t="s">
        <v>4508</v>
      </c>
    </row>
    <row r="2867" spans="1:4" x14ac:dyDescent="0.25">
      <c r="A2867" s="2" t="s">
        <v>7276</v>
      </c>
      <c r="B2867" s="2" t="s">
        <v>2921</v>
      </c>
      <c r="C2867" s="2" t="str">
        <f t="shared" si="44"/>
        <v>TX0124966_001</v>
      </c>
      <c r="D2867" s="2" t="s">
        <v>3785</v>
      </c>
    </row>
    <row r="2868" spans="1:4" x14ac:dyDescent="0.25">
      <c r="A2868" s="2" t="s">
        <v>7277</v>
      </c>
      <c r="B2868" s="2" t="s">
        <v>2921</v>
      </c>
      <c r="C2868" s="2" t="str">
        <f t="shared" si="44"/>
        <v>TX0124974_001</v>
      </c>
      <c r="D2868" s="2" t="s">
        <v>4588</v>
      </c>
    </row>
    <row r="2869" spans="1:4" x14ac:dyDescent="0.25">
      <c r="A2869" s="2" t="s">
        <v>7278</v>
      </c>
      <c r="B2869" s="2" t="s">
        <v>2921</v>
      </c>
      <c r="C2869" s="2" t="str">
        <f t="shared" si="44"/>
        <v>TX0125083_001</v>
      </c>
      <c r="D2869" s="2" t="s">
        <v>3538</v>
      </c>
    </row>
    <row r="2870" spans="1:4" x14ac:dyDescent="0.25">
      <c r="A2870" s="2" t="s">
        <v>7279</v>
      </c>
      <c r="B2870" s="2" t="s">
        <v>2921</v>
      </c>
      <c r="C2870" s="2" t="str">
        <f t="shared" si="44"/>
        <v>TX0125091_001</v>
      </c>
      <c r="D2870" s="2" t="s">
        <v>4589</v>
      </c>
    </row>
    <row r="2871" spans="1:4" x14ac:dyDescent="0.25">
      <c r="A2871" s="2" t="s">
        <v>7280</v>
      </c>
      <c r="B2871" s="2" t="s">
        <v>2921</v>
      </c>
      <c r="C2871" s="2" t="str">
        <f t="shared" si="44"/>
        <v>TX0125113_001</v>
      </c>
      <c r="D2871" s="2" t="s">
        <v>3286</v>
      </c>
    </row>
    <row r="2872" spans="1:4" x14ac:dyDescent="0.25">
      <c r="A2872" s="2" t="s">
        <v>7281</v>
      </c>
      <c r="B2872" s="2" t="s">
        <v>2921</v>
      </c>
      <c r="C2872" s="2" t="str">
        <f t="shared" si="44"/>
        <v>TX0125121_001</v>
      </c>
      <c r="D2872" s="2" t="s">
        <v>4590</v>
      </c>
    </row>
    <row r="2873" spans="1:4" x14ac:dyDescent="0.25">
      <c r="A2873" s="2" t="s">
        <v>7282</v>
      </c>
      <c r="B2873" s="2" t="s">
        <v>2921</v>
      </c>
      <c r="C2873" s="2" t="str">
        <f t="shared" si="44"/>
        <v>TX0125156_001</v>
      </c>
      <c r="D2873" s="2" t="s">
        <v>4362</v>
      </c>
    </row>
    <row r="2874" spans="1:4" x14ac:dyDescent="0.25">
      <c r="A2874" s="2" t="s">
        <v>7283</v>
      </c>
      <c r="B2874" s="2" t="s">
        <v>2921</v>
      </c>
      <c r="C2874" s="2" t="str">
        <f t="shared" si="44"/>
        <v>TX0125164_001</v>
      </c>
      <c r="D2874" s="2" t="s">
        <v>4591</v>
      </c>
    </row>
    <row r="2875" spans="1:4" x14ac:dyDescent="0.25">
      <c r="A2875" s="2" t="s">
        <v>7284</v>
      </c>
      <c r="B2875" s="2" t="s">
        <v>2921</v>
      </c>
      <c r="C2875" s="2" t="str">
        <f t="shared" si="44"/>
        <v>TX0125172_001</v>
      </c>
      <c r="D2875" s="2" t="s">
        <v>3102</v>
      </c>
    </row>
    <row r="2876" spans="1:4" x14ac:dyDescent="0.25">
      <c r="A2876" s="2" t="s">
        <v>7285</v>
      </c>
      <c r="B2876" s="2" t="s">
        <v>2921</v>
      </c>
      <c r="C2876" s="2" t="str">
        <f t="shared" si="44"/>
        <v>TX0125199_001</v>
      </c>
      <c r="D2876" s="2" t="s">
        <v>4592</v>
      </c>
    </row>
    <row r="2877" spans="1:4" x14ac:dyDescent="0.25">
      <c r="A2877" s="2" t="s">
        <v>7286</v>
      </c>
      <c r="B2877" s="2" t="s">
        <v>2921</v>
      </c>
      <c r="C2877" s="2" t="str">
        <f t="shared" si="44"/>
        <v>TX0125237_001</v>
      </c>
      <c r="D2877" s="2" t="s">
        <v>3154</v>
      </c>
    </row>
    <row r="2878" spans="1:4" x14ac:dyDescent="0.25">
      <c r="A2878" s="2" t="s">
        <v>7287</v>
      </c>
      <c r="B2878" s="2" t="s">
        <v>2921</v>
      </c>
      <c r="C2878" s="2" t="str">
        <f t="shared" si="44"/>
        <v>TX0125270_001</v>
      </c>
      <c r="D2878" s="2" t="s">
        <v>4191</v>
      </c>
    </row>
    <row r="2879" spans="1:4" x14ac:dyDescent="0.25">
      <c r="A2879" s="2" t="s">
        <v>7288</v>
      </c>
      <c r="B2879" s="2" t="s">
        <v>2923</v>
      </c>
      <c r="C2879" s="2" t="str">
        <f t="shared" si="44"/>
        <v>TX0125288_002</v>
      </c>
      <c r="D2879" s="2" t="s">
        <v>4593</v>
      </c>
    </row>
    <row r="2880" spans="1:4" x14ac:dyDescent="0.25">
      <c r="A2880" s="2" t="s">
        <v>7288</v>
      </c>
      <c r="B2880" s="2" t="s">
        <v>2924</v>
      </c>
      <c r="C2880" s="2" t="str">
        <f t="shared" si="44"/>
        <v>TX0125288_003</v>
      </c>
      <c r="D2880" s="2" t="s">
        <v>4593</v>
      </c>
    </row>
    <row r="2881" spans="1:4" x14ac:dyDescent="0.25">
      <c r="A2881" s="2" t="s">
        <v>7288</v>
      </c>
      <c r="B2881" s="2" t="s">
        <v>2921</v>
      </c>
      <c r="C2881" s="2" t="str">
        <f t="shared" si="44"/>
        <v>TX0125288_001</v>
      </c>
      <c r="D2881" s="2" t="s">
        <v>4593</v>
      </c>
    </row>
    <row r="2882" spans="1:4" x14ac:dyDescent="0.25">
      <c r="A2882" s="2" t="s">
        <v>7289</v>
      </c>
      <c r="B2882" s="2" t="s">
        <v>2921</v>
      </c>
      <c r="C2882" s="2" t="str">
        <f t="shared" si="44"/>
        <v>TX0125300_001</v>
      </c>
      <c r="D2882" s="2" t="s">
        <v>4594</v>
      </c>
    </row>
    <row r="2883" spans="1:4" x14ac:dyDescent="0.25">
      <c r="A2883" s="2" t="s">
        <v>7290</v>
      </c>
      <c r="B2883" s="2" t="s">
        <v>2921</v>
      </c>
      <c r="C2883" s="2" t="str">
        <f t="shared" ref="C2883:C2946" si="45">A2883 &amp; "_" &amp; B2883</f>
        <v>TX0125326_001</v>
      </c>
      <c r="D2883" s="2" t="s">
        <v>4595</v>
      </c>
    </row>
    <row r="2884" spans="1:4" x14ac:dyDescent="0.25">
      <c r="A2884" s="2" t="s">
        <v>7291</v>
      </c>
      <c r="B2884" s="2" t="s">
        <v>2923</v>
      </c>
      <c r="C2884" s="2" t="str">
        <f t="shared" si="45"/>
        <v>TX0125334_002</v>
      </c>
      <c r="D2884" s="2" t="s">
        <v>3846</v>
      </c>
    </row>
    <row r="2885" spans="1:4" x14ac:dyDescent="0.25">
      <c r="A2885" s="2" t="s">
        <v>7292</v>
      </c>
      <c r="B2885" s="2" t="s">
        <v>2921</v>
      </c>
      <c r="C2885" s="2" t="str">
        <f t="shared" si="45"/>
        <v>TX0125342_001</v>
      </c>
      <c r="D2885" s="2" t="s">
        <v>4596</v>
      </c>
    </row>
    <row r="2886" spans="1:4" x14ac:dyDescent="0.25">
      <c r="A2886" s="2" t="s">
        <v>7293</v>
      </c>
      <c r="B2886" s="2" t="s">
        <v>2923</v>
      </c>
      <c r="C2886" s="2" t="str">
        <f t="shared" si="45"/>
        <v>TX0125369_002</v>
      </c>
      <c r="D2886" s="2" t="s">
        <v>4597</v>
      </c>
    </row>
    <row r="2887" spans="1:4" x14ac:dyDescent="0.25">
      <c r="A2887" s="2" t="s">
        <v>7293</v>
      </c>
      <c r="B2887" s="2" t="s">
        <v>2924</v>
      </c>
      <c r="C2887" s="2" t="str">
        <f t="shared" si="45"/>
        <v>TX0125369_003</v>
      </c>
      <c r="D2887" s="2" t="s">
        <v>4597</v>
      </c>
    </row>
    <row r="2888" spans="1:4" x14ac:dyDescent="0.25">
      <c r="A2888" s="2" t="s">
        <v>7294</v>
      </c>
      <c r="B2888" s="2" t="s">
        <v>2923</v>
      </c>
      <c r="C2888" s="2" t="str">
        <f t="shared" si="45"/>
        <v>TX0125377_002</v>
      </c>
      <c r="D2888" s="2" t="s">
        <v>4598</v>
      </c>
    </row>
    <row r="2889" spans="1:4" x14ac:dyDescent="0.25">
      <c r="A2889" s="2" t="s">
        <v>7294</v>
      </c>
      <c r="B2889" s="2" t="s">
        <v>2921</v>
      </c>
      <c r="C2889" s="2" t="str">
        <f t="shared" si="45"/>
        <v>TX0125377_001</v>
      </c>
      <c r="D2889" s="2" t="s">
        <v>4598</v>
      </c>
    </row>
    <row r="2890" spans="1:4" x14ac:dyDescent="0.25">
      <c r="A2890" s="2" t="s">
        <v>7295</v>
      </c>
      <c r="B2890" s="2" t="s">
        <v>2921</v>
      </c>
      <c r="C2890" s="2" t="str">
        <f t="shared" si="45"/>
        <v>TX0125385_001</v>
      </c>
      <c r="D2890" s="2" t="s">
        <v>4599</v>
      </c>
    </row>
    <row r="2891" spans="1:4" x14ac:dyDescent="0.25">
      <c r="A2891" s="2" t="s">
        <v>7296</v>
      </c>
      <c r="B2891" s="2" t="s">
        <v>2921</v>
      </c>
      <c r="C2891" s="2" t="str">
        <f t="shared" si="45"/>
        <v>TX0125458_001</v>
      </c>
      <c r="D2891" s="2" t="s">
        <v>3327</v>
      </c>
    </row>
    <row r="2892" spans="1:4" x14ac:dyDescent="0.25">
      <c r="A2892" s="2" t="s">
        <v>7297</v>
      </c>
      <c r="B2892" s="2" t="s">
        <v>2921</v>
      </c>
      <c r="C2892" s="2" t="str">
        <f t="shared" si="45"/>
        <v>TX0125491_001</v>
      </c>
      <c r="D2892" s="2" t="s">
        <v>4600</v>
      </c>
    </row>
    <row r="2893" spans="1:4" x14ac:dyDescent="0.25">
      <c r="A2893" s="2" t="s">
        <v>7298</v>
      </c>
      <c r="B2893" s="2" t="s">
        <v>2921</v>
      </c>
      <c r="C2893" s="2" t="str">
        <f t="shared" si="45"/>
        <v>TX0125512_001</v>
      </c>
      <c r="D2893" s="2" t="s">
        <v>3279</v>
      </c>
    </row>
    <row r="2894" spans="1:4" x14ac:dyDescent="0.25">
      <c r="A2894" s="2" t="s">
        <v>7299</v>
      </c>
      <c r="B2894" s="2" t="s">
        <v>2921</v>
      </c>
      <c r="C2894" s="2" t="str">
        <f t="shared" si="45"/>
        <v>TX0125521_001</v>
      </c>
      <c r="D2894" s="2" t="s">
        <v>3846</v>
      </c>
    </row>
    <row r="2895" spans="1:4" x14ac:dyDescent="0.25">
      <c r="A2895" s="2" t="s">
        <v>7300</v>
      </c>
      <c r="B2895" s="2" t="s">
        <v>2921</v>
      </c>
      <c r="C2895" s="2" t="str">
        <f t="shared" si="45"/>
        <v>TX0125555_001</v>
      </c>
      <c r="D2895" s="2" t="s">
        <v>4601</v>
      </c>
    </row>
    <row r="2896" spans="1:4" x14ac:dyDescent="0.25">
      <c r="A2896" s="2" t="s">
        <v>7300</v>
      </c>
      <c r="B2896" s="2" t="s">
        <v>2923</v>
      </c>
      <c r="C2896" s="2" t="str">
        <f t="shared" si="45"/>
        <v>TX0125555_002</v>
      </c>
      <c r="D2896" s="2" t="s">
        <v>4601</v>
      </c>
    </row>
    <row r="2897" spans="1:4" x14ac:dyDescent="0.25">
      <c r="A2897" s="2" t="s">
        <v>7301</v>
      </c>
      <c r="B2897" s="2" t="s">
        <v>2921</v>
      </c>
      <c r="C2897" s="2" t="str">
        <f t="shared" si="45"/>
        <v>TX0125563_001</v>
      </c>
      <c r="D2897" s="2" t="s">
        <v>3521</v>
      </c>
    </row>
    <row r="2898" spans="1:4" x14ac:dyDescent="0.25">
      <c r="A2898" s="2" t="s">
        <v>7302</v>
      </c>
      <c r="B2898" s="2" t="s">
        <v>2921</v>
      </c>
      <c r="C2898" s="2" t="str">
        <f t="shared" si="45"/>
        <v>TX0125598_001</v>
      </c>
      <c r="D2898" s="2" t="s">
        <v>4602</v>
      </c>
    </row>
    <row r="2899" spans="1:4" x14ac:dyDescent="0.25">
      <c r="A2899" s="2" t="s">
        <v>7303</v>
      </c>
      <c r="B2899" s="2" t="s">
        <v>2921</v>
      </c>
      <c r="C2899" s="2" t="str">
        <f t="shared" si="45"/>
        <v>TX0125601_001</v>
      </c>
      <c r="D2899" s="2" t="s">
        <v>4603</v>
      </c>
    </row>
    <row r="2900" spans="1:4" x14ac:dyDescent="0.25">
      <c r="A2900" s="2" t="s">
        <v>7304</v>
      </c>
      <c r="B2900" s="2" t="s">
        <v>2921</v>
      </c>
      <c r="C2900" s="2" t="str">
        <f t="shared" si="45"/>
        <v>TX0125610_001</v>
      </c>
      <c r="D2900" s="2" t="s">
        <v>4604</v>
      </c>
    </row>
    <row r="2901" spans="1:4" x14ac:dyDescent="0.25">
      <c r="A2901" s="2" t="s">
        <v>7305</v>
      </c>
      <c r="B2901" s="2" t="s">
        <v>2921</v>
      </c>
      <c r="C2901" s="2" t="str">
        <f t="shared" si="45"/>
        <v>TX0125628_001</v>
      </c>
      <c r="D2901" s="2" t="s">
        <v>3518</v>
      </c>
    </row>
    <row r="2902" spans="1:4" x14ac:dyDescent="0.25">
      <c r="A2902" s="2" t="s">
        <v>7306</v>
      </c>
      <c r="B2902" s="2" t="s">
        <v>2921</v>
      </c>
      <c r="C2902" s="2" t="str">
        <f t="shared" si="45"/>
        <v>TX0125644_001</v>
      </c>
      <c r="D2902" s="2" t="s">
        <v>4605</v>
      </c>
    </row>
    <row r="2903" spans="1:4" x14ac:dyDescent="0.25">
      <c r="A2903" s="2" t="s">
        <v>7307</v>
      </c>
      <c r="B2903" s="2" t="s">
        <v>2921</v>
      </c>
      <c r="C2903" s="2" t="str">
        <f t="shared" si="45"/>
        <v>TX0125661_001</v>
      </c>
      <c r="D2903" s="2" t="s">
        <v>4606</v>
      </c>
    </row>
    <row r="2904" spans="1:4" x14ac:dyDescent="0.25">
      <c r="A2904" s="2" t="s">
        <v>7308</v>
      </c>
      <c r="B2904" s="2" t="s">
        <v>2921</v>
      </c>
      <c r="C2904" s="2" t="str">
        <f t="shared" si="45"/>
        <v>TX0125679_001</v>
      </c>
      <c r="D2904" s="2" t="s">
        <v>4299</v>
      </c>
    </row>
    <row r="2905" spans="1:4" x14ac:dyDescent="0.25">
      <c r="A2905" s="2" t="s">
        <v>7309</v>
      </c>
      <c r="B2905" s="2" t="s">
        <v>2921</v>
      </c>
      <c r="C2905" s="2" t="str">
        <f t="shared" si="45"/>
        <v>TX0125687_001</v>
      </c>
      <c r="D2905" s="2" t="s">
        <v>4607</v>
      </c>
    </row>
    <row r="2906" spans="1:4" x14ac:dyDescent="0.25">
      <c r="A2906" s="2" t="s">
        <v>7310</v>
      </c>
      <c r="B2906" s="2" t="s">
        <v>2921</v>
      </c>
      <c r="C2906" s="2" t="str">
        <f t="shared" si="45"/>
        <v>TX0125709_001</v>
      </c>
      <c r="D2906" s="2" t="s">
        <v>4608</v>
      </c>
    </row>
    <row r="2907" spans="1:4" x14ac:dyDescent="0.25">
      <c r="A2907" s="2" t="s">
        <v>7311</v>
      </c>
      <c r="B2907" s="2" t="s">
        <v>2921</v>
      </c>
      <c r="C2907" s="2" t="str">
        <f t="shared" si="45"/>
        <v>TX0125741_001</v>
      </c>
      <c r="D2907" s="2" t="s">
        <v>4609</v>
      </c>
    </row>
    <row r="2908" spans="1:4" x14ac:dyDescent="0.25">
      <c r="A2908" s="2" t="s">
        <v>7312</v>
      </c>
      <c r="B2908" s="2" t="s">
        <v>2921</v>
      </c>
      <c r="C2908" s="2" t="str">
        <f t="shared" si="45"/>
        <v>TX0125776_001</v>
      </c>
      <c r="D2908" s="2" t="s">
        <v>4610</v>
      </c>
    </row>
    <row r="2909" spans="1:4" x14ac:dyDescent="0.25">
      <c r="A2909" s="2" t="s">
        <v>7313</v>
      </c>
      <c r="B2909" s="2" t="s">
        <v>2921</v>
      </c>
      <c r="C2909" s="2" t="str">
        <f t="shared" si="45"/>
        <v>TX0125806_001</v>
      </c>
      <c r="D2909" s="2" t="s">
        <v>4103</v>
      </c>
    </row>
    <row r="2910" spans="1:4" x14ac:dyDescent="0.25">
      <c r="A2910" s="2" t="s">
        <v>7314</v>
      </c>
      <c r="B2910" s="2" t="s">
        <v>2921</v>
      </c>
      <c r="C2910" s="2" t="str">
        <f t="shared" si="45"/>
        <v>TX0125831_001</v>
      </c>
      <c r="D2910" s="2" t="s">
        <v>2977</v>
      </c>
    </row>
    <row r="2911" spans="1:4" x14ac:dyDescent="0.25">
      <c r="A2911" s="2" t="s">
        <v>7315</v>
      </c>
      <c r="B2911" s="2" t="s">
        <v>2924</v>
      </c>
      <c r="C2911" s="2" t="str">
        <f t="shared" si="45"/>
        <v>TX0125857_003</v>
      </c>
      <c r="D2911" s="2" t="s">
        <v>4611</v>
      </c>
    </row>
    <row r="2912" spans="1:4" x14ac:dyDescent="0.25">
      <c r="A2912" s="2" t="s">
        <v>7315</v>
      </c>
      <c r="B2912" s="2" t="s">
        <v>2934</v>
      </c>
      <c r="C2912" s="2" t="str">
        <f t="shared" si="45"/>
        <v>TX0125857_005</v>
      </c>
      <c r="D2912" s="2" t="s">
        <v>4611</v>
      </c>
    </row>
    <row r="2913" spans="1:4" x14ac:dyDescent="0.25">
      <c r="A2913" s="2" t="s">
        <v>7315</v>
      </c>
      <c r="B2913" s="2" t="s">
        <v>2940</v>
      </c>
      <c r="C2913" s="2" t="str">
        <f t="shared" si="45"/>
        <v>TX0125857_006</v>
      </c>
      <c r="D2913" s="2" t="s">
        <v>4611</v>
      </c>
    </row>
    <row r="2914" spans="1:4" x14ac:dyDescent="0.25">
      <c r="A2914" s="2" t="s">
        <v>7315</v>
      </c>
      <c r="B2914" s="2" t="s">
        <v>2959</v>
      </c>
      <c r="C2914" s="2" t="str">
        <f t="shared" si="45"/>
        <v>TX0125857_007</v>
      </c>
      <c r="D2914" s="2" t="s">
        <v>4611</v>
      </c>
    </row>
    <row r="2915" spans="1:4" x14ac:dyDescent="0.25">
      <c r="A2915" s="2" t="s">
        <v>7316</v>
      </c>
      <c r="B2915" s="2" t="s">
        <v>2921</v>
      </c>
      <c r="C2915" s="2" t="str">
        <f t="shared" si="45"/>
        <v>TX0125865_001</v>
      </c>
      <c r="D2915" s="2" t="s">
        <v>4612</v>
      </c>
    </row>
    <row r="2916" spans="1:4" x14ac:dyDescent="0.25">
      <c r="A2916" s="2" t="s">
        <v>7317</v>
      </c>
      <c r="B2916" s="2" t="s">
        <v>2921</v>
      </c>
      <c r="C2916" s="2" t="str">
        <f t="shared" si="45"/>
        <v>TX0125881_001</v>
      </c>
      <c r="D2916" s="2" t="s">
        <v>4613</v>
      </c>
    </row>
    <row r="2917" spans="1:4" x14ac:dyDescent="0.25">
      <c r="A2917" s="2" t="s">
        <v>7318</v>
      </c>
      <c r="B2917" s="2" t="s">
        <v>2921</v>
      </c>
      <c r="C2917" s="2" t="str">
        <f t="shared" si="45"/>
        <v>TX0125920_001</v>
      </c>
      <c r="D2917" s="2" t="s">
        <v>4614</v>
      </c>
    </row>
    <row r="2918" spans="1:4" x14ac:dyDescent="0.25">
      <c r="A2918" s="2" t="s">
        <v>7319</v>
      </c>
      <c r="B2918" s="2" t="s">
        <v>2921</v>
      </c>
      <c r="C2918" s="2" t="str">
        <f t="shared" si="45"/>
        <v>TX0125938_001</v>
      </c>
      <c r="D2918" s="2" t="s">
        <v>4615</v>
      </c>
    </row>
    <row r="2919" spans="1:4" x14ac:dyDescent="0.25">
      <c r="A2919" s="2" t="s">
        <v>7320</v>
      </c>
      <c r="B2919" s="2" t="s">
        <v>2921</v>
      </c>
      <c r="C2919" s="2" t="str">
        <f t="shared" si="45"/>
        <v>TX0125946_001</v>
      </c>
      <c r="D2919" s="2" t="s">
        <v>3446</v>
      </c>
    </row>
    <row r="2920" spans="1:4" x14ac:dyDescent="0.25">
      <c r="A2920" s="2" t="s">
        <v>7321</v>
      </c>
      <c r="B2920" s="2" t="s">
        <v>2921</v>
      </c>
      <c r="C2920" s="2" t="str">
        <f t="shared" si="45"/>
        <v>TX0125989_001</v>
      </c>
      <c r="D2920" s="2" t="s">
        <v>4616</v>
      </c>
    </row>
    <row r="2921" spans="1:4" x14ac:dyDescent="0.25">
      <c r="A2921" s="2" t="s">
        <v>7321</v>
      </c>
      <c r="B2921" s="2" t="s">
        <v>2923</v>
      </c>
      <c r="C2921" s="2" t="str">
        <f t="shared" si="45"/>
        <v>TX0125989_002</v>
      </c>
      <c r="D2921" s="2" t="s">
        <v>4616</v>
      </c>
    </row>
    <row r="2922" spans="1:4" x14ac:dyDescent="0.25">
      <c r="A2922" s="2" t="s">
        <v>7321</v>
      </c>
      <c r="B2922" s="2" t="s">
        <v>2924</v>
      </c>
      <c r="C2922" s="2" t="str">
        <f t="shared" si="45"/>
        <v>TX0125989_003</v>
      </c>
      <c r="D2922" s="2" t="s">
        <v>4616</v>
      </c>
    </row>
    <row r="2923" spans="1:4" x14ac:dyDescent="0.25">
      <c r="A2923" s="2" t="s">
        <v>7322</v>
      </c>
      <c r="B2923" s="2" t="s">
        <v>2921</v>
      </c>
      <c r="C2923" s="2" t="str">
        <f t="shared" si="45"/>
        <v>TX0126004_001</v>
      </c>
      <c r="D2923" s="2" t="s">
        <v>4617</v>
      </c>
    </row>
    <row r="2924" spans="1:4" x14ac:dyDescent="0.25">
      <c r="A2924" s="2" t="s">
        <v>7323</v>
      </c>
      <c r="B2924" s="2" t="s">
        <v>2921</v>
      </c>
      <c r="C2924" s="2" t="str">
        <f t="shared" si="45"/>
        <v>TX0126021_001</v>
      </c>
      <c r="D2924" s="2" t="s">
        <v>4618</v>
      </c>
    </row>
    <row r="2925" spans="1:4" x14ac:dyDescent="0.25">
      <c r="A2925" s="2" t="s">
        <v>7324</v>
      </c>
      <c r="B2925" s="2" t="s">
        <v>2921</v>
      </c>
      <c r="C2925" s="2" t="str">
        <f t="shared" si="45"/>
        <v>TX0126055_001</v>
      </c>
      <c r="D2925" s="2" t="s">
        <v>4619</v>
      </c>
    </row>
    <row r="2926" spans="1:4" x14ac:dyDescent="0.25">
      <c r="A2926" s="2" t="s">
        <v>7325</v>
      </c>
      <c r="B2926" s="2" t="s">
        <v>2921</v>
      </c>
      <c r="C2926" s="2" t="str">
        <f t="shared" si="45"/>
        <v>TX0126080_001</v>
      </c>
      <c r="D2926" s="2" t="s">
        <v>4620</v>
      </c>
    </row>
    <row r="2927" spans="1:4" x14ac:dyDescent="0.25">
      <c r="A2927" s="2" t="s">
        <v>7325</v>
      </c>
      <c r="B2927" s="2" t="s">
        <v>2923</v>
      </c>
      <c r="C2927" s="2" t="str">
        <f t="shared" si="45"/>
        <v>TX0126080_002</v>
      </c>
      <c r="D2927" s="2" t="s">
        <v>4620</v>
      </c>
    </row>
    <row r="2928" spans="1:4" x14ac:dyDescent="0.25">
      <c r="A2928" s="2" t="s">
        <v>7326</v>
      </c>
      <c r="B2928" s="2" t="s">
        <v>2921</v>
      </c>
      <c r="C2928" s="2" t="str">
        <f t="shared" si="45"/>
        <v>TX0126098_001</v>
      </c>
      <c r="D2928" s="2" t="s">
        <v>4621</v>
      </c>
    </row>
    <row r="2929" spans="1:4" x14ac:dyDescent="0.25">
      <c r="A2929" s="2" t="s">
        <v>7327</v>
      </c>
      <c r="B2929" s="2" t="s">
        <v>2921</v>
      </c>
      <c r="C2929" s="2" t="str">
        <f t="shared" si="45"/>
        <v>TX0126101_001</v>
      </c>
      <c r="D2929" s="2" t="s">
        <v>3895</v>
      </c>
    </row>
    <row r="2930" spans="1:4" x14ac:dyDescent="0.25">
      <c r="A2930" s="2" t="s">
        <v>7328</v>
      </c>
      <c r="B2930" s="2" t="s">
        <v>2921</v>
      </c>
      <c r="C2930" s="2" t="str">
        <f t="shared" si="45"/>
        <v>TX0126110_001</v>
      </c>
      <c r="D2930" s="2" t="s">
        <v>3155</v>
      </c>
    </row>
    <row r="2931" spans="1:4" x14ac:dyDescent="0.25">
      <c r="A2931" s="2" t="s">
        <v>7329</v>
      </c>
      <c r="B2931" s="2" t="s">
        <v>2921</v>
      </c>
      <c r="C2931" s="2" t="str">
        <f t="shared" si="45"/>
        <v>TX0126128_001</v>
      </c>
      <c r="D2931" s="2" t="s">
        <v>4622</v>
      </c>
    </row>
    <row r="2932" spans="1:4" x14ac:dyDescent="0.25">
      <c r="A2932" s="2" t="s">
        <v>7330</v>
      </c>
      <c r="B2932" s="2" t="s">
        <v>2921</v>
      </c>
      <c r="C2932" s="2" t="str">
        <f t="shared" si="45"/>
        <v>TX0126136_001</v>
      </c>
      <c r="D2932" s="2" t="s">
        <v>4623</v>
      </c>
    </row>
    <row r="2933" spans="1:4" x14ac:dyDescent="0.25">
      <c r="A2933" s="2" t="s">
        <v>7331</v>
      </c>
      <c r="B2933" s="2" t="s">
        <v>2921</v>
      </c>
      <c r="C2933" s="2" t="str">
        <f t="shared" si="45"/>
        <v>TX0126152_001</v>
      </c>
      <c r="D2933" s="2" t="s">
        <v>3945</v>
      </c>
    </row>
    <row r="2934" spans="1:4" x14ac:dyDescent="0.25">
      <c r="A2934" s="2" t="s">
        <v>7332</v>
      </c>
      <c r="B2934" s="2" t="s">
        <v>2921</v>
      </c>
      <c r="C2934" s="2" t="str">
        <f t="shared" si="45"/>
        <v>TX0126161_001</v>
      </c>
      <c r="D2934" s="2" t="s">
        <v>4624</v>
      </c>
    </row>
    <row r="2935" spans="1:4" x14ac:dyDescent="0.25">
      <c r="A2935" s="2" t="s">
        <v>7333</v>
      </c>
      <c r="B2935" s="2" t="s">
        <v>2921</v>
      </c>
      <c r="C2935" s="2" t="str">
        <f t="shared" si="45"/>
        <v>TX0126179_001</v>
      </c>
      <c r="D2935" s="2" t="s">
        <v>4625</v>
      </c>
    </row>
    <row r="2936" spans="1:4" x14ac:dyDescent="0.25">
      <c r="A2936" s="2" t="s">
        <v>7334</v>
      </c>
      <c r="B2936" s="2" t="s">
        <v>2921</v>
      </c>
      <c r="C2936" s="2" t="str">
        <f t="shared" si="45"/>
        <v>TX0126187_001</v>
      </c>
      <c r="D2936" s="2" t="s">
        <v>4626</v>
      </c>
    </row>
    <row r="2937" spans="1:4" x14ac:dyDescent="0.25">
      <c r="A2937" s="2" t="s">
        <v>7335</v>
      </c>
      <c r="B2937" s="2" t="s">
        <v>2921</v>
      </c>
      <c r="C2937" s="2" t="str">
        <f t="shared" si="45"/>
        <v>TX0126195_001</v>
      </c>
      <c r="D2937" s="2" t="s">
        <v>4627</v>
      </c>
    </row>
    <row r="2938" spans="1:4" x14ac:dyDescent="0.25">
      <c r="A2938" s="2" t="s">
        <v>7336</v>
      </c>
      <c r="B2938" s="2" t="s">
        <v>2921</v>
      </c>
      <c r="C2938" s="2" t="str">
        <f t="shared" si="45"/>
        <v>TX0126209_001</v>
      </c>
      <c r="D2938" s="2" t="s">
        <v>4628</v>
      </c>
    </row>
    <row r="2939" spans="1:4" x14ac:dyDescent="0.25">
      <c r="A2939" s="2" t="s">
        <v>7337</v>
      </c>
      <c r="B2939" s="2" t="s">
        <v>2921</v>
      </c>
      <c r="C2939" s="2" t="str">
        <f t="shared" si="45"/>
        <v>TX0126217_001</v>
      </c>
      <c r="D2939" s="2" t="s">
        <v>4629</v>
      </c>
    </row>
    <row r="2940" spans="1:4" x14ac:dyDescent="0.25">
      <c r="A2940" s="2" t="s">
        <v>7338</v>
      </c>
      <c r="B2940" s="2" t="s">
        <v>2921</v>
      </c>
      <c r="C2940" s="2" t="str">
        <f t="shared" si="45"/>
        <v>TX0126233_001</v>
      </c>
      <c r="D2940" s="2" t="s">
        <v>2930</v>
      </c>
    </row>
    <row r="2941" spans="1:4" x14ac:dyDescent="0.25">
      <c r="A2941" s="2" t="s">
        <v>7339</v>
      </c>
      <c r="B2941" s="2" t="s">
        <v>2921</v>
      </c>
      <c r="C2941" s="2" t="str">
        <f t="shared" si="45"/>
        <v>TX0126241_001</v>
      </c>
      <c r="D2941" s="2" t="s">
        <v>4630</v>
      </c>
    </row>
    <row r="2942" spans="1:4" x14ac:dyDescent="0.25">
      <c r="A2942" s="2" t="s">
        <v>7340</v>
      </c>
      <c r="B2942" s="2" t="s">
        <v>2921</v>
      </c>
      <c r="C2942" s="2" t="str">
        <f t="shared" si="45"/>
        <v>TX0126250_001</v>
      </c>
      <c r="D2942" s="2" t="s">
        <v>4631</v>
      </c>
    </row>
    <row r="2943" spans="1:4" x14ac:dyDescent="0.25">
      <c r="A2943" s="2" t="s">
        <v>7341</v>
      </c>
      <c r="B2943" s="2" t="s">
        <v>2921</v>
      </c>
      <c r="C2943" s="2" t="str">
        <f t="shared" si="45"/>
        <v>TX0126268_001</v>
      </c>
      <c r="D2943" s="2" t="s">
        <v>4003</v>
      </c>
    </row>
    <row r="2944" spans="1:4" x14ac:dyDescent="0.25">
      <c r="A2944" s="2" t="s">
        <v>7341</v>
      </c>
      <c r="B2944" s="2" t="s">
        <v>2923</v>
      </c>
      <c r="C2944" s="2" t="str">
        <f t="shared" si="45"/>
        <v>TX0126268_002</v>
      </c>
      <c r="D2944" s="2" t="s">
        <v>4003</v>
      </c>
    </row>
    <row r="2945" spans="1:4" x14ac:dyDescent="0.25">
      <c r="A2945" s="2" t="s">
        <v>7342</v>
      </c>
      <c r="B2945" s="2" t="s">
        <v>2921</v>
      </c>
      <c r="C2945" s="2" t="str">
        <f t="shared" si="45"/>
        <v>TX0126284_001</v>
      </c>
      <c r="D2945" s="2" t="s">
        <v>4632</v>
      </c>
    </row>
    <row r="2946" spans="1:4" x14ac:dyDescent="0.25">
      <c r="A2946" s="2" t="s">
        <v>7343</v>
      </c>
      <c r="B2946" s="2" t="s">
        <v>2924</v>
      </c>
      <c r="C2946" s="2" t="str">
        <f t="shared" si="45"/>
        <v>TX0126292_003</v>
      </c>
      <c r="D2946" s="2" t="s">
        <v>4633</v>
      </c>
    </row>
    <row r="2947" spans="1:4" x14ac:dyDescent="0.25">
      <c r="A2947" s="2" t="s">
        <v>7344</v>
      </c>
      <c r="B2947" s="2" t="s">
        <v>2921</v>
      </c>
      <c r="C2947" s="2" t="str">
        <f t="shared" ref="C2947:C3010" si="46">A2947 &amp; "_" &amp; B2947</f>
        <v>TX0126306_001</v>
      </c>
      <c r="D2947" s="2" t="s">
        <v>4634</v>
      </c>
    </row>
    <row r="2948" spans="1:4" x14ac:dyDescent="0.25">
      <c r="A2948" s="2" t="s">
        <v>7345</v>
      </c>
      <c r="B2948" s="2" t="s">
        <v>2936</v>
      </c>
      <c r="C2948" s="2" t="str">
        <f t="shared" si="46"/>
        <v>TX0126322_004</v>
      </c>
      <c r="D2948" s="2" t="s">
        <v>4635</v>
      </c>
    </row>
    <row r="2949" spans="1:4" x14ac:dyDescent="0.25">
      <c r="A2949" s="2" t="s">
        <v>7345</v>
      </c>
      <c r="B2949" s="2" t="s">
        <v>2934</v>
      </c>
      <c r="C2949" s="2" t="str">
        <f t="shared" si="46"/>
        <v>TX0126322_005</v>
      </c>
      <c r="D2949" s="2" t="s">
        <v>4635</v>
      </c>
    </row>
    <row r="2950" spans="1:4" x14ac:dyDescent="0.25">
      <c r="A2950" s="2" t="s">
        <v>7346</v>
      </c>
      <c r="B2950" s="2" t="s">
        <v>2921</v>
      </c>
      <c r="C2950" s="2" t="str">
        <f t="shared" si="46"/>
        <v>TX0126349_001</v>
      </c>
      <c r="D2950" s="2" t="s">
        <v>4636</v>
      </c>
    </row>
    <row r="2951" spans="1:4" x14ac:dyDescent="0.25">
      <c r="A2951" s="2" t="s">
        <v>7347</v>
      </c>
      <c r="B2951" s="2" t="s">
        <v>2921</v>
      </c>
      <c r="C2951" s="2" t="str">
        <f t="shared" si="46"/>
        <v>TX0126365_001</v>
      </c>
      <c r="D2951" s="2" t="s">
        <v>4131</v>
      </c>
    </row>
    <row r="2952" spans="1:4" x14ac:dyDescent="0.25">
      <c r="A2952" s="2" t="s">
        <v>7348</v>
      </c>
      <c r="B2952" s="2" t="s">
        <v>2921</v>
      </c>
      <c r="C2952" s="2" t="str">
        <f t="shared" si="46"/>
        <v>TX0126381_001</v>
      </c>
      <c r="D2952" s="2" t="s">
        <v>4637</v>
      </c>
    </row>
    <row r="2953" spans="1:4" x14ac:dyDescent="0.25">
      <c r="A2953" s="2" t="s">
        <v>7349</v>
      </c>
      <c r="B2953" s="2" t="s">
        <v>2921</v>
      </c>
      <c r="C2953" s="2" t="str">
        <f t="shared" si="46"/>
        <v>TX0126446_001</v>
      </c>
      <c r="D2953" s="2" t="s">
        <v>3110</v>
      </c>
    </row>
    <row r="2954" spans="1:4" x14ac:dyDescent="0.25">
      <c r="A2954" s="2" t="s">
        <v>7350</v>
      </c>
      <c r="B2954" s="2" t="s">
        <v>2921</v>
      </c>
      <c r="C2954" s="2" t="str">
        <f t="shared" si="46"/>
        <v>TX0126497_001</v>
      </c>
      <c r="D2954" s="2" t="s">
        <v>4638</v>
      </c>
    </row>
    <row r="2955" spans="1:4" x14ac:dyDescent="0.25">
      <c r="A2955" s="2" t="s">
        <v>7351</v>
      </c>
      <c r="B2955" s="2" t="s">
        <v>2921</v>
      </c>
      <c r="C2955" s="2" t="str">
        <f t="shared" si="46"/>
        <v>TX0126527_001</v>
      </c>
      <c r="D2955" s="2" t="s">
        <v>4639</v>
      </c>
    </row>
    <row r="2956" spans="1:4" x14ac:dyDescent="0.25">
      <c r="A2956" s="2" t="s">
        <v>7352</v>
      </c>
      <c r="B2956" s="2" t="s">
        <v>2921</v>
      </c>
      <c r="C2956" s="2" t="str">
        <f t="shared" si="46"/>
        <v>TX0126543_001</v>
      </c>
      <c r="D2956" s="2" t="s">
        <v>3093</v>
      </c>
    </row>
    <row r="2957" spans="1:4" x14ac:dyDescent="0.25">
      <c r="A2957" s="2" t="s">
        <v>7353</v>
      </c>
      <c r="B2957" s="2" t="s">
        <v>2921</v>
      </c>
      <c r="C2957" s="2" t="str">
        <f t="shared" si="46"/>
        <v>TX0126551_001</v>
      </c>
      <c r="D2957" s="2" t="s">
        <v>4640</v>
      </c>
    </row>
    <row r="2958" spans="1:4" x14ac:dyDescent="0.25">
      <c r="A2958" s="2" t="s">
        <v>7354</v>
      </c>
      <c r="B2958" s="2" t="s">
        <v>2921</v>
      </c>
      <c r="C2958" s="2" t="str">
        <f t="shared" si="46"/>
        <v>TX0126560_001</v>
      </c>
      <c r="D2958" s="2" t="s">
        <v>4641</v>
      </c>
    </row>
    <row r="2959" spans="1:4" x14ac:dyDescent="0.25">
      <c r="A2959" s="2" t="s">
        <v>7355</v>
      </c>
      <c r="B2959" s="2" t="s">
        <v>2921</v>
      </c>
      <c r="C2959" s="2" t="str">
        <f t="shared" si="46"/>
        <v>TX0126594_001</v>
      </c>
      <c r="D2959" s="2" t="s">
        <v>4466</v>
      </c>
    </row>
    <row r="2960" spans="1:4" x14ac:dyDescent="0.25">
      <c r="A2960" s="2" t="s">
        <v>7356</v>
      </c>
      <c r="B2960" s="2" t="s">
        <v>2921</v>
      </c>
      <c r="C2960" s="2" t="str">
        <f t="shared" si="46"/>
        <v>TX0126616_001</v>
      </c>
      <c r="D2960" s="2" t="s">
        <v>4642</v>
      </c>
    </row>
    <row r="2961" spans="1:4" x14ac:dyDescent="0.25">
      <c r="A2961" s="2" t="s">
        <v>7357</v>
      </c>
      <c r="B2961" s="2" t="s">
        <v>2921</v>
      </c>
      <c r="C2961" s="2" t="str">
        <f t="shared" si="46"/>
        <v>TX0126624_001</v>
      </c>
      <c r="D2961" s="2" t="s">
        <v>4643</v>
      </c>
    </row>
    <row r="2962" spans="1:4" x14ac:dyDescent="0.25">
      <c r="A2962" s="2" t="s">
        <v>7358</v>
      </c>
      <c r="B2962" s="2" t="s">
        <v>2921</v>
      </c>
      <c r="C2962" s="2" t="str">
        <f t="shared" si="46"/>
        <v>TX0126641_001</v>
      </c>
      <c r="D2962" s="2" t="s">
        <v>4644</v>
      </c>
    </row>
    <row r="2963" spans="1:4" x14ac:dyDescent="0.25">
      <c r="A2963" s="2" t="s">
        <v>7359</v>
      </c>
      <c r="B2963" s="2" t="s">
        <v>2921</v>
      </c>
      <c r="C2963" s="2" t="str">
        <f t="shared" si="46"/>
        <v>TX0126667_001</v>
      </c>
      <c r="D2963" s="2" t="s">
        <v>3540</v>
      </c>
    </row>
    <row r="2964" spans="1:4" x14ac:dyDescent="0.25">
      <c r="A2964" s="2" t="s">
        <v>7360</v>
      </c>
      <c r="B2964" s="2" t="s">
        <v>2921</v>
      </c>
      <c r="C2964" s="2" t="str">
        <f t="shared" si="46"/>
        <v>TX0126675_001</v>
      </c>
      <c r="D2964" s="2" t="s">
        <v>4645</v>
      </c>
    </row>
    <row r="2965" spans="1:4" x14ac:dyDescent="0.25">
      <c r="A2965" s="2" t="s">
        <v>7361</v>
      </c>
      <c r="B2965" s="2" t="s">
        <v>2921</v>
      </c>
      <c r="C2965" s="2" t="str">
        <f t="shared" si="46"/>
        <v>TX0126691_001</v>
      </c>
      <c r="D2965" s="2" t="s">
        <v>4646</v>
      </c>
    </row>
    <row r="2966" spans="1:4" x14ac:dyDescent="0.25">
      <c r="A2966" s="2" t="s">
        <v>7362</v>
      </c>
      <c r="B2966" s="2" t="s">
        <v>2921</v>
      </c>
      <c r="C2966" s="2" t="str">
        <f t="shared" si="46"/>
        <v>TX0126705_001</v>
      </c>
      <c r="D2966" s="2" t="s">
        <v>3450</v>
      </c>
    </row>
    <row r="2967" spans="1:4" x14ac:dyDescent="0.25">
      <c r="A2967" s="2" t="s">
        <v>7363</v>
      </c>
      <c r="B2967" s="2" t="s">
        <v>2921</v>
      </c>
      <c r="C2967" s="2" t="str">
        <f t="shared" si="46"/>
        <v>TX0126713_001</v>
      </c>
      <c r="D2967" s="2" t="s">
        <v>4647</v>
      </c>
    </row>
    <row r="2968" spans="1:4" x14ac:dyDescent="0.25">
      <c r="A2968" s="2" t="s">
        <v>7364</v>
      </c>
      <c r="B2968" s="2" t="s">
        <v>2921</v>
      </c>
      <c r="C2968" s="2" t="str">
        <f t="shared" si="46"/>
        <v>TX0126730_001</v>
      </c>
      <c r="D2968" s="2" t="s">
        <v>4638</v>
      </c>
    </row>
    <row r="2969" spans="1:4" x14ac:dyDescent="0.25">
      <c r="A2969" s="2" t="s">
        <v>7365</v>
      </c>
      <c r="B2969" s="2" t="s">
        <v>2921</v>
      </c>
      <c r="C2969" s="2" t="str">
        <f t="shared" si="46"/>
        <v>TX0126748_001</v>
      </c>
      <c r="D2969" s="2" t="s">
        <v>4648</v>
      </c>
    </row>
    <row r="2970" spans="1:4" x14ac:dyDescent="0.25">
      <c r="A2970" s="2" t="s">
        <v>7366</v>
      </c>
      <c r="B2970" s="2" t="s">
        <v>2921</v>
      </c>
      <c r="C2970" s="2" t="str">
        <f t="shared" si="46"/>
        <v>TX0126756_001</v>
      </c>
      <c r="D2970" s="2" t="s">
        <v>4649</v>
      </c>
    </row>
    <row r="2971" spans="1:4" x14ac:dyDescent="0.25">
      <c r="A2971" s="2" t="s">
        <v>7367</v>
      </c>
      <c r="B2971" s="2" t="s">
        <v>2921</v>
      </c>
      <c r="C2971" s="2" t="str">
        <f t="shared" si="46"/>
        <v>TX0126764_001</v>
      </c>
      <c r="D2971" s="2" t="s">
        <v>4650</v>
      </c>
    </row>
    <row r="2972" spans="1:4" x14ac:dyDescent="0.25">
      <c r="A2972" s="2" t="s">
        <v>7368</v>
      </c>
      <c r="B2972" s="2" t="s">
        <v>2921</v>
      </c>
      <c r="C2972" s="2" t="str">
        <f t="shared" si="46"/>
        <v>TX0126772_001</v>
      </c>
      <c r="D2972" s="2" t="s">
        <v>4651</v>
      </c>
    </row>
    <row r="2973" spans="1:4" x14ac:dyDescent="0.25">
      <c r="A2973" s="2" t="s">
        <v>7369</v>
      </c>
      <c r="B2973" s="2" t="s">
        <v>2921</v>
      </c>
      <c r="C2973" s="2" t="str">
        <f t="shared" si="46"/>
        <v>TX0126799_001</v>
      </c>
      <c r="D2973" s="2" t="s">
        <v>4103</v>
      </c>
    </row>
    <row r="2974" spans="1:4" x14ac:dyDescent="0.25">
      <c r="A2974" s="2" t="s">
        <v>7370</v>
      </c>
      <c r="B2974" s="2" t="s">
        <v>2921</v>
      </c>
      <c r="C2974" s="2" t="str">
        <f t="shared" si="46"/>
        <v>TX0126829_001</v>
      </c>
      <c r="D2974" s="2" t="s">
        <v>4652</v>
      </c>
    </row>
    <row r="2975" spans="1:4" x14ac:dyDescent="0.25">
      <c r="A2975" s="2" t="s">
        <v>7371</v>
      </c>
      <c r="B2975" s="2" t="s">
        <v>2921</v>
      </c>
      <c r="C2975" s="2" t="str">
        <f t="shared" si="46"/>
        <v>TX0126837_001</v>
      </c>
      <c r="D2975" s="2" t="s">
        <v>4653</v>
      </c>
    </row>
    <row r="2976" spans="1:4" x14ac:dyDescent="0.25">
      <c r="A2976" s="2" t="s">
        <v>7372</v>
      </c>
      <c r="B2976" s="2" t="s">
        <v>2921</v>
      </c>
      <c r="C2976" s="2" t="str">
        <f t="shared" si="46"/>
        <v>TX0126853_001</v>
      </c>
      <c r="D2976" s="2" t="s">
        <v>4654</v>
      </c>
    </row>
    <row r="2977" spans="1:4" x14ac:dyDescent="0.25">
      <c r="A2977" s="2" t="s">
        <v>7373</v>
      </c>
      <c r="B2977" s="2" t="s">
        <v>2921</v>
      </c>
      <c r="C2977" s="2" t="str">
        <f t="shared" si="46"/>
        <v>TX0126861_001</v>
      </c>
      <c r="D2977" s="2" t="s">
        <v>4655</v>
      </c>
    </row>
    <row r="2978" spans="1:4" x14ac:dyDescent="0.25">
      <c r="A2978" s="2" t="s">
        <v>7374</v>
      </c>
      <c r="B2978" s="2" t="s">
        <v>2921</v>
      </c>
      <c r="C2978" s="2" t="str">
        <f t="shared" si="46"/>
        <v>TX0126926_001</v>
      </c>
      <c r="D2978" s="2" t="s">
        <v>2963</v>
      </c>
    </row>
    <row r="2979" spans="1:4" x14ac:dyDescent="0.25">
      <c r="A2979" s="2" t="s">
        <v>7374</v>
      </c>
      <c r="B2979" s="2" t="s">
        <v>2923</v>
      </c>
      <c r="C2979" s="2" t="str">
        <f t="shared" si="46"/>
        <v>TX0126926_002</v>
      </c>
      <c r="D2979" s="2" t="s">
        <v>2963</v>
      </c>
    </row>
    <row r="2980" spans="1:4" x14ac:dyDescent="0.25">
      <c r="A2980" s="2" t="s">
        <v>7375</v>
      </c>
      <c r="B2980" s="2" t="s">
        <v>2921</v>
      </c>
      <c r="C2980" s="2" t="str">
        <f t="shared" si="46"/>
        <v>TX0126934_001</v>
      </c>
      <c r="D2980" s="2" t="s">
        <v>4103</v>
      </c>
    </row>
    <row r="2981" spans="1:4" x14ac:dyDescent="0.25">
      <c r="A2981" s="2" t="s">
        <v>7376</v>
      </c>
      <c r="B2981" s="2" t="s">
        <v>2921</v>
      </c>
      <c r="C2981" s="2" t="str">
        <f t="shared" si="46"/>
        <v>TX0126951_001</v>
      </c>
      <c r="D2981" s="2" t="s">
        <v>4656</v>
      </c>
    </row>
    <row r="2982" spans="1:4" x14ac:dyDescent="0.25">
      <c r="A2982" s="2" t="s">
        <v>7377</v>
      </c>
      <c r="B2982" s="2" t="s">
        <v>2921</v>
      </c>
      <c r="C2982" s="2" t="str">
        <f t="shared" si="46"/>
        <v>TX0126969_001</v>
      </c>
      <c r="D2982" s="2" t="s">
        <v>3257</v>
      </c>
    </row>
    <row r="2983" spans="1:4" x14ac:dyDescent="0.25">
      <c r="A2983" s="2" t="s">
        <v>7378</v>
      </c>
      <c r="B2983" s="2" t="s">
        <v>2921</v>
      </c>
      <c r="C2983" s="2" t="str">
        <f t="shared" si="46"/>
        <v>TX0126977_001</v>
      </c>
      <c r="D2983" s="2" t="s">
        <v>3410</v>
      </c>
    </row>
    <row r="2984" spans="1:4" x14ac:dyDescent="0.25">
      <c r="A2984" s="2" t="s">
        <v>7379</v>
      </c>
      <c r="B2984" s="2" t="s">
        <v>2921</v>
      </c>
      <c r="C2984" s="2" t="str">
        <f t="shared" si="46"/>
        <v>TX0127019_001</v>
      </c>
      <c r="D2984" s="2" t="s">
        <v>3599</v>
      </c>
    </row>
    <row r="2985" spans="1:4" x14ac:dyDescent="0.25">
      <c r="A2985" s="2" t="s">
        <v>7380</v>
      </c>
      <c r="B2985" s="2" t="s">
        <v>2921</v>
      </c>
      <c r="C2985" s="2" t="str">
        <f t="shared" si="46"/>
        <v>TX0127051_001</v>
      </c>
      <c r="D2985" s="2" t="s">
        <v>3065</v>
      </c>
    </row>
    <row r="2986" spans="1:4" x14ac:dyDescent="0.25">
      <c r="A2986" s="2" t="s">
        <v>7381</v>
      </c>
      <c r="B2986" s="2" t="s">
        <v>2921</v>
      </c>
      <c r="C2986" s="2" t="str">
        <f t="shared" si="46"/>
        <v>TX0127086_001</v>
      </c>
      <c r="D2986" s="2" t="s">
        <v>4657</v>
      </c>
    </row>
    <row r="2987" spans="1:4" x14ac:dyDescent="0.25">
      <c r="A2987" s="2" t="s">
        <v>7382</v>
      </c>
      <c r="B2987" s="2" t="s">
        <v>2921</v>
      </c>
      <c r="C2987" s="2" t="str">
        <f t="shared" si="46"/>
        <v>TX0127124_001</v>
      </c>
      <c r="D2987" s="2" t="s">
        <v>4168</v>
      </c>
    </row>
    <row r="2988" spans="1:4" x14ac:dyDescent="0.25">
      <c r="A2988" s="2" t="s">
        <v>7383</v>
      </c>
      <c r="B2988" s="2" t="s">
        <v>2921</v>
      </c>
      <c r="C2988" s="2" t="str">
        <f t="shared" si="46"/>
        <v>TX0127132_001</v>
      </c>
      <c r="D2988" s="2" t="s">
        <v>4508</v>
      </c>
    </row>
    <row r="2989" spans="1:4" x14ac:dyDescent="0.25">
      <c r="A2989" s="2" t="s">
        <v>7384</v>
      </c>
      <c r="B2989" s="2" t="s">
        <v>2921</v>
      </c>
      <c r="C2989" s="2" t="str">
        <f t="shared" si="46"/>
        <v>TX0127141_001</v>
      </c>
      <c r="D2989" s="2" t="s">
        <v>4658</v>
      </c>
    </row>
    <row r="2990" spans="1:4" x14ac:dyDescent="0.25">
      <c r="A2990" s="2" t="s">
        <v>7385</v>
      </c>
      <c r="B2990" s="2" t="s">
        <v>2921</v>
      </c>
      <c r="C2990" s="2" t="str">
        <f t="shared" si="46"/>
        <v>TX0127175_001</v>
      </c>
      <c r="D2990" s="2" t="s">
        <v>3371</v>
      </c>
    </row>
    <row r="2991" spans="1:4" x14ac:dyDescent="0.25">
      <c r="A2991" s="2" t="s">
        <v>7386</v>
      </c>
      <c r="B2991" s="2" t="s">
        <v>2921</v>
      </c>
      <c r="C2991" s="2" t="str">
        <f t="shared" si="46"/>
        <v>TX0127183_001</v>
      </c>
      <c r="D2991" s="2" t="s">
        <v>4659</v>
      </c>
    </row>
    <row r="2992" spans="1:4" x14ac:dyDescent="0.25">
      <c r="A2992" s="2" t="s">
        <v>7387</v>
      </c>
      <c r="B2992" s="2" t="s">
        <v>2921</v>
      </c>
      <c r="C2992" s="2" t="str">
        <f t="shared" si="46"/>
        <v>TX0127205_001</v>
      </c>
      <c r="D2992" s="2" t="s">
        <v>4658</v>
      </c>
    </row>
    <row r="2993" spans="1:4" x14ac:dyDescent="0.25">
      <c r="A2993" s="2" t="s">
        <v>7388</v>
      </c>
      <c r="B2993" s="2" t="s">
        <v>2921</v>
      </c>
      <c r="C2993" s="2" t="str">
        <f t="shared" si="46"/>
        <v>TX0127230_001</v>
      </c>
      <c r="D2993" s="2" t="s">
        <v>4271</v>
      </c>
    </row>
    <row r="2994" spans="1:4" x14ac:dyDescent="0.25">
      <c r="A2994" s="2" t="s">
        <v>7389</v>
      </c>
      <c r="B2994" s="2" t="s">
        <v>2921</v>
      </c>
      <c r="C2994" s="2" t="str">
        <f t="shared" si="46"/>
        <v>TX0127248_001</v>
      </c>
      <c r="D2994" s="2" t="s">
        <v>4660</v>
      </c>
    </row>
    <row r="2995" spans="1:4" x14ac:dyDescent="0.25">
      <c r="A2995" s="2" t="s">
        <v>7390</v>
      </c>
      <c r="B2995" s="2" t="s">
        <v>2921</v>
      </c>
      <c r="C2995" s="2" t="str">
        <f t="shared" si="46"/>
        <v>TX0127256_001</v>
      </c>
      <c r="D2995" s="2" t="s">
        <v>4661</v>
      </c>
    </row>
    <row r="2996" spans="1:4" x14ac:dyDescent="0.25">
      <c r="A2996" s="2" t="s">
        <v>7391</v>
      </c>
      <c r="B2996" s="2" t="s">
        <v>2921</v>
      </c>
      <c r="C2996" s="2" t="str">
        <f t="shared" si="46"/>
        <v>TX0127264_001</v>
      </c>
      <c r="D2996" s="2" t="s">
        <v>4662</v>
      </c>
    </row>
    <row r="2997" spans="1:4" x14ac:dyDescent="0.25">
      <c r="A2997" s="2" t="s">
        <v>7392</v>
      </c>
      <c r="B2997" s="2" t="s">
        <v>2921</v>
      </c>
      <c r="C2997" s="2" t="str">
        <f t="shared" si="46"/>
        <v>TX0127272_001</v>
      </c>
      <c r="D2997" s="2" t="s">
        <v>4663</v>
      </c>
    </row>
    <row r="2998" spans="1:4" x14ac:dyDescent="0.25">
      <c r="A2998" s="2" t="s">
        <v>7393</v>
      </c>
      <c r="B2998" s="2" t="s">
        <v>2921</v>
      </c>
      <c r="C2998" s="2" t="str">
        <f t="shared" si="46"/>
        <v>TX0127299_001</v>
      </c>
      <c r="D2998" s="2" t="s">
        <v>4664</v>
      </c>
    </row>
    <row r="2999" spans="1:4" x14ac:dyDescent="0.25">
      <c r="A2999" s="2" t="s">
        <v>7394</v>
      </c>
      <c r="B2999" s="2" t="s">
        <v>2921</v>
      </c>
      <c r="C2999" s="2" t="str">
        <f t="shared" si="46"/>
        <v>TX0127311_001</v>
      </c>
      <c r="D2999" s="2" t="s">
        <v>4665</v>
      </c>
    </row>
    <row r="3000" spans="1:4" x14ac:dyDescent="0.25">
      <c r="A3000" s="2" t="s">
        <v>7395</v>
      </c>
      <c r="B3000" s="2" t="s">
        <v>2921</v>
      </c>
      <c r="C3000" s="2" t="str">
        <f t="shared" si="46"/>
        <v>TX0127337_001</v>
      </c>
      <c r="D3000" s="2" t="s">
        <v>4666</v>
      </c>
    </row>
    <row r="3001" spans="1:4" x14ac:dyDescent="0.25">
      <c r="A3001" s="2" t="s">
        <v>7396</v>
      </c>
      <c r="B3001" s="2" t="s">
        <v>2921</v>
      </c>
      <c r="C3001" s="2" t="str">
        <f t="shared" si="46"/>
        <v>TX0127345_001</v>
      </c>
      <c r="D3001" s="2" t="s">
        <v>4667</v>
      </c>
    </row>
    <row r="3002" spans="1:4" x14ac:dyDescent="0.25">
      <c r="A3002" s="2" t="s">
        <v>7397</v>
      </c>
      <c r="B3002" s="2" t="s">
        <v>2921</v>
      </c>
      <c r="C3002" s="2" t="str">
        <f t="shared" si="46"/>
        <v>TX0127353_001</v>
      </c>
      <c r="D3002" s="2" t="s">
        <v>4668</v>
      </c>
    </row>
    <row r="3003" spans="1:4" x14ac:dyDescent="0.25">
      <c r="A3003" s="2" t="s">
        <v>7398</v>
      </c>
      <c r="B3003" s="2" t="s">
        <v>2921</v>
      </c>
      <c r="C3003" s="2" t="str">
        <f t="shared" si="46"/>
        <v>TX0127370_001</v>
      </c>
      <c r="D3003" s="2" t="s">
        <v>4669</v>
      </c>
    </row>
    <row r="3004" spans="1:4" x14ac:dyDescent="0.25">
      <c r="A3004" s="2" t="s">
        <v>7399</v>
      </c>
      <c r="B3004" s="2" t="s">
        <v>2921</v>
      </c>
      <c r="C3004" s="2" t="str">
        <f t="shared" si="46"/>
        <v>TX0127388_001</v>
      </c>
      <c r="D3004" s="2" t="s">
        <v>4670</v>
      </c>
    </row>
    <row r="3005" spans="1:4" x14ac:dyDescent="0.25">
      <c r="A3005" s="2" t="s">
        <v>7400</v>
      </c>
      <c r="B3005" s="2" t="s">
        <v>2921</v>
      </c>
      <c r="C3005" s="2" t="str">
        <f t="shared" si="46"/>
        <v>TX0127400_001</v>
      </c>
      <c r="D3005" s="2" t="s">
        <v>4671</v>
      </c>
    </row>
    <row r="3006" spans="1:4" x14ac:dyDescent="0.25">
      <c r="A3006" s="2" t="s">
        <v>7401</v>
      </c>
      <c r="B3006" s="2" t="s">
        <v>2921</v>
      </c>
      <c r="C3006" s="2" t="str">
        <f t="shared" si="46"/>
        <v>TX0127426_001</v>
      </c>
      <c r="D3006" s="2" t="s">
        <v>4672</v>
      </c>
    </row>
    <row r="3007" spans="1:4" x14ac:dyDescent="0.25">
      <c r="A3007" s="2" t="s">
        <v>7402</v>
      </c>
      <c r="B3007" s="2" t="s">
        <v>2921</v>
      </c>
      <c r="C3007" s="2" t="str">
        <f t="shared" si="46"/>
        <v>TX0127647_001</v>
      </c>
      <c r="D3007" s="2" t="s">
        <v>4673</v>
      </c>
    </row>
    <row r="3008" spans="1:4" x14ac:dyDescent="0.25">
      <c r="A3008" s="2" t="s">
        <v>7403</v>
      </c>
      <c r="B3008" s="2" t="s">
        <v>2921</v>
      </c>
      <c r="C3008" s="2" t="str">
        <f t="shared" si="46"/>
        <v>TX0127663_001</v>
      </c>
      <c r="D3008" s="2" t="s">
        <v>4674</v>
      </c>
    </row>
    <row r="3009" spans="1:4" x14ac:dyDescent="0.25">
      <c r="A3009" s="2" t="s">
        <v>7404</v>
      </c>
      <c r="B3009" s="2" t="s">
        <v>2921</v>
      </c>
      <c r="C3009" s="2" t="str">
        <f t="shared" si="46"/>
        <v>TX0127698_001</v>
      </c>
      <c r="D3009" s="2" t="s">
        <v>4675</v>
      </c>
    </row>
    <row r="3010" spans="1:4" x14ac:dyDescent="0.25">
      <c r="A3010" s="2" t="s">
        <v>7405</v>
      </c>
      <c r="B3010" s="2" t="s">
        <v>2921</v>
      </c>
      <c r="C3010" s="2" t="str">
        <f t="shared" si="46"/>
        <v>TX0127710_001</v>
      </c>
      <c r="D3010" s="2" t="s">
        <v>4676</v>
      </c>
    </row>
    <row r="3011" spans="1:4" x14ac:dyDescent="0.25">
      <c r="A3011" s="2" t="s">
        <v>7406</v>
      </c>
      <c r="B3011" s="2" t="s">
        <v>2921</v>
      </c>
      <c r="C3011" s="2" t="str">
        <f t="shared" ref="C3011:C3074" si="47">A3011 &amp; "_" &amp; B3011</f>
        <v>TX0127728_001</v>
      </c>
      <c r="D3011" s="2" t="s">
        <v>4677</v>
      </c>
    </row>
    <row r="3012" spans="1:4" x14ac:dyDescent="0.25">
      <c r="A3012" s="2" t="s">
        <v>7407</v>
      </c>
      <c r="B3012" s="2" t="s">
        <v>2921</v>
      </c>
      <c r="C3012" s="2" t="str">
        <f t="shared" si="47"/>
        <v>TX0127752_001</v>
      </c>
      <c r="D3012" s="2" t="s">
        <v>4678</v>
      </c>
    </row>
    <row r="3013" spans="1:4" x14ac:dyDescent="0.25">
      <c r="A3013" s="2" t="s">
        <v>7408</v>
      </c>
      <c r="B3013" s="2" t="s">
        <v>2921</v>
      </c>
      <c r="C3013" s="2" t="str">
        <f t="shared" si="47"/>
        <v>TX0127779_001</v>
      </c>
      <c r="D3013" s="2" t="s">
        <v>4679</v>
      </c>
    </row>
    <row r="3014" spans="1:4" x14ac:dyDescent="0.25">
      <c r="A3014" s="2" t="s">
        <v>7409</v>
      </c>
      <c r="B3014" s="2" t="s">
        <v>2921</v>
      </c>
      <c r="C3014" s="2" t="str">
        <f t="shared" si="47"/>
        <v>TX0127787_001</v>
      </c>
      <c r="D3014" s="2" t="s">
        <v>4680</v>
      </c>
    </row>
    <row r="3015" spans="1:4" x14ac:dyDescent="0.25">
      <c r="A3015" s="2" t="s">
        <v>7410</v>
      </c>
      <c r="B3015" s="2" t="s">
        <v>2921</v>
      </c>
      <c r="C3015" s="2" t="str">
        <f t="shared" si="47"/>
        <v>TX0127795_001</v>
      </c>
      <c r="D3015" s="2" t="s">
        <v>4681</v>
      </c>
    </row>
    <row r="3016" spans="1:4" x14ac:dyDescent="0.25">
      <c r="A3016" s="2" t="s">
        <v>7411</v>
      </c>
      <c r="B3016" s="2" t="s">
        <v>2921</v>
      </c>
      <c r="C3016" s="2" t="str">
        <f t="shared" si="47"/>
        <v>TX0127809_001</v>
      </c>
      <c r="D3016" s="2" t="s">
        <v>4508</v>
      </c>
    </row>
    <row r="3017" spans="1:4" x14ac:dyDescent="0.25">
      <c r="A3017" s="2" t="s">
        <v>7412</v>
      </c>
      <c r="B3017" s="2" t="s">
        <v>2921</v>
      </c>
      <c r="C3017" s="2" t="str">
        <f t="shared" si="47"/>
        <v>TX0127817_001</v>
      </c>
      <c r="D3017" s="2" t="s">
        <v>3158</v>
      </c>
    </row>
    <row r="3018" spans="1:4" x14ac:dyDescent="0.25">
      <c r="A3018" s="2" t="s">
        <v>7413</v>
      </c>
      <c r="B3018" s="2" t="s">
        <v>2921</v>
      </c>
      <c r="C3018" s="2" t="str">
        <f t="shared" si="47"/>
        <v>TX0127833_001</v>
      </c>
      <c r="D3018" s="2" t="s">
        <v>4682</v>
      </c>
    </row>
    <row r="3019" spans="1:4" x14ac:dyDescent="0.25">
      <c r="A3019" s="2" t="s">
        <v>7414</v>
      </c>
      <c r="B3019" s="2" t="s">
        <v>2921</v>
      </c>
      <c r="C3019" s="2" t="str">
        <f t="shared" si="47"/>
        <v>TX0127850_001</v>
      </c>
      <c r="D3019" s="2" t="s">
        <v>4683</v>
      </c>
    </row>
    <row r="3020" spans="1:4" x14ac:dyDescent="0.25">
      <c r="A3020" s="2" t="s">
        <v>7415</v>
      </c>
      <c r="B3020" s="2" t="s">
        <v>2921</v>
      </c>
      <c r="C3020" s="2" t="str">
        <f t="shared" si="47"/>
        <v>TX0127868_001</v>
      </c>
      <c r="D3020" s="2" t="s">
        <v>4684</v>
      </c>
    </row>
    <row r="3021" spans="1:4" x14ac:dyDescent="0.25">
      <c r="A3021" s="2" t="s">
        <v>7416</v>
      </c>
      <c r="B3021" s="2" t="s">
        <v>2921</v>
      </c>
      <c r="C3021" s="2" t="str">
        <f t="shared" si="47"/>
        <v>TX0127876_001</v>
      </c>
      <c r="D3021" s="2" t="s">
        <v>4495</v>
      </c>
    </row>
    <row r="3022" spans="1:4" x14ac:dyDescent="0.25">
      <c r="A3022" s="2" t="s">
        <v>7417</v>
      </c>
      <c r="B3022" s="2" t="s">
        <v>2921</v>
      </c>
      <c r="C3022" s="2" t="str">
        <f t="shared" si="47"/>
        <v>TX0127884_001</v>
      </c>
      <c r="D3022" s="2" t="s">
        <v>4685</v>
      </c>
    </row>
    <row r="3023" spans="1:4" x14ac:dyDescent="0.25">
      <c r="A3023" s="2" t="s">
        <v>7418</v>
      </c>
      <c r="B3023" s="2" t="s">
        <v>2921</v>
      </c>
      <c r="C3023" s="2" t="str">
        <f t="shared" si="47"/>
        <v>TX0127892_001</v>
      </c>
      <c r="D3023" s="2" t="s">
        <v>4686</v>
      </c>
    </row>
    <row r="3024" spans="1:4" x14ac:dyDescent="0.25">
      <c r="A3024" s="2" t="s">
        <v>7419</v>
      </c>
      <c r="B3024" s="2" t="s">
        <v>2921</v>
      </c>
      <c r="C3024" s="2" t="str">
        <f t="shared" si="47"/>
        <v>TX0127922_001</v>
      </c>
      <c r="D3024" s="2" t="s">
        <v>4687</v>
      </c>
    </row>
    <row r="3025" spans="1:4" x14ac:dyDescent="0.25">
      <c r="A3025" s="2" t="s">
        <v>7420</v>
      </c>
      <c r="B3025" s="2" t="s">
        <v>2921</v>
      </c>
      <c r="C3025" s="2" t="str">
        <f t="shared" si="47"/>
        <v>TX0127931_001</v>
      </c>
      <c r="D3025" s="2" t="s">
        <v>3162</v>
      </c>
    </row>
    <row r="3026" spans="1:4" x14ac:dyDescent="0.25">
      <c r="A3026" s="2" t="s">
        <v>7421</v>
      </c>
      <c r="B3026" s="2" t="s">
        <v>2921</v>
      </c>
      <c r="C3026" s="2" t="str">
        <f t="shared" si="47"/>
        <v>TX0127949_001</v>
      </c>
      <c r="D3026" s="2" t="s">
        <v>4143</v>
      </c>
    </row>
    <row r="3027" spans="1:4" x14ac:dyDescent="0.25">
      <c r="A3027" s="2" t="s">
        <v>7422</v>
      </c>
      <c r="B3027" s="2" t="s">
        <v>2921</v>
      </c>
      <c r="C3027" s="2" t="str">
        <f t="shared" si="47"/>
        <v>TX0127957_001</v>
      </c>
      <c r="D3027" s="2" t="s">
        <v>4688</v>
      </c>
    </row>
    <row r="3028" spans="1:4" x14ac:dyDescent="0.25">
      <c r="A3028" s="2" t="s">
        <v>7423</v>
      </c>
      <c r="B3028" s="2" t="s">
        <v>2921</v>
      </c>
      <c r="C3028" s="2" t="str">
        <f t="shared" si="47"/>
        <v>TX0127965_001</v>
      </c>
      <c r="D3028" s="2" t="s">
        <v>4387</v>
      </c>
    </row>
    <row r="3029" spans="1:4" x14ac:dyDescent="0.25">
      <c r="A3029" s="2" t="s">
        <v>7424</v>
      </c>
      <c r="B3029" s="2" t="s">
        <v>2921</v>
      </c>
      <c r="C3029" s="2" t="str">
        <f t="shared" si="47"/>
        <v>TX0127973_001</v>
      </c>
      <c r="D3029" s="2" t="s">
        <v>4006</v>
      </c>
    </row>
    <row r="3030" spans="1:4" x14ac:dyDescent="0.25">
      <c r="A3030" s="2" t="s">
        <v>7425</v>
      </c>
      <c r="B3030" s="2" t="s">
        <v>2921</v>
      </c>
      <c r="C3030" s="2" t="str">
        <f t="shared" si="47"/>
        <v>TX0127981_001</v>
      </c>
      <c r="D3030" s="2" t="s">
        <v>4689</v>
      </c>
    </row>
    <row r="3031" spans="1:4" x14ac:dyDescent="0.25">
      <c r="A3031" s="2" t="s">
        <v>7426</v>
      </c>
      <c r="B3031" s="2" t="s">
        <v>2921</v>
      </c>
      <c r="C3031" s="2" t="str">
        <f t="shared" si="47"/>
        <v>TX0128007_001</v>
      </c>
      <c r="D3031" s="2" t="s">
        <v>3404</v>
      </c>
    </row>
    <row r="3032" spans="1:4" x14ac:dyDescent="0.25">
      <c r="A3032" s="2" t="s">
        <v>7427</v>
      </c>
      <c r="B3032" s="2" t="s">
        <v>2923</v>
      </c>
      <c r="C3032" s="2" t="str">
        <f t="shared" si="47"/>
        <v>TX0128015_002</v>
      </c>
      <c r="D3032" s="2" t="s">
        <v>4690</v>
      </c>
    </row>
    <row r="3033" spans="1:4" x14ac:dyDescent="0.25">
      <c r="A3033" s="2" t="s">
        <v>7428</v>
      </c>
      <c r="B3033" s="2" t="s">
        <v>2921</v>
      </c>
      <c r="C3033" s="2" t="str">
        <f t="shared" si="47"/>
        <v>TX0128023_001</v>
      </c>
      <c r="D3033" s="2" t="s">
        <v>4691</v>
      </c>
    </row>
    <row r="3034" spans="1:4" x14ac:dyDescent="0.25">
      <c r="A3034" s="2" t="s">
        <v>7429</v>
      </c>
      <c r="B3034" s="2" t="s">
        <v>2921</v>
      </c>
      <c r="C3034" s="2" t="str">
        <f t="shared" si="47"/>
        <v>TX0128031_001</v>
      </c>
      <c r="D3034" s="2" t="s">
        <v>3641</v>
      </c>
    </row>
    <row r="3035" spans="1:4" x14ac:dyDescent="0.25">
      <c r="A3035" s="2" t="s">
        <v>7430</v>
      </c>
      <c r="B3035" s="2" t="s">
        <v>2921</v>
      </c>
      <c r="C3035" s="2" t="str">
        <f t="shared" si="47"/>
        <v>TX0128082_001</v>
      </c>
      <c r="D3035" s="2" t="s">
        <v>4692</v>
      </c>
    </row>
    <row r="3036" spans="1:4" x14ac:dyDescent="0.25">
      <c r="A3036" s="2" t="s">
        <v>7431</v>
      </c>
      <c r="B3036" s="2" t="s">
        <v>2921</v>
      </c>
      <c r="C3036" s="2" t="str">
        <f t="shared" si="47"/>
        <v>TX0128112_001</v>
      </c>
      <c r="D3036" s="2" t="s">
        <v>3451</v>
      </c>
    </row>
    <row r="3037" spans="1:4" x14ac:dyDescent="0.25">
      <c r="A3037" s="2" t="s">
        <v>7431</v>
      </c>
      <c r="B3037" s="2" t="s">
        <v>2923</v>
      </c>
      <c r="C3037" s="2" t="str">
        <f t="shared" si="47"/>
        <v>TX0128112_002</v>
      </c>
      <c r="D3037" s="2" t="s">
        <v>3451</v>
      </c>
    </row>
    <row r="3038" spans="1:4" x14ac:dyDescent="0.25">
      <c r="A3038" s="2" t="s">
        <v>7432</v>
      </c>
      <c r="B3038" s="2" t="s">
        <v>2921</v>
      </c>
      <c r="C3038" s="2" t="str">
        <f t="shared" si="47"/>
        <v>TX0128121_001</v>
      </c>
      <c r="D3038" s="2" t="s">
        <v>4693</v>
      </c>
    </row>
    <row r="3039" spans="1:4" x14ac:dyDescent="0.25">
      <c r="A3039" s="2" t="s">
        <v>7433</v>
      </c>
      <c r="B3039" s="2" t="s">
        <v>2921</v>
      </c>
      <c r="C3039" s="2" t="str">
        <f t="shared" si="47"/>
        <v>TX0128163_001</v>
      </c>
      <c r="D3039" s="2" t="s">
        <v>4694</v>
      </c>
    </row>
    <row r="3040" spans="1:4" x14ac:dyDescent="0.25">
      <c r="A3040" s="2" t="s">
        <v>7434</v>
      </c>
      <c r="B3040" s="2" t="s">
        <v>2921</v>
      </c>
      <c r="C3040" s="2" t="str">
        <f t="shared" si="47"/>
        <v>TX0128171_001</v>
      </c>
      <c r="D3040" s="2" t="s">
        <v>4141</v>
      </c>
    </row>
    <row r="3041" spans="1:4" x14ac:dyDescent="0.25">
      <c r="A3041" s="2" t="s">
        <v>7435</v>
      </c>
      <c r="B3041" s="2" t="s">
        <v>2921</v>
      </c>
      <c r="C3041" s="2" t="str">
        <f t="shared" si="47"/>
        <v>TX0128180_001</v>
      </c>
      <c r="D3041" s="2" t="s">
        <v>4695</v>
      </c>
    </row>
    <row r="3042" spans="1:4" x14ac:dyDescent="0.25">
      <c r="A3042" s="2" t="s">
        <v>7436</v>
      </c>
      <c r="B3042" s="2" t="s">
        <v>2921</v>
      </c>
      <c r="C3042" s="2" t="str">
        <f t="shared" si="47"/>
        <v>TX0128201_001</v>
      </c>
      <c r="D3042" s="2" t="s">
        <v>4696</v>
      </c>
    </row>
    <row r="3043" spans="1:4" x14ac:dyDescent="0.25">
      <c r="A3043" s="2" t="s">
        <v>7437</v>
      </c>
      <c r="B3043" s="2" t="s">
        <v>2921</v>
      </c>
      <c r="C3043" s="2" t="str">
        <f t="shared" si="47"/>
        <v>TX0128210_001</v>
      </c>
      <c r="D3043" s="2" t="s">
        <v>4697</v>
      </c>
    </row>
    <row r="3044" spans="1:4" x14ac:dyDescent="0.25">
      <c r="A3044" s="2" t="s">
        <v>7438</v>
      </c>
      <c r="B3044" s="2" t="s">
        <v>2921</v>
      </c>
      <c r="C3044" s="2" t="str">
        <f t="shared" si="47"/>
        <v>TX0128236_001</v>
      </c>
      <c r="D3044" s="2" t="s">
        <v>4698</v>
      </c>
    </row>
    <row r="3045" spans="1:4" x14ac:dyDescent="0.25">
      <c r="A3045" s="2" t="s">
        <v>7439</v>
      </c>
      <c r="B3045" s="2" t="s">
        <v>2921</v>
      </c>
      <c r="C3045" s="2" t="str">
        <f t="shared" si="47"/>
        <v>TX0128244_001</v>
      </c>
      <c r="D3045" s="2" t="s">
        <v>3110</v>
      </c>
    </row>
    <row r="3046" spans="1:4" x14ac:dyDescent="0.25">
      <c r="A3046" s="2" t="s">
        <v>7440</v>
      </c>
      <c r="B3046" s="2" t="s">
        <v>2921</v>
      </c>
      <c r="C3046" s="2" t="str">
        <f t="shared" si="47"/>
        <v>TX0128261_001</v>
      </c>
      <c r="D3046" s="2" t="s">
        <v>4699</v>
      </c>
    </row>
    <row r="3047" spans="1:4" x14ac:dyDescent="0.25">
      <c r="A3047" s="2" t="s">
        <v>7441</v>
      </c>
      <c r="B3047" s="2" t="s">
        <v>2921</v>
      </c>
      <c r="C3047" s="2" t="str">
        <f t="shared" si="47"/>
        <v>TX0128287_001</v>
      </c>
      <c r="D3047" s="2" t="s">
        <v>4700</v>
      </c>
    </row>
    <row r="3048" spans="1:4" x14ac:dyDescent="0.25">
      <c r="A3048" s="2" t="s">
        <v>7442</v>
      </c>
      <c r="B3048" s="2" t="s">
        <v>2921</v>
      </c>
      <c r="C3048" s="2" t="str">
        <f t="shared" si="47"/>
        <v>TX0128295_001</v>
      </c>
      <c r="D3048" s="2" t="s">
        <v>4701</v>
      </c>
    </row>
    <row r="3049" spans="1:4" x14ac:dyDescent="0.25">
      <c r="A3049" s="2" t="s">
        <v>7443</v>
      </c>
      <c r="B3049" s="2" t="s">
        <v>2921</v>
      </c>
      <c r="C3049" s="2" t="str">
        <f t="shared" si="47"/>
        <v>TX0128325_001</v>
      </c>
      <c r="D3049" s="2" t="s">
        <v>4702</v>
      </c>
    </row>
    <row r="3050" spans="1:4" x14ac:dyDescent="0.25">
      <c r="A3050" s="2" t="s">
        <v>7444</v>
      </c>
      <c r="B3050" s="2" t="s">
        <v>2921</v>
      </c>
      <c r="C3050" s="2" t="str">
        <f t="shared" si="47"/>
        <v>TX0128333_001</v>
      </c>
      <c r="D3050" s="2" t="s">
        <v>4703</v>
      </c>
    </row>
    <row r="3051" spans="1:4" x14ac:dyDescent="0.25">
      <c r="A3051" s="2" t="s">
        <v>7445</v>
      </c>
      <c r="B3051" s="2" t="s">
        <v>2921</v>
      </c>
      <c r="C3051" s="2" t="str">
        <f t="shared" si="47"/>
        <v>TX0128341_001</v>
      </c>
      <c r="D3051" s="2" t="s">
        <v>4704</v>
      </c>
    </row>
    <row r="3052" spans="1:4" x14ac:dyDescent="0.25">
      <c r="A3052" s="2" t="s">
        <v>7446</v>
      </c>
      <c r="B3052" s="2" t="s">
        <v>2921</v>
      </c>
      <c r="C3052" s="2" t="str">
        <f t="shared" si="47"/>
        <v>TX0128350_001</v>
      </c>
      <c r="D3052" s="2" t="s">
        <v>4362</v>
      </c>
    </row>
    <row r="3053" spans="1:4" x14ac:dyDescent="0.25">
      <c r="A3053" s="2" t="s">
        <v>7447</v>
      </c>
      <c r="B3053" s="2" t="s">
        <v>2921</v>
      </c>
      <c r="C3053" s="2" t="str">
        <f t="shared" si="47"/>
        <v>TX0128368_001</v>
      </c>
      <c r="D3053" s="2" t="s">
        <v>4103</v>
      </c>
    </row>
    <row r="3054" spans="1:4" x14ac:dyDescent="0.25">
      <c r="A3054" s="2" t="s">
        <v>7448</v>
      </c>
      <c r="B3054" s="2" t="s">
        <v>2921</v>
      </c>
      <c r="C3054" s="2" t="str">
        <f t="shared" si="47"/>
        <v>TX0128392_001</v>
      </c>
      <c r="D3054" s="2" t="s">
        <v>4705</v>
      </c>
    </row>
    <row r="3055" spans="1:4" x14ac:dyDescent="0.25">
      <c r="A3055" s="2" t="s">
        <v>7449</v>
      </c>
      <c r="B3055" s="2" t="s">
        <v>2921</v>
      </c>
      <c r="C3055" s="2" t="str">
        <f t="shared" si="47"/>
        <v>TX0128406_001</v>
      </c>
      <c r="D3055" s="2" t="s">
        <v>4706</v>
      </c>
    </row>
    <row r="3056" spans="1:4" x14ac:dyDescent="0.25">
      <c r="A3056" s="2" t="s">
        <v>7450</v>
      </c>
      <c r="B3056" s="2" t="s">
        <v>2921</v>
      </c>
      <c r="C3056" s="2" t="str">
        <f t="shared" si="47"/>
        <v>TX0128431_001</v>
      </c>
      <c r="D3056" s="2" t="s">
        <v>4707</v>
      </c>
    </row>
    <row r="3057" spans="1:4" x14ac:dyDescent="0.25">
      <c r="A3057" s="2" t="s">
        <v>7451</v>
      </c>
      <c r="B3057" s="2" t="s">
        <v>2921</v>
      </c>
      <c r="C3057" s="2" t="str">
        <f t="shared" si="47"/>
        <v>TX0128449_001</v>
      </c>
      <c r="D3057" s="2" t="s">
        <v>4674</v>
      </c>
    </row>
    <row r="3058" spans="1:4" x14ac:dyDescent="0.25">
      <c r="A3058" s="2" t="s">
        <v>7452</v>
      </c>
      <c r="B3058" s="2" t="s">
        <v>2921</v>
      </c>
      <c r="C3058" s="2" t="str">
        <f t="shared" si="47"/>
        <v>TX0128457_001</v>
      </c>
      <c r="D3058" s="2" t="s">
        <v>4103</v>
      </c>
    </row>
    <row r="3059" spans="1:4" x14ac:dyDescent="0.25">
      <c r="A3059" s="2" t="s">
        <v>7453</v>
      </c>
      <c r="B3059" s="2" t="s">
        <v>2923</v>
      </c>
      <c r="C3059" s="2" t="str">
        <f t="shared" si="47"/>
        <v>TX0128465_002</v>
      </c>
      <c r="D3059" s="2" t="s">
        <v>4708</v>
      </c>
    </row>
    <row r="3060" spans="1:4" x14ac:dyDescent="0.25">
      <c r="A3060" s="2" t="s">
        <v>7454</v>
      </c>
      <c r="B3060" s="2" t="s">
        <v>2921</v>
      </c>
      <c r="C3060" s="2" t="str">
        <f t="shared" si="47"/>
        <v>TX0128473_001</v>
      </c>
      <c r="D3060" s="2" t="s">
        <v>4709</v>
      </c>
    </row>
    <row r="3061" spans="1:4" x14ac:dyDescent="0.25">
      <c r="A3061" s="2" t="s">
        <v>7455</v>
      </c>
      <c r="B3061" s="2" t="s">
        <v>2921</v>
      </c>
      <c r="C3061" s="2" t="str">
        <f t="shared" si="47"/>
        <v>TX0128481_001</v>
      </c>
      <c r="D3061" s="2" t="s">
        <v>4710</v>
      </c>
    </row>
    <row r="3062" spans="1:4" x14ac:dyDescent="0.25">
      <c r="A3062" s="2" t="s">
        <v>7456</v>
      </c>
      <c r="B3062" s="2" t="s">
        <v>2921</v>
      </c>
      <c r="C3062" s="2" t="str">
        <f t="shared" si="47"/>
        <v>TX0128490_001</v>
      </c>
      <c r="D3062" s="2" t="s">
        <v>4711</v>
      </c>
    </row>
    <row r="3063" spans="1:4" x14ac:dyDescent="0.25">
      <c r="A3063" s="2" t="s">
        <v>7457</v>
      </c>
      <c r="B3063" s="2" t="s">
        <v>2921</v>
      </c>
      <c r="C3063" s="2" t="str">
        <f t="shared" si="47"/>
        <v>TX0128511_001</v>
      </c>
      <c r="D3063" s="2" t="s">
        <v>4712</v>
      </c>
    </row>
    <row r="3064" spans="1:4" x14ac:dyDescent="0.25">
      <c r="A3064" s="2" t="s">
        <v>7458</v>
      </c>
      <c r="B3064" s="2" t="s">
        <v>2921</v>
      </c>
      <c r="C3064" s="2" t="str">
        <f t="shared" si="47"/>
        <v>TX0128538_001</v>
      </c>
      <c r="D3064" s="2" t="s">
        <v>4713</v>
      </c>
    </row>
    <row r="3065" spans="1:4" x14ac:dyDescent="0.25">
      <c r="A3065" s="2" t="s">
        <v>7459</v>
      </c>
      <c r="B3065" s="2" t="s">
        <v>2921</v>
      </c>
      <c r="C3065" s="2" t="str">
        <f t="shared" si="47"/>
        <v>TX0128554_001</v>
      </c>
      <c r="D3065" s="2" t="s">
        <v>3182</v>
      </c>
    </row>
    <row r="3066" spans="1:4" x14ac:dyDescent="0.25">
      <c r="A3066" s="2" t="s">
        <v>7460</v>
      </c>
      <c r="B3066" s="2" t="s">
        <v>2921</v>
      </c>
      <c r="C3066" s="2" t="str">
        <f t="shared" si="47"/>
        <v>TX0128589_001</v>
      </c>
      <c r="D3066" s="2" t="s">
        <v>4310</v>
      </c>
    </row>
    <row r="3067" spans="1:4" x14ac:dyDescent="0.25">
      <c r="A3067" s="2" t="s">
        <v>7461</v>
      </c>
      <c r="B3067" s="2" t="s">
        <v>2921</v>
      </c>
      <c r="C3067" s="2" t="str">
        <f t="shared" si="47"/>
        <v>TX0128597_001</v>
      </c>
      <c r="D3067" s="2" t="s">
        <v>4714</v>
      </c>
    </row>
    <row r="3068" spans="1:4" x14ac:dyDescent="0.25">
      <c r="A3068" s="2" t="s">
        <v>7462</v>
      </c>
      <c r="B3068" s="2" t="s">
        <v>2921</v>
      </c>
      <c r="C3068" s="2" t="str">
        <f t="shared" si="47"/>
        <v>TX0128643_001</v>
      </c>
      <c r="D3068" s="2" t="s">
        <v>4362</v>
      </c>
    </row>
    <row r="3069" spans="1:4" x14ac:dyDescent="0.25">
      <c r="A3069" s="2" t="s">
        <v>7463</v>
      </c>
      <c r="B3069" s="2" t="s">
        <v>2921</v>
      </c>
      <c r="C3069" s="2" t="str">
        <f t="shared" si="47"/>
        <v>TX0128678_001</v>
      </c>
      <c r="D3069" s="2" t="s">
        <v>3899</v>
      </c>
    </row>
    <row r="3070" spans="1:4" x14ac:dyDescent="0.25">
      <c r="A3070" s="2" t="s">
        <v>7464</v>
      </c>
      <c r="B3070" s="2" t="s">
        <v>2921</v>
      </c>
      <c r="C3070" s="2" t="str">
        <f t="shared" si="47"/>
        <v>TX0128686_001</v>
      </c>
      <c r="D3070" s="2" t="s">
        <v>4715</v>
      </c>
    </row>
    <row r="3071" spans="1:4" x14ac:dyDescent="0.25">
      <c r="A3071" s="2" t="s">
        <v>7465</v>
      </c>
      <c r="B3071" s="2" t="s">
        <v>2921</v>
      </c>
      <c r="C3071" s="2" t="str">
        <f t="shared" si="47"/>
        <v>TX0128708_001</v>
      </c>
      <c r="D3071" s="2" t="s">
        <v>4716</v>
      </c>
    </row>
    <row r="3072" spans="1:4" x14ac:dyDescent="0.25">
      <c r="A3072" s="2" t="s">
        <v>7466</v>
      </c>
      <c r="B3072" s="2" t="s">
        <v>2921</v>
      </c>
      <c r="C3072" s="2" t="str">
        <f t="shared" si="47"/>
        <v>TX0128724_001</v>
      </c>
      <c r="D3072" s="2" t="s">
        <v>4717</v>
      </c>
    </row>
    <row r="3073" spans="1:4" x14ac:dyDescent="0.25">
      <c r="A3073" s="2" t="s">
        <v>7467</v>
      </c>
      <c r="B3073" s="2" t="s">
        <v>2921</v>
      </c>
      <c r="C3073" s="2" t="str">
        <f t="shared" si="47"/>
        <v>TX0128741_001</v>
      </c>
      <c r="D3073" s="2" t="s">
        <v>4718</v>
      </c>
    </row>
    <row r="3074" spans="1:4" x14ac:dyDescent="0.25">
      <c r="A3074" s="2" t="s">
        <v>7468</v>
      </c>
      <c r="B3074" s="2" t="s">
        <v>2921</v>
      </c>
      <c r="C3074" s="2" t="str">
        <f t="shared" si="47"/>
        <v>TX0128767_001</v>
      </c>
      <c r="D3074" s="2" t="s">
        <v>4719</v>
      </c>
    </row>
    <row r="3075" spans="1:4" x14ac:dyDescent="0.25">
      <c r="A3075" s="2" t="s">
        <v>7469</v>
      </c>
      <c r="B3075" s="2" t="s">
        <v>2921</v>
      </c>
      <c r="C3075" s="2" t="str">
        <f t="shared" ref="C3075:C3138" si="48">A3075 &amp; "_" &amp; B3075</f>
        <v>TX0128783_001</v>
      </c>
      <c r="D3075" s="2" t="s">
        <v>4720</v>
      </c>
    </row>
    <row r="3076" spans="1:4" x14ac:dyDescent="0.25">
      <c r="A3076" s="2" t="s">
        <v>7470</v>
      </c>
      <c r="B3076" s="2" t="s">
        <v>2921</v>
      </c>
      <c r="C3076" s="2" t="str">
        <f t="shared" si="48"/>
        <v>TX0128791_001</v>
      </c>
      <c r="D3076" s="2" t="s">
        <v>4721</v>
      </c>
    </row>
    <row r="3077" spans="1:4" x14ac:dyDescent="0.25">
      <c r="A3077" s="2" t="s">
        <v>7471</v>
      </c>
      <c r="B3077" s="2" t="s">
        <v>2921</v>
      </c>
      <c r="C3077" s="2" t="str">
        <f t="shared" si="48"/>
        <v>TX0128813_001</v>
      </c>
      <c r="D3077" s="2" t="s">
        <v>4722</v>
      </c>
    </row>
    <row r="3078" spans="1:4" x14ac:dyDescent="0.25">
      <c r="A3078" s="2" t="s">
        <v>7472</v>
      </c>
      <c r="B3078" s="2" t="s">
        <v>2921</v>
      </c>
      <c r="C3078" s="2" t="str">
        <f t="shared" si="48"/>
        <v>TX0128830_001</v>
      </c>
      <c r="D3078" s="2" t="s">
        <v>4723</v>
      </c>
    </row>
    <row r="3079" spans="1:4" x14ac:dyDescent="0.25">
      <c r="A3079" s="2" t="s">
        <v>7473</v>
      </c>
      <c r="B3079" s="2" t="s">
        <v>2921</v>
      </c>
      <c r="C3079" s="2" t="str">
        <f t="shared" si="48"/>
        <v>TX0128856_001</v>
      </c>
      <c r="D3079" s="2" t="s">
        <v>4724</v>
      </c>
    </row>
    <row r="3080" spans="1:4" x14ac:dyDescent="0.25">
      <c r="A3080" s="2" t="s">
        <v>7474</v>
      </c>
      <c r="B3080" s="2" t="s">
        <v>2921</v>
      </c>
      <c r="C3080" s="2" t="str">
        <f t="shared" si="48"/>
        <v>TX0128864_001</v>
      </c>
      <c r="D3080" s="2" t="s">
        <v>3909</v>
      </c>
    </row>
    <row r="3081" spans="1:4" x14ac:dyDescent="0.25">
      <c r="A3081" s="2" t="s">
        <v>7475</v>
      </c>
      <c r="B3081" s="2" t="s">
        <v>2921</v>
      </c>
      <c r="C3081" s="2" t="str">
        <f t="shared" si="48"/>
        <v>TX0128945_001</v>
      </c>
      <c r="D3081" s="2" t="s">
        <v>4725</v>
      </c>
    </row>
    <row r="3082" spans="1:4" x14ac:dyDescent="0.25">
      <c r="A3082" s="2" t="s">
        <v>7476</v>
      </c>
      <c r="B3082" s="2" t="s">
        <v>2921</v>
      </c>
      <c r="C3082" s="2" t="str">
        <f t="shared" si="48"/>
        <v>TX0128970_001</v>
      </c>
      <c r="D3082" s="2" t="s">
        <v>4726</v>
      </c>
    </row>
    <row r="3083" spans="1:4" x14ac:dyDescent="0.25">
      <c r="A3083" s="2" t="s">
        <v>7477</v>
      </c>
      <c r="B3083" s="2" t="s">
        <v>2921</v>
      </c>
      <c r="C3083" s="2" t="str">
        <f t="shared" si="48"/>
        <v>TX0128988_001</v>
      </c>
      <c r="D3083" s="2" t="s">
        <v>3109</v>
      </c>
    </row>
    <row r="3084" spans="1:4" x14ac:dyDescent="0.25">
      <c r="A3084" s="2" t="s">
        <v>7478</v>
      </c>
      <c r="B3084" s="2" t="s">
        <v>2921</v>
      </c>
      <c r="C3084" s="2" t="str">
        <f t="shared" si="48"/>
        <v>TX0128996_001</v>
      </c>
      <c r="D3084" s="2" t="s">
        <v>4727</v>
      </c>
    </row>
    <row r="3085" spans="1:4" x14ac:dyDescent="0.25">
      <c r="A3085" s="2" t="s">
        <v>7479</v>
      </c>
      <c r="B3085" s="2" t="s">
        <v>2921</v>
      </c>
      <c r="C3085" s="2" t="str">
        <f t="shared" si="48"/>
        <v>TX0129011_001</v>
      </c>
      <c r="D3085" s="2" t="s">
        <v>4728</v>
      </c>
    </row>
    <row r="3086" spans="1:4" x14ac:dyDescent="0.25">
      <c r="A3086" s="2" t="s">
        <v>7480</v>
      </c>
      <c r="B3086" s="2" t="s">
        <v>2921</v>
      </c>
      <c r="C3086" s="2" t="str">
        <f t="shared" si="48"/>
        <v>TX0129038_001</v>
      </c>
      <c r="D3086" s="2" t="s">
        <v>4729</v>
      </c>
    </row>
    <row r="3087" spans="1:4" x14ac:dyDescent="0.25">
      <c r="A3087" s="2" t="s">
        <v>7481</v>
      </c>
      <c r="B3087" s="2" t="s">
        <v>2921</v>
      </c>
      <c r="C3087" s="2" t="str">
        <f t="shared" si="48"/>
        <v>TX0129062_001</v>
      </c>
      <c r="D3087" s="2" t="s">
        <v>3991</v>
      </c>
    </row>
    <row r="3088" spans="1:4" x14ac:dyDescent="0.25">
      <c r="A3088" s="2" t="s">
        <v>7482</v>
      </c>
      <c r="B3088" s="2" t="s">
        <v>2921</v>
      </c>
      <c r="C3088" s="2" t="str">
        <f t="shared" si="48"/>
        <v>TX0129071_001</v>
      </c>
      <c r="D3088" s="2" t="s">
        <v>4730</v>
      </c>
    </row>
    <row r="3089" spans="1:4" x14ac:dyDescent="0.25">
      <c r="A3089" s="2" t="s">
        <v>7483</v>
      </c>
      <c r="B3089" s="2" t="s">
        <v>2921</v>
      </c>
      <c r="C3089" s="2" t="str">
        <f t="shared" si="48"/>
        <v>TX0129089_001</v>
      </c>
      <c r="D3089" s="2" t="s">
        <v>4731</v>
      </c>
    </row>
    <row r="3090" spans="1:4" x14ac:dyDescent="0.25">
      <c r="A3090" s="2" t="s">
        <v>7484</v>
      </c>
      <c r="B3090" s="2" t="s">
        <v>2921</v>
      </c>
      <c r="C3090" s="2" t="str">
        <f t="shared" si="48"/>
        <v>TX0129119_001</v>
      </c>
      <c r="D3090" s="2" t="s">
        <v>4732</v>
      </c>
    </row>
    <row r="3091" spans="1:4" x14ac:dyDescent="0.25">
      <c r="A3091" s="2" t="s">
        <v>7485</v>
      </c>
      <c r="B3091" s="2" t="s">
        <v>2921</v>
      </c>
      <c r="C3091" s="2" t="str">
        <f t="shared" si="48"/>
        <v>TX0129127_001</v>
      </c>
      <c r="D3091" s="2" t="s">
        <v>4733</v>
      </c>
    </row>
    <row r="3092" spans="1:4" x14ac:dyDescent="0.25">
      <c r="A3092" s="2" t="s">
        <v>7486</v>
      </c>
      <c r="B3092" s="2" t="s">
        <v>2921</v>
      </c>
      <c r="C3092" s="2" t="str">
        <f t="shared" si="48"/>
        <v>TX0129160_001</v>
      </c>
      <c r="D3092" s="2" t="s">
        <v>4103</v>
      </c>
    </row>
    <row r="3093" spans="1:4" x14ac:dyDescent="0.25">
      <c r="A3093" s="2" t="s">
        <v>7487</v>
      </c>
      <c r="B3093" s="2" t="s">
        <v>2921</v>
      </c>
      <c r="C3093" s="2" t="str">
        <f t="shared" si="48"/>
        <v>TX0129178_001</v>
      </c>
      <c r="D3093" s="2" t="s">
        <v>4734</v>
      </c>
    </row>
    <row r="3094" spans="1:4" x14ac:dyDescent="0.25">
      <c r="A3094" s="2" t="s">
        <v>7488</v>
      </c>
      <c r="B3094" s="2" t="s">
        <v>2921</v>
      </c>
      <c r="C3094" s="2" t="str">
        <f t="shared" si="48"/>
        <v>TX0129186_001</v>
      </c>
      <c r="D3094" s="2" t="s">
        <v>4735</v>
      </c>
    </row>
    <row r="3095" spans="1:4" x14ac:dyDescent="0.25">
      <c r="A3095" s="2" t="s">
        <v>7489</v>
      </c>
      <c r="B3095" s="2" t="s">
        <v>2921</v>
      </c>
      <c r="C3095" s="2" t="str">
        <f t="shared" si="48"/>
        <v>TX0129194_001</v>
      </c>
      <c r="D3095" s="2" t="s">
        <v>4736</v>
      </c>
    </row>
    <row r="3096" spans="1:4" x14ac:dyDescent="0.25">
      <c r="A3096" s="2" t="s">
        <v>7490</v>
      </c>
      <c r="B3096" s="2" t="s">
        <v>2921</v>
      </c>
      <c r="C3096" s="2" t="str">
        <f t="shared" si="48"/>
        <v>TX0129216_001</v>
      </c>
      <c r="D3096" s="2" t="s">
        <v>4737</v>
      </c>
    </row>
    <row r="3097" spans="1:4" x14ac:dyDescent="0.25">
      <c r="A3097" s="2" t="s">
        <v>7491</v>
      </c>
      <c r="B3097" s="2" t="s">
        <v>2921</v>
      </c>
      <c r="C3097" s="2" t="str">
        <f t="shared" si="48"/>
        <v>TX0129224_001</v>
      </c>
      <c r="D3097" s="2" t="s">
        <v>3385</v>
      </c>
    </row>
    <row r="3098" spans="1:4" x14ac:dyDescent="0.25">
      <c r="A3098" s="2" t="s">
        <v>7492</v>
      </c>
      <c r="B3098" s="2" t="s">
        <v>2921</v>
      </c>
      <c r="C3098" s="2" t="str">
        <f t="shared" si="48"/>
        <v>TX0129241_001</v>
      </c>
      <c r="D3098" s="2" t="s">
        <v>4191</v>
      </c>
    </row>
    <row r="3099" spans="1:4" x14ac:dyDescent="0.25">
      <c r="A3099" s="2" t="s">
        <v>7493</v>
      </c>
      <c r="B3099" s="2" t="s">
        <v>2921</v>
      </c>
      <c r="C3099" s="2" t="str">
        <f t="shared" si="48"/>
        <v>TX0129267_001</v>
      </c>
      <c r="D3099" s="2" t="s">
        <v>4203</v>
      </c>
    </row>
    <row r="3100" spans="1:4" x14ac:dyDescent="0.25">
      <c r="A3100" s="2" t="s">
        <v>7494</v>
      </c>
      <c r="B3100" s="2" t="s">
        <v>2921</v>
      </c>
      <c r="C3100" s="2" t="str">
        <f t="shared" si="48"/>
        <v>TX0129305_001</v>
      </c>
      <c r="D3100" s="2" t="s">
        <v>3899</v>
      </c>
    </row>
    <row r="3101" spans="1:4" x14ac:dyDescent="0.25">
      <c r="A3101" s="2" t="s">
        <v>7495</v>
      </c>
      <c r="B3101" s="2" t="s">
        <v>2921</v>
      </c>
      <c r="C3101" s="2" t="str">
        <f t="shared" si="48"/>
        <v>TX0129313_001</v>
      </c>
      <c r="D3101" s="2" t="s">
        <v>4738</v>
      </c>
    </row>
    <row r="3102" spans="1:4" x14ac:dyDescent="0.25">
      <c r="A3102" s="2" t="s">
        <v>7496</v>
      </c>
      <c r="B3102" s="2" t="s">
        <v>2921</v>
      </c>
      <c r="C3102" s="2" t="str">
        <f t="shared" si="48"/>
        <v>TX0129321_001</v>
      </c>
      <c r="D3102" s="2" t="s">
        <v>4739</v>
      </c>
    </row>
    <row r="3103" spans="1:4" x14ac:dyDescent="0.25">
      <c r="A3103" s="2" t="s">
        <v>7497</v>
      </c>
      <c r="B3103" s="2" t="s">
        <v>2921</v>
      </c>
      <c r="C3103" s="2" t="str">
        <f t="shared" si="48"/>
        <v>TX0129330_001</v>
      </c>
      <c r="D3103" s="2" t="s">
        <v>4740</v>
      </c>
    </row>
    <row r="3104" spans="1:4" x14ac:dyDescent="0.25">
      <c r="A3104" s="2" t="s">
        <v>7498</v>
      </c>
      <c r="B3104" s="2" t="s">
        <v>2921</v>
      </c>
      <c r="C3104" s="2" t="str">
        <f t="shared" si="48"/>
        <v>TX0129348_001</v>
      </c>
      <c r="D3104" s="2" t="s">
        <v>4741</v>
      </c>
    </row>
    <row r="3105" spans="1:4" x14ac:dyDescent="0.25">
      <c r="A3105" s="2" t="s">
        <v>7499</v>
      </c>
      <c r="B3105" s="2" t="s">
        <v>2921</v>
      </c>
      <c r="C3105" s="2" t="str">
        <f t="shared" si="48"/>
        <v>TX0129364_001</v>
      </c>
      <c r="D3105" s="2" t="s">
        <v>4742</v>
      </c>
    </row>
    <row r="3106" spans="1:4" x14ac:dyDescent="0.25">
      <c r="A3106" s="2" t="s">
        <v>7500</v>
      </c>
      <c r="B3106" s="2" t="s">
        <v>2921</v>
      </c>
      <c r="C3106" s="2" t="str">
        <f t="shared" si="48"/>
        <v>TX0129381_001</v>
      </c>
      <c r="D3106" s="2" t="s">
        <v>4743</v>
      </c>
    </row>
    <row r="3107" spans="1:4" x14ac:dyDescent="0.25">
      <c r="A3107" s="2" t="s">
        <v>7501</v>
      </c>
      <c r="B3107" s="2" t="s">
        <v>2921</v>
      </c>
      <c r="C3107" s="2" t="str">
        <f t="shared" si="48"/>
        <v>TX0129399_001</v>
      </c>
      <c r="D3107" s="2" t="s">
        <v>4744</v>
      </c>
    </row>
    <row r="3108" spans="1:4" x14ac:dyDescent="0.25">
      <c r="A3108" s="2" t="s">
        <v>7502</v>
      </c>
      <c r="B3108" s="2" t="s">
        <v>2921</v>
      </c>
      <c r="C3108" s="2" t="str">
        <f t="shared" si="48"/>
        <v>TX0129402_001</v>
      </c>
      <c r="D3108" s="2" t="s">
        <v>3880</v>
      </c>
    </row>
    <row r="3109" spans="1:4" x14ac:dyDescent="0.25">
      <c r="A3109" s="2" t="s">
        <v>7503</v>
      </c>
      <c r="B3109" s="2" t="s">
        <v>2946</v>
      </c>
      <c r="C3109" s="2" t="str">
        <f t="shared" si="48"/>
        <v>TX0129411_008</v>
      </c>
      <c r="D3109" s="2" t="s">
        <v>4745</v>
      </c>
    </row>
    <row r="3110" spans="1:4" x14ac:dyDescent="0.25">
      <c r="A3110" s="2" t="s">
        <v>7503</v>
      </c>
      <c r="B3110" s="2" t="s">
        <v>2921</v>
      </c>
      <c r="C3110" s="2" t="str">
        <f t="shared" si="48"/>
        <v>TX0129411_001</v>
      </c>
      <c r="D3110" s="2" t="s">
        <v>4745</v>
      </c>
    </row>
    <row r="3111" spans="1:4" x14ac:dyDescent="0.25">
      <c r="A3111" s="2" t="s">
        <v>7503</v>
      </c>
      <c r="B3111" s="2" t="s">
        <v>2923</v>
      </c>
      <c r="C3111" s="2" t="str">
        <f t="shared" si="48"/>
        <v>TX0129411_002</v>
      </c>
      <c r="D3111" s="2" t="s">
        <v>4746</v>
      </c>
    </row>
    <row r="3112" spans="1:4" x14ac:dyDescent="0.25">
      <c r="A3112" s="2" t="s">
        <v>7503</v>
      </c>
      <c r="B3112" s="2" t="s">
        <v>2924</v>
      </c>
      <c r="C3112" s="2" t="str">
        <f t="shared" si="48"/>
        <v>TX0129411_003</v>
      </c>
      <c r="D3112" s="2" t="s">
        <v>4745</v>
      </c>
    </row>
    <row r="3113" spans="1:4" x14ac:dyDescent="0.25">
      <c r="A3113" s="2" t="s">
        <v>7503</v>
      </c>
      <c r="B3113" s="2" t="s">
        <v>2936</v>
      </c>
      <c r="C3113" s="2" t="str">
        <f t="shared" si="48"/>
        <v>TX0129411_004</v>
      </c>
      <c r="D3113" s="2" t="s">
        <v>4745</v>
      </c>
    </row>
    <row r="3114" spans="1:4" x14ac:dyDescent="0.25">
      <c r="A3114" s="2" t="s">
        <v>7503</v>
      </c>
      <c r="B3114" s="2" t="s">
        <v>2934</v>
      </c>
      <c r="C3114" s="2" t="str">
        <f t="shared" si="48"/>
        <v>TX0129411_005</v>
      </c>
      <c r="D3114" s="2" t="s">
        <v>4745</v>
      </c>
    </row>
    <row r="3115" spans="1:4" x14ac:dyDescent="0.25">
      <c r="A3115" s="2" t="s">
        <v>7503</v>
      </c>
      <c r="B3115" s="2" t="s">
        <v>2940</v>
      </c>
      <c r="C3115" s="2" t="str">
        <f t="shared" si="48"/>
        <v>TX0129411_006</v>
      </c>
      <c r="D3115" s="2" t="s">
        <v>4745</v>
      </c>
    </row>
    <row r="3116" spans="1:4" x14ac:dyDescent="0.25">
      <c r="A3116" s="2" t="s">
        <v>7503</v>
      </c>
      <c r="B3116" s="2" t="s">
        <v>2959</v>
      </c>
      <c r="C3116" s="2" t="str">
        <f t="shared" si="48"/>
        <v>TX0129411_007</v>
      </c>
      <c r="D3116" s="2" t="s">
        <v>4745</v>
      </c>
    </row>
    <row r="3117" spans="1:4" x14ac:dyDescent="0.25">
      <c r="A3117" s="2" t="s">
        <v>7504</v>
      </c>
      <c r="B3117" s="2" t="s">
        <v>2921</v>
      </c>
      <c r="C3117" s="2" t="str">
        <f t="shared" si="48"/>
        <v>TX0129429_001</v>
      </c>
      <c r="D3117" s="2" t="s">
        <v>4747</v>
      </c>
    </row>
    <row r="3118" spans="1:4" x14ac:dyDescent="0.25">
      <c r="A3118" s="2" t="s">
        <v>7505</v>
      </c>
      <c r="B3118" s="2" t="s">
        <v>2921</v>
      </c>
      <c r="C3118" s="2" t="str">
        <f t="shared" si="48"/>
        <v>TX0129437_001</v>
      </c>
      <c r="D3118" s="2" t="s">
        <v>4748</v>
      </c>
    </row>
    <row r="3119" spans="1:4" x14ac:dyDescent="0.25">
      <c r="A3119" s="2" t="s">
        <v>7506</v>
      </c>
      <c r="B3119" s="2" t="s">
        <v>2921</v>
      </c>
      <c r="C3119" s="2" t="str">
        <f t="shared" si="48"/>
        <v>TX0129453_001</v>
      </c>
      <c r="D3119" s="2" t="s">
        <v>4749</v>
      </c>
    </row>
    <row r="3120" spans="1:4" x14ac:dyDescent="0.25">
      <c r="A3120" s="2" t="s">
        <v>7507</v>
      </c>
      <c r="B3120" s="2" t="s">
        <v>2921</v>
      </c>
      <c r="C3120" s="2" t="str">
        <f t="shared" si="48"/>
        <v>TX0129470_001</v>
      </c>
      <c r="D3120" s="2" t="s">
        <v>4750</v>
      </c>
    </row>
    <row r="3121" spans="1:4" x14ac:dyDescent="0.25">
      <c r="A3121" s="2" t="s">
        <v>7508</v>
      </c>
      <c r="B3121" s="2" t="s">
        <v>2921</v>
      </c>
      <c r="C3121" s="2" t="str">
        <f t="shared" si="48"/>
        <v>TX0129488_001</v>
      </c>
      <c r="D3121" s="2" t="s">
        <v>3069</v>
      </c>
    </row>
    <row r="3122" spans="1:4" x14ac:dyDescent="0.25">
      <c r="A3122" s="2" t="s">
        <v>7509</v>
      </c>
      <c r="B3122" s="2" t="s">
        <v>2921</v>
      </c>
      <c r="C3122" s="2" t="str">
        <f t="shared" si="48"/>
        <v>TX0129518_001</v>
      </c>
      <c r="D3122" s="2" t="s">
        <v>4751</v>
      </c>
    </row>
    <row r="3123" spans="1:4" x14ac:dyDescent="0.25">
      <c r="A3123" s="2" t="s">
        <v>7510</v>
      </c>
      <c r="B3123" s="2" t="s">
        <v>2921</v>
      </c>
      <c r="C3123" s="2" t="str">
        <f t="shared" si="48"/>
        <v>TX0129526_001</v>
      </c>
      <c r="D3123" s="2" t="s">
        <v>4752</v>
      </c>
    </row>
    <row r="3124" spans="1:4" x14ac:dyDescent="0.25">
      <c r="A3124" s="2" t="s">
        <v>7511</v>
      </c>
      <c r="B3124" s="2" t="s">
        <v>2921</v>
      </c>
      <c r="C3124" s="2" t="str">
        <f t="shared" si="48"/>
        <v>TX0129534_001</v>
      </c>
      <c r="D3124" s="2" t="s">
        <v>4674</v>
      </c>
    </row>
    <row r="3125" spans="1:4" x14ac:dyDescent="0.25">
      <c r="A3125" s="2" t="s">
        <v>7512</v>
      </c>
      <c r="B3125" s="2" t="s">
        <v>2921</v>
      </c>
      <c r="C3125" s="2" t="str">
        <f t="shared" si="48"/>
        <v>TX0129542_001</v>
      </c>
      <c r="D3125" s="2" t="s">
        <v>4753</v>
      </c>
    </row>
    <row r="3126" spans="1:4" x14ac:dyDescent="0.25">
      <c r="A3126" s="2" t="s">
        <v>7513</v>
      </c>
      <c r="B3126" s="2" t="s">
        <v>2921</v>
      </c>
      <c r="C3126" s="2" t="str">
        <f t="shared" si="48"/>
        <v>TX0129577_001</v>
      </c>
      <c r="D3126" s="2" t="s">
        <v>4754</v>
      </c>
    </row>
    <row r="3127" spans="1:4" x14ac:dyDescent="0.25">
      <c r="A3127" s="2" t="s">
        <v>7514</v>
      </c>
      <c r="B3127" s="2" t="s">
        <v>2921</v>
      </c>
      <c r="C3127" s="2" t="str">
        <f t="shared" si="48"/>
        <v>TX0129585_001</v>
      </c>
      <c r="D3127" s="2" t="s">
        <v>4755</v>
      </c>
    </row>
    <row r="3128" spans="1:4" x14ac:dyDescent="0.25">
      <c r="A3128" s="2" t="s">
        <v>7515</v>
      </c>
      <c r="B3128" s="2" t="s">
        <v>2921</v>
      </c>
      <c r="C3128" s="2" t="str">
        <f t="shared" si="48"/>
        <v>TX0129607_001</v>
      </c>
      <c r="D3128" s="2" t="s">
        <v>4756</v>
      </c>
    </row>
    <row r="3129" spans="1:4" x14ac:dyDescent="0.25">
      <c r="A3129" s="2" t="s">
        <v>7516</v>
      </c>
      <c r="B3129" s="2" t="s">
        <v>2921</v>
      </c>
      <c r="C3129" s="2" t="str">
        <f t="shared" si="48"/>
        <v>TX0129623_001</v>
      </c>
      <c r="D3129" s="2" t="s">
        <v>4757</v>
      </c>
    </row>
    <row r="3130" spans="1:4" x14ac:dyDescent="0.25">
      <c r="A3130" s="2" t="s">
        <v>7517</v>
      </c>
      <c r="B3130" s="2" t="s">
        <v>2921</v>
      </c>
      <c r="C3130" s="2" t="str">
        <f t="shared" si="48"/>
        <v>TX0129631_001</v>
      </c>
      <c r="D3130" s="2" t="s">
        <v>4674</v>
      </c>
    </row>
    <row r="3131" spans="1:4" x14ac:dyDescent="0.25">
      <c r="A3131" s="2" t="s">
        <v>7518</v>
      </c>
      <c r="B3131" s="2" t="s">
        <v>2921</v>
      </c>
      <c r="C3131" s="2" t="str">
        <f t="shared" si="48"/>
        <v>TX0129640_001</v>
      </c>
      <c r="D3131" s="2" t="s">
        <v>4758</v>
      </c>
    </row>
    <row r="3132" spans="1:4" x14ac:dyDescent="0.25">
      <c r="A3132" s="2" t="s">
        <v>7519</v>
      </c>
      <c r="B3132" s="2" t="s">
        <v>2921</v>
      </c>
      <c r="C3132" s="2" t="str">
        <f t="shared" si="48"/>
        <v>TX0129666_001</v>
      </c>
      <c r="D3132" s="2" t="s">
        <v>4606</v>
      </c>
    </row>
    <row r="3133" spans="1:4" x14ac:dyDescent="0.25">
      <c r="A3133" s="2" t="s">
        <v>7520</v>
      </c>
      <c r="B3133" s="2" t="s">
        <v>2921</v>
      </c>
      <c r="C3133" s="2" t="str">
        <f t="shared" si="48"/>
        <v>TX0129674_001</v>
      </c>
      <c r="D3133" s="2" t="s">
        <v>4759</v>
      </c>
    </row>
    <row r="3134" spans="1:4" x14ac:dyDescent="0.25">
      <c r="A3134" s="2" t="s">
        <v>7521</v>
      </c>
      <c r="B3134" s="2" t="s">
        <v>2921</v>
      </c>
      <c r="C3134" s="2" t="str">
        <f t="shared" si="48"/>
        <v>TX0129682_001</v>
      </c>
      <c r="D3134" s="2" t="s">
        <v>4760</v>
      </c>
    </row>
    <row r="3135" spans="1:4" x14ac:dyDescent="0.25">
      <c r="A3135" s="2" t="s">
        <v>7522</v>
      </c>
      <c r="B3135" s="2" t="s">
        <v>2921</v>
      </c>
      <c r="C3135" s="2" t="str">
        <f t="shared" si="48"/>
        <v>TX0129691_001</v>
      </c>
      <c r="D3135" s="2" t="s">
        <v>4761</v>
      </c>
    </row>
    <row r="3136" spans="1:4" x14ac:dyDescent="0.25">
      <c r="A3136" s="2" t="s">
        <v>7523</v>
      </c>
      <c r="B3136" s="2" t="s">
        <v>2921</v>
      </c>
      <c r="C3136" s="2" t="str">
        <f t="shared" si="48"/>
        <v>TX0129704_001</v>
      </c>
      <c r="D3136" s="2" t="s">
        <v>4762</v>
      </c>
    </row>
    <row r="3137" spans="1:4" x14ac:dyDescent="0.25">
      <c r="A3137" s="2" t="s">
        <v>7524</v>
      </c>
      <c r="B3137" s="2" t="s">
        <v>2923</v>
      </c>
      <c r="C3137" s="2" t="str">
        <f t="shared" si="48"/>
        <v>TX0129747_002</v>
      </c>
      <c r="D3137" s="2" t="s">
        <v>4763</v>
      </c>
    </row>
    <row r="3138" spans="1:4" x14ac:dyDescent="0.25">
      <c r="A3138" s="2" t="s">
        <v>7525</v>
      </c>
      <c r="B3138" s="2" t="s">
        <v>2921</v>
      </c>
      <c r="C3138" s="2" t="str">
        <f t="shared" si="48"/>
        <v>TX0129771_001</v>
      </c>
      <c r="D3138" s="2" t="s">
        <v>4764</v>
      </c>
    </row>
    <row r="3139" spans="1:4" x14ac:dyDescent="0.25">
      <c r="A3139" s="2" t="s">
        <v>7526</v>
      </c>
      <c r="B3139" s="2" t="s">
        <v>2921</v>
      </c>
      <c r="C3139" s="2" t="str">
        <f t="shared" ref="C3139:C3202" si="49">A3139 &amp; "_" &amp; B3139</f>
        <v>TX0129780_001</v>
      </c>
      <c r="D3139" s="2" t="s">
        <v>4550</v>
      </c>
    </row>
    <row r="3140" spans="1:4" x14ac:dyDescent="0.25">
      <c r="A3140" s="2" t="s">
        <v>7527</v>
      </c>
      <c r="B3140" s="2" t="s">
        <v>2921</v>
      </c>
      <c r="C3140" s="2" t="str">
        <f t="shared" si="49"/>
        <v>TX0129810_001</v>
      </c>
      <c r="D3140" s="2" t="s">
        <v>4765</v>
      </c>
    </row>
    <row r="3141" spans="1:4" x14ac:dyDescent="0.25">
      <c r="A3141" s="2" t="s">
        <v>7528</v>
      </c>
      <c r="B3141" s="2" t="s">
        <v>2921</v>
      </c>
      <c r="C3141" s="2" t="str">
        <f t="shared" si="49"/>
        <v>TX0129844_001</v>
      </c>
      <c r="D3141" s="2" t="s">
        <v>4508</v>
      </c>
    </row>
    <row r="3142" spans="1:4" x14ac:dyDescent="0.25">
      <c r="A3142" s="2" t="s">
        <v>7529</v>
      </c>
      <c r="B3142" s="2" t="s">
        <v>2921</v>
      </c>
      <c r="C3142" s="2" t="str">
        <f t="shared" si="49"/>
        <v>TX0129861_001</v>
      </c>
      <c r="D3142" s="2" t="s">
        <v>3257</v>
      </c>
    </row>
    <row r="3143" spans="1:4" x14ac:dyDescent="0.25">
      <c r="A3143" s="2" t="s">
        <v>7530</v>
      </c>
      <c r="B3143" s="2" t="s">
        <v>2921</v>
      </c>
      <c r="C3143" s="2" t="str">
        <f t="shared" si="49"/>
        <v>TX0129879_001</v>
      </c>
      <c r="D3143" s="2" t="s">
        <v>4612</v>
      </c>
    </row>
    <row r="3144" spans="1:4" x14ac:dyDescent="0.25">
      <c r="A3144" s="2" t="s">
        <v>7531</v>
      </c>
      <c r="B3144" s="2" t="s">
        <v>2934</v>
      </c>
      <c r="C3144" s="2" t="str">
        <f t="shared" si="49"/>
        <v>TX0129887_005</v>
      </c>
      <c r="D3144" s="2" t="s">
        <v>4766</v>
      </c>
    </row>
    <row r="3145" spans="1:4" x14ac:dyDescent="0.25">
      <c r="A3145" s="2" t="s">
        <v>7531</v>
      </c>
      <c r="B3145" s="2" t="s">
        <v>2948</v>
      </c>
      <c r="C3145" s="2" t="str">
        <f t="shared" si="49"/>
        <v>TX0129887_011</v>
      </c>
      <c r="D3145" s="2" t="s">
        <v>4766</v>
      </c>
    </row>
    <row r="3146" spans="1:4" x14ac:dyDescent="0.25">
      <c r="A3146" s="2" t="s">
        <v>7531</v>
      </c>
      <c r="B3146" s="2" t="s">
        <v>4767</v>
      </c>
      <c r="C3146" s="2" t="str">
        <f t="shared" si="49"/>
        <v>TX0129887_201</v>
      </c>
      <c r="D3146" s="2" t="s">
        <v>4766</v>
      </c>
    </row>
    <row r="3147" spans="1:4" x14ac:dyDescent="0.25">
      <c r="A3147" s="2" t="s">
        <v>7532</v>
      </c>
      <c r="B3147" s="2" t="s">
        <v>2921</v>
      </c>
      <c r="C3147" s="2" t="str">
        <f t="shared" si="49"/>
        <v>TX0129895_001</v>
      </c>
      <c r="D3147" s="2" t="s">
        <v>4768</v>
      </c>
    </row>
    <row r="3148" spans="1:4" x14ac:dyDescent="0.25">
      <c r="A3148" s="2" t="s">
        <v>7533</v>
      </c>
      <c r="B3148" s="2" t="s">
        <v>2921</v>
      </c>
      <c r="C3148" s="2" t="str">
        <f t="shared" si="49"/>
        <v>TX0129909_001</v>
      </c>
      <c r="D3148" s="2" t="s">
        <v>4769</v>
      </c>
    </row>
    <row r="3149" spans="1:4" x14ac:dyDescent="0.25">
      <c r="A3149" s="2" t="s">
        <v>7534</v>
      </c>
      <c r="B3149" s="2" t="s">
        <v>2921</v>
      </c>
      <c r="C3149" s="2" t="str">
        <f t="shared" si="49"/>
        <v>TX0129917_001</v>
      </c>
      <c r="D3149" s="2" t="s">
        <v>3976</v>
      </c>
    </row>
    <row r="3150" spans="1:4" x14ac:dyDescent="0.25">
      <c r="A3150" s="2" t="s">
        <v>7535</v>
      </c>
      <c r="B3150" s="2" t="s">
        <v>2921</v>
      </c>
      <c r="C3150" s="2" t="str">
        <f t="shared" si="49"/>
        <v>TX0129925_001</v>
      </c>
      <c r="D3150" s="2" t="s">
        <v>4372</v>
      </c>
    </row>
    <row r="3151" spans="1:4" x14ac:dyDescent="0.25">
      <c r="A3151" s="2" t="s">
        <v>7536</v>
      </c>
      <c r="B3151" s="2" t="s">
        <v>2921</v>
      </c>
      <c r="C3151" s="2" t="str">
        <f t="shared" si="49"/>
        <v>TX0129950_001</v>
      </c>
      <c r="D3151" s="2" t="s">
        <v>3509</v>
      </c>
    </row>
    <row r="3152" spans="1:4" x14ac:dyDescent="0.25">
      <c r="A3152" s="2" t="s">
        <v>7537</v>
      </c>
      <c r="B3152" s="2" t="s">
        <v>2921</v>
      </c>
      <c r="C3152" s="2" t="str">
        <f t="shared" si="49"/>
        <v>TX0129968_001</v>
      </c>
      <c r="D3152" s="2" t="s">
        <v>4770</v>
      </c>
    </row>
    <row r="3153" spans="1:4" x14ac:dyDescent="0.25">
      <c r="A3153" s="2" t="s">
        <v>7538</v>
      </c>
      <c r="B3153" s="2" t="s">
        <v>2921</v>
      </c>
      <c r="C3153" s="2" t="str">
        <f t="shared" si="49"/>
        <v>TX0129984_001</v>
      </c>
      <c r="D3153" s="2" t="s">
        <v>4771</v>
      </c>
    </row>
    <row r="3154" spans="1:4" x14ac:dyDescent="0.25">
      <c r="A3154" s="2" t="s">
        <v>7539</v>
      </c>
      <c r="B3154" s="2" t="s">
        <v>2921</v>
      </c>
      <c r="C3154" s="2" t="str">
        <f t="shared" si="49"/>
        <v>TX0129992_001</v>
      </c>
      <c r="D3154" s="2" t="s">
        <v>4772</v>
      </c>
    </row>
    <row r="3155" spans="1:4" x14ac:dyDescent="0.25">
      <c r="A3155" s="2" t="s">
        <v>7540</v>
      </c>
      <c r="B3155" s="2" t="s">
        <v>2921</v>
      </c>
      <c r="C3155" s="2" t="str">
        <f t="shared" si="49"/>
        <v>TX0130028_001</v>
      </c>
      <c r="D3155" s="2" t="s">
        <v>3899</v>
      </c>
    </row>
    <row r="3156" spans="1:4" x14ac:dyDescent="0.25">
      <c r="A3156" s="2" t="s">
        <v>7541</v>
      </c>
      <c r="B3156" s="2" t="s">
        <v>2921</v>
      </c>
      <c r="C3156" s="2" t="str">
        <f t="shared" si="49"/>
        <v>TX0130036_001</v>
      </c>
      <c r="D3156" s="2" t="s">
        <v>3694</v>
      </c>
    </row>
    <row r="3157" spans="1:4" x14ac:dyDescent="0.25">
      <c r="A3157" s="2" t="s">
        <v>7542</v>
      </c>
      <c r="B3157" s="2" t="s">
        <v>2921</v>
      </c>
      <c r="C3157" s="2" t="str">
        <f t="shared" si="49"/>
        <v>TX0130044_001</v>
      </c>
      <c r="D3157" s="2" t="s">
        <v>4773</v>
      </c>
    </row>
    <row r="3158" spans="1:4" x14ac:dyDescent="0.25">
      <c r="A3158" s="2" t="s">
        <v>7543</v>
      </c>
      <c r="B3158" s="2" t="s">
        <v>2921</v>
      </c>
      <c r="C3158" s="2" t="str">
        <f t="shared" si="49"/>
        <v>TX0130052_001</v>
      </c>
      <c r="D3158" s="2" t="s">
        <v>3644</v>
      </c>
    </row>
    <row r="3159" spans="1:4" x14ac:dyDescent="0.25">
      <c r="A3159" s="2" t="s">
        <v>7544</v>
      </c>
      <c r="B3159" s="2" t="s">
        <v>2921</v>
      </c>
      <c r="C3159" s="2" t="str">
        <f t="shared" si="49"/>
        <v>TX0130095_001</v>
      </c>
      <c r="D3159" s="2" t="s">
        <v>4774</v>
      </c>
    </row>
    <row r="3160" spans="1:4" x14ac:dyDescent="0.25">
      <c r="A3160" s="2" t="s">
        <v>7545</v>
      </c>
      <c r="B3160" s="2" t="s">
        <v>2921</v>
      </c>
      <c r="C3160" s="2" t="str">
        <f t="shared" si="49"/>
        <v>TX0130109_001</v>
      </c>
      <c r="D3160" s="2" t="s">
        <v>4775</v>
      </c>
    </row>
    <row r="3161" spans="1:4" x14ac:dyDescent="0.25">
      <c r="A3161" s="2" t="s">
        <v>7545</v>
      </c>
      <c r="B3161" s="2" t="s">
        <v>2923</v>
      </c>
      <c r="C3161" s="2" t="str">
        <f t="shared" si="49"/>
        <v>TX0130109_002</v>
      </c>
      <c r="D3161" s="2" t="s">
        <v>4775</v>
      </c>
    </row>
    <row r="3162" spans="1:4" x14ac:dyDescent="0.25">
      <c r="A3162" s="2" t="s">
        <v>7545</v>
      </c>
      <c r="B3162" s="2" t="s">
        <v>2924</v>
      </c>
      <c r="C3162" s="2" t="str">
        <f t="shared" si="49"/>
        <v>TX0130109_003</v>
      </c>
      <c r="D3162" s="2" t="s">
        <v>4775</v>
      </c>
    </row>
    <row r="3163" spans="1:4" x14ac:dyDescent="0.25">
      <c r="A3163" s="2" t="s">
        <v>7546</v>
      </c>
      <c r="B3163" s="2" t="s">
        <v>2921</v>
      </c>
      <c r="C3163" s="2" t="str">
        <f t="shared" si="49"/>
        <v>TX0130117_001</v>
      </c>
      <c r="D3163" s="2" t="s">
        <v>4776</v>
      </c>
    </row>
    <row r="3164" spans="1:4" x14ac:dyDescent="0.25">
      <c r="A3164" s="2" t="s">
        <v>7547</v>
      </c>
      <c r="B3164" s="2" t="s">
        <v>2921</v>
      </c>
      <c r="C3164" s="2" t="str">
        <f t="shared" si="49"/>
        <v>TX0131351_001</v>
      </c>
      <c r="D3164" s="2" t="s">
        <v>4777</v>
      </c>
    </row>
    <row r="3165" spans="1:4" x14ac:dyDescent="0.25">
      <c r="A3165" s="2" t="s">
        <v>7548</v>
      </c>
      <c r="B3165" s="2" t="s">
        <v>2921</v>
      </c>
      <c r="C3165" s="2" t="str">
        <f t="shared" si="49"/>
        <v>TX0131407_001</v>
      </c>
      <c r="D3165" s="2" t="s">
        <v>4778</v>
      </c>
    </row>
    <row r="3166" spans="1:4" x14ac:dyDescent="0.25">
      <c r="A3166" s="2" t="s">
        <v>7549</v>
      </c>
      <c r="B3166" s="2" t="s">
        <v>2921</v>
      </c>
      <c r="C3166" s="2" t="str">
        <f t="shared" si="49"/>
        <v>TX0131466_001</v>
      </c>
      <c r="D3166" s="2" t="s">
        <v>4779</v>
      </c>
    </row>
    <row r="3167" spans="1:4" x14ac:dyDescent="0.25">
      <c r="A3167" s="2" t="s">
        <v>7550</v>
      </c>
      <c r="B3167" s="2" t="s">
        <v>2921</v>
      </c>
      <c r="C3167" s="2" t="str">
        <f t="shared" si="49"/>
        <v>TX0131482_001</v>
      </c>
      <c r="D3167" s="2" t="s">
        <v>4780</v>
      </c>
    </row>
    <row r="3168" spans="1:4" x14ac:dyDescent="0.25">
      <c r="A3168" s="2" t="s">
        <v>7551</v>
      </c>
      <c r="B3168" s="2" t="s">
        <v>2921</v>
      </c>
      <c r="C3168" s="2" t="str">
        <f t="shared" si="49"/>
        <v>TX0131491_001</v>
      </c>
      <c r="D3168" s="2" t="s">
        <v>4781</v>
      </c>
    </row>
    <row r="3169" spans="1:4" x14ac:dyDescent="0.25">
      <c r="A3169" s="2" t="s">
        <v>7552</v>
      </c>
      <c r="B3169" s="2" t="s">
        <v>4782</v>
      </c>
      <c r="C3169" s="2" t="str">
        <f t="shared" si="49"/>
        <v>TX0131504_001B</v>
      </c>
      <c r="D3169" s="2" t="s">
        <v>4783</v>
      </c>
    </row>
    <row r="3170" spans="1:4" x14ac:dyDescent="0.25">
      <c r="A3170" s="2" t="s">
        <v>7552</v>
      </c>
      <c r="B3170" s="2" t="s">
        <v>2921</v>
      </c>
      <c r="C3170" s="2" t="str">
        <f t="shared" si="49"/>
        <v>TX0131504_001</v>
      </c>
      <c r="D3170" s="2" t="s">
        <v>4783</v>
      </c>
    </row>
    <row r="3171" spans="1:4" x14ac:dyDescent="0.25">
      <c r="A3171" s="2" t="s">
        <v>7553</v>
      </c>
      <c r="B3171" s="2" t="s">
        <v>2921</v>
      </c>
      <c r="C3171" s="2" t="str">
        <f t="shared" si="49"/>
        <v>TX0131539_001</v>
      </c>
      <c r="D3171" s="2" t="s">
        <v>4784</v>
      </c>
    </row>
    <row r="3172" spans="1:4" x14ac:dyDescent="0.25">
      <c r="A3172" s="2" t="s">
        <v>7554</v>
      </c>
      <c r="B3172" s="2" t="s">
        <v>2921</v>
      </c>
      <c r="C3172" s="2" t="str">
        <f t="shared" si="49"/>
        <v>TX0131547_001</v>
      </c>
      <c r="D3172" s="2" t="s">
        <v>4785</v>
      </c>
    </row>
    <row r="3173" spans="1:4" x14ac:dyDescent="0.25">
      <c r="A3173" s="2" t="s">
        <v>7555</v>
      </c>
      <c r="B3173" s="2" t="s">
        <v>2921</v>
      </c>
      <c r="C3173" s="2" t="str">
        <f t="shared" si="49"/>
        <v>TX0131555_001</v>
      </c>
      <c r="D3173" s="2" t="s">
        <v>4786</v>
      </c>
    </row>
    <row r="3174" spans="1:4" x14ac:dyDescent="0.25">
      <c r="A3174" s="2" t="s">
        <v>7556</v>
      </c>
      <c r="B3174" s="2" t="s">
        <v>2921</v>
      </c>
      <c r="C3174" s="2" t="str">
        <f t="shared" si="49"/>
        <v>TX0131598_001</v>
      </c>
      <c r="D3174" s="2" t="s">
        <v>4260</v>
      </c>
    </row>
    <row r="3175" spans="1:4" x14ac:dyDescent="0.25">
      <c r="A3175" s="2" t="s">
        <v>7557</v>
      </c>
      <c r="B3175" s="2" t="s">
        <v>2921</v>
      </c>
      <c r="C3175" s="2" t="str">
        <f t="shared" si="49"/>
        <v>TX0131644_001</v>
      </c>
      <c r="D3175" s="2" t="s">
        <v>4787</v>
      </c>
    </row>
    <row r="3176" spans="1:4" x14ac:dyDescent="0.25">
      <c r="A3176" s="2" t="s">
        <v>7557</v>
      </c>
      <c r="B3176" s="2" t="s">
        <v>2923</v>
      </c>
      <c r="C3176" s="2" t="str">
        <f t="shared" si="49"/>
        <v>TX0131644_002</v>
      </c>
      <c r="D3176" s="2" t="s">
        <v>4787</v>
      </c>
    </row>
    <row r="3177" spans="1:4" x14ac:dyDescent="0.25">
      <c r="A3177" s="2" t="s">
        <v>7558</v>
      </c>
      <c r="B3177" s="2" t="s">
        <v>2921</v>
      </c>
      <c r="C3177" s="2" t="str">
        <f t="shared" si="49"/>
        <v>TX0131741_001</v>
      </c>
      <c r="D3177" s="2" t="s">
        <v>4674</v>
      </c>
    </row>
    <row r="3178" spans="1:4" x14ac:dyDescent="0.25">
      <c r="A3178" s="2" t="s">
        <v>7559</v>
      </c>
      <c r="B3178" s="2" t="s">
        <v>2921</v>
      </c>
      <c r="C3178" s="2" t="str">
        <f t="shared" si="49"/>
        <v>TX0131750_001</v>
      </c>
      <c r="D3178" s="2" t="s">
        <v>4788</v>
      </c>
    </row>
    <row r="3179" spans="1:4" x14ac:dyDescent="0.25">
      <c r="A3179" s="2" t="s">
        <v>7560</v>
      </c>
      <c r="B3179" s="2" t="s">
        <v>2921</v>
      </c>
      <c r="C3179" s="2" t="str">
        <f t="shared" si="49"/>
        <v>TX0131768_001</v>
      </c>
      <c r="D3179" s="2" t="s">
        <v>4233</v>
      </c>
    </row>
    <row r="3180" spans="1:4" x14ac:dyDescent="0.25">
      <c r="A3180" s="2" t="s">
        <v>7561</v>
      </c>
      <c r="B3180" s="2" t="s">
        <v>2921</v>
      </c>
      <c r="C3180" s="2" t="str">
        <f t="shared" si="49"/>
        <v>TX0131776_001</v>
      </c>
      <c r="D3180" s="2" t="s">
        <v>2963</v>
      </c>
    </row>
    <row r="3181" spans="1:4" x14ac:dyDescent="0.25">
      <c r="A3181" s="2" t="s">
        <v>7562</v>
      </c>
      <c r="B3181" s="2" t="s">
        <v>2921</v>
      </c>
      <c r="C3181" s="2" t="str">
        <f t="shared" si="49"/>
        <v>TX0131792_001</v>
      </c>
      <c r="D3181" s="2" t="s">
        <v>3202</v>
      </c>
    </row>
    <row r="3182" spans="1:4" x14ac:dyDescent="0.25">
      <c r="A3182" s="2" t="s">
        <v>7563</v>
      </c>
      <c r="B3182" s="2" t="s">
        <v>2921</v>
      </c>
      <c r="C3182" s="2" t="str">
        <f t="shared" si="49"/>
        <v>TX0131806_001</v>
      </c>
      <c r="D3182" s="2" t="s">
        <v>4789</v>
      </c>
    </row>
    <row r="3183" spans="1:4" x14ac:dyDescent="0.25">
      <c r="A3183" s="2" t="s">
        <v>7564</v>
      </c>
      <c r="B3183" s="2" t="s">
        <v>2921</v>
      </c>
      <c r="C3183" s="2" t="str">
        <f t="shared" si="49"/>
        <v>TX0131831_001</v>
      </c>
      <c r="D3183" s="2" t="s">
        <v>3277</v>
      </c>
    </row>
    <row r="3184" spans="1:4" x14ac:dyDescent="0.25">
      <c r="A3184" s="2" t="s">
        <v>7565</v>
      </c>
      <c r="B3184" s="2" t="s">
        <v>2921</v>
      </c>
      <c r="C3184" s="2" t="str">
        <f t="shared" si="49"/>
        <v>TX0131849_001</v>
      </c>
      <c r="D3184" s="2" t="s">
        <v>4790</v>
      </c>
    </row>
    <row r="3185" spans="1:4" x14ac:dyDescent="0.25">
      <c r="A3185" s="2" t="s">
        <v>7566</v>
      </c>
      <c r="B3185" s="2" t="s">
        <v>2921</v>
      </c>
      <c r="C3185" s="2" t="str">
        <f t="shared" si="49"/>
        <v>TX0131857_001</v>
      </c>
      <c r="D3185" s="2" t="s">
        <v>4791</v>
      </c>
    </row>
    <row r="3186" spans="1:4" x14ac:dyDescent="0.25">
      <c r="A3186" s="2" t="s">
        <v>7567</v>
      </c>
      <c r="B3186" s="2" t="s">
        <v>2921</v>
      </c>
      <c r="C3186" s="2" t="str">
        <f t="shared" si="49"/>
        <v>TX0131903_001</v>
      </c>
      <c r="D3186" s="2" t="s">
        <v>4792</v>
      </c>
    </row>
    <row r="3187" spans="1:4" x14ac:dyDescent="0.25">
      <c r="A3187" s="2" t="s">
        <v>7568</v>
      </c>
      <c r="B3187" s="2" t="s">
        <v>2921</v>
      </c>
      <c r="C3187" s="2" t="str">
        <f t="shared" si="49"/>
        <v>TX0131911_001</v>
      </c>
      <c r="D3187" s="2" t="s">
        <v>4793</v>
      </c>
    </row>
    <row r="3188" spans="1:4" x14ac:dyDescent="0.25">
      <c r="A3188" s="2" t="s">
        <v>7569</v>
      </c>
      <c r="B3188" s="2" t="s">
        <v>2921</v>
      </c>
      <c r="C3188" s="2" t="str">
        <f t="shared" si="49"/>
        <v>TX0131938_001</v>
      </c>
      <c r="D3188" s="2" t="s">
        <v>4794</v>
      </c>
    </row>
    <row r="3189" spans="1:4" x14ac:dyDescent="0.25">
      <c r="A3189" s="2" t="s">
        <v>7570</v>
      </c>
      <c r="B3189" s="2" t="s">
        <v>2921</v>
      </c>
      <c r="C3189" s="2" t="str">
        <f t="shared" si="49"/>
        <v>TX0132004_001</v>
      </c>
      <c r="D3189" s="2" t="s">
        <v>4795</v>
      </c>
    </row>
    <row r="3190" spans="1:4" x14ac:dyDescent="0.25">
      <c r="A3190" s="2" t="s">
        <v>7570</v>
      </c>
      <c r="B3190" s="2" t="s">
        <v>2923</v>
      </c>
      <c r="C3190" s="2" t="str">
        <f t="shared" si="49"/>
        <v>TX0132004_002</v>
      </c>
      <c r="D3190" s="2" t="s">
        <v>4795</v>
      </c>
    </row>
    <row r="3191" spans="1:4" x14ac:dyDescent="0.25">
      <c r="A3191" s="2" t="s">
        <v>7571</v>
      </c>
      <c r="B3191" s="2" t="s">
        <v>2921</v>
      </c>
      <c r="C3191" s="2" t="str">
        <f t="shared" si="49"/>
        <v>TX0132012_001</v>
      </c>
      <c r="D3191" s="2" t="s">
        <v>4796</v>
      </c>
    </row>
    <row r="3192" spans="1:4" x14ac:dyDescent="0.25">
      <c r="A3192" s="2" t="s">
        <v>7572</v>
      </c>
      <c r="B3192" s="2" t="s">
        <v>2921</v>
      </c>
      <c r="C3192" s="2" t="str">
        <f t="shared" si="49"/>
        <v>TX0132039_001</v>
      </c>
      <c r="D3192" s="2" t="s">
        <v>4797</v>
      </c>
    </row>
    <row r="3193" spans="1:4" x14ac:dyDescent="0.25">
      <c r="A3193" s="2" t="s">
        <v>7573</v>
      </c>
      <c r="B3193" s="2" t="s">
        <v>2921</v>
      </c>
      <c r="C3193" s="2" t="str">
        <f t="shared" si="49"/>
        <v>TX0132055_001</v>
      </c>
      <c r="D3193" s="2" t="s">
        <v>4798</v>
      </c>
    </row>
    <row r="3194" spans="1:4" x14ac:dyDescent="0.25">
      <c r="A3194" s="2" t="s">
        <v>7574</v>
      </c>
      <c r="B3194" s="2" t="s">
        <v>2921</v>
      </c>
      <c r="C3194" s="2" t="str">
        <f t="shared" si="49"/>
        <v>TX0132063_001</v>
      </c>
      <c r="D3194" s="2" t="s">
        <v>4799</v>
      </c>
    </row>
    <row r="3195" spans="1:4" x14ac:dyDescent="0.25">
      <c r="A3195" s="2" t="s">
        <v>7575</v>
      </c>
      <c r="B3195" s="2" t="s">
        <v>2921</v>
      </c>
      <c r="C3195" s="2" t="str">
        <f t="shared" si="49"/>
        <v>TX0132071_001</v>
      </c>
      <c r="D3195" s="2" t="s">
        <v>4800</v>
      </c>
    </row>
    <row r="3196" spans="1:4" x14ac:dyDescent="0.25">
      <c r="A3196" s="2" t="s">
        <v>7576</v>
      </c>
      <c r="B3196" s="2" t="s">
        <v>2921</v>
      </c>
      <c r="C3196" s="2" t="str">
        <f t="shared" si="49"/>
        <v>TX0132080_001</v>
      </c>
      <c r="D3196" s="2" t="s">
        <v>4801</v>
      </c>
    </row>
    <row r="3197" spans="1:4" x14ac:dyDescent="0.25">
      <c r="A3197" s="2" t="s">
        <v>7577</v>
      </c>
      <c r="B3197" s="2" t="s">
        <v>2921</v>
      </c>
      <c r="C3197" s="2" t="str">
        <f t="shared" si="49"/>
        <v>TX0132101_001</v>
      </c>
      <c r="D3197" s="2" t="s">
        <v>4802</v>
      </c>
    </row>
    <row r="3198" spans="1:4" x14ac:dyDescent="0.25">
      <c r="A3198" s="2" t="s">
        <v>7578</v>
      </c>
      <c r="B3198" s="2" t="s">
        <v>2921</v>
      </c>
      <c r="C3198" s="2" t="str">
        <f t="shared" si="49"/>
        <v>TX0132128_001</v>
      </c>
      <c r="D3198" s="2" t="s">
        <v>4803</v>
      </c>
    </row>
    <row r="3199" spans="1:4" x14ac:dyDescent="0.25">
      <c r="A3199" s="2" t="s">
        <v>7579</v>
      </c>
      <c r="B3199" s="2" t="s">
        <v>2921</v>
      </c>
      <c r="C3199" s="2" t="str">
        <f t="shared" si="49"/>
        <v>TX0132152_001</v>
      </c>
      <c r="D3199" s="2" t="s">
        <v>4804</v>
      </c>
    </row>
    <row r="3200" spans="1:4" x14ac:dyDescent="0.25">
      <c r="A3200" s="2" t="s">
        <v>7580</v>
      </c>
      <c r="B3200" s="2" t="s">
        <v>2921</v>
      </c>
      <c r="C3200" s="2" t="str">
        <f t="shared" si="49"/>
        <v>TX0132161_001</v>
      </c>
      <c r="D3200" s="2" t="s">
        <v>4805</v>
      </c>
    </row>
    <row r="3201" spans="1:4" x14ac:dyDescent="0.25">
      <c r="A3201" s="2" t="s">
        <v>7581</v>
      </c>
      <c r="B3201" s="2" t="s">
        <v>2921</v>
      </c>
      <c r="C3201" s="2" t="str">
        <f t="shared" si="49"/>
        <v>TX0132179_001</v>
      </c>
      <c r="D3201" s="2" t="s">
        <v>4141</v>
      </c>
    </row>
    <row r="3202" spans="1:4" x14ac:dyDescent="0.25">
      <c r="A3202" s="2" t="s">
        <v>7582</v>
      </c>
      <c r="B3202" s="2" t="s">
        <v>2923</v>
      </c>
      <c r="C3202" s="2" t="str">
        <f t="shared" si="49"/>
        <v>TX0132195_002</v>
      </c>
      <c r="D3202" s="2" t="s">
        <v>4233</v>
      </c>
    </row>
    <row r="3203" spans="1:4" x14ac:dyDescent="0.25">
      <c r="A3203" s="2" t="s">
        <v>7583</v>
      </c>
      <c r="B3203" s="2" t="s">
        <v>2921</v>
      </c>
      <c r="C3203" s="2" t="str">
        <f t="shared" ref="C3203:C3266" si="50">A3203 &amp; "_" &amp; B3203</f>
        <v>TX0132217_001</v>
      </c>
      <c r="D3203" s="2" t="s">
        <v>3896</v>
      </c>
    </row>
    <row r="3204" spans="1:4" x14ac:dyDescent="0.25">
      <c r="A3204" s="2" t="s">
        <v>7584</v>
      </c>
      <c r="B3204" s="2" t="s">
        <v>2921</v>
      </c>
      <c r="C3204" s="2" t="str">
        <f t="shared" si="50"/>
        <v>TX0132225_001</v>
      </c>
      <c r="D3204" s="2" t="s">
        <v>4806</v>
      </c>
    </row>
    <row r="3205" spans="1:4" x14ac:dyDescent="0.25">
      <c r="A3205" s="2" t="s">
        <v>7585</v>
      </c>
      <c r="B3205" s="2" t="s">
        <v>2921</v>
      </c>
      <c r="C3205" s="2" t="str">
        <f t="shared" si="50"/>
        <v>TX0132233_001</v>
      </c>
      <c r="D3205" s="2" t="s">
        <v>3185</v>
      </c>
    </row>
    <row r="3206" spans="1:4" x14ac:dyDescent="0.25">
      <c r="A3206" s="2" t="s">
        <v>7586</v>
      </c>
      <c r="B3206" s="2" t="s">
        <v>2921</v>
      </c>
      <c r="C3206" s="2" t="str">
        <f t="shared" si="50"/>
        <v>TX0132241_001</v>
      </c>
      <c r="D3206" s="2" t="s">
        <v>3752</v>
      </c>
    </row>
    <row r="3207" spans="1:4" x14ac:dyDescent="0.25">
      <c r="A3207" s="2" t="s">
        <v>7587</v>
      </c>
      <c r="B3207" s="2" t="s">
        <v>2921</v>
      </c>
      <c r="C3207" s="2" t="str">
        <f t="shared" si="50"/>
        <v>TX0132276_001</v>
      </c>
      <c r="D3207" s="2" t="s">
        <v>4807</v>
      </c>
    </row>
    <row r="3208" spans="1:4" x14ac:dyDescent="0.25">
      <c r="A3208" s="2" t="s">
        <v>7588</v>
      </c>
      <c r="B3208" s="2" t="s">
        <v>2921</v>
      </c>
      <c r="C3208" s="2" t="str">
        <f t="shared" si="50"/>
        <v>TX0132365_001</v>
      </c>
      <c r="D3208" s="2" t="s">
        <v>4808</v>
      </c>
    </row>
    <row r="3209" spans="1:4" x14ac:dyDescent="0.25">
      <c r="A3209" s="2" t="s">
        <v>7589</v>
      </c>
      <c r="B3209" s="2" t="s">
        <v>2921</v>
      </c>
      <c r="C3209" s="2" t="str">
        <f t="shared" si="50"/>
        <v>TX0132411_001</v>
      </c>
      <c r="D3209" s="2" t="s">
        <v>4809</v>
      </c>
    </row>
    <row r="3210" spans="1:4" x14ac:dyDescent="0.25">
      <c r="A3210" s="2" t="s">
        <v>7590</v>
      </c>
      <c r="B3210" s="2" t="s">
        <v>2921</v>
      </c>
      <c r="C3210" s="2" t="str">
        <f t="shared" si="50"/>
        <v>TX0132438_001</v>
      </c>
      <c r="D3210" s="2" t="s">
        <v>4810</v>
      </c>
    </row>
    <row r="3211" spans="1:4" x14ac:dyDescent="0.25">
      <c r="A3211" s="2" t="s">
        <v>7591</v>
      </c>
      <c r="B3211" s="2" t="s">
        <v>2921</v>
      </c>
      <c r="C3211" s="2" t="str">
        <f t="shared" si="50"/>
        <v>TX0132446_001</v>
      </c>
      <c r="D3211" s="2" t="s">
        <v>4811</v>
      </c>
    </row>
    <row r="3212" spans="1:4" x14ac:dyDescent="0.25">
      <c r="A3212" s="2" t="s">
        <v>7592</v>
      </c>
      <c r="B3212" s="2" t="s">
        <v>2921</v>
      </c>
      <c r="C3212" s="2" t="str">
        <f t="shared" si="50"/>
        <v>TX0132454_001</v>
      </c>
      <c r="D3212" s="2" t="s">
        <v>4812</v>
      </c>
    </row>
    <row r="3213" spans="1:4" x14ac:dyDescent="0.25">
      <c r="A3213" s="2" t="s">
        <v>7593</v>
      </c>
      <c r="B3213" s="2" t="s">
        <v>2921</v>
      </c>
      <c r="C3213" s="2" t="str">
        <f t="shared" si="50"/>
        <v>TX0132471_001</v>
      </c>
      <c r="D3213" s="2" t="s">
        <v>4813</v>
      </c>
    </row>
    <row r="3214" spans="1:4" x14ac:dyDescent="0.25">
      <c r="A3214" s="2" t="s">
        <v>7594</v>
      </c>
      <c r="B3214" s="2" t="s">
        <v>2921</v>
      </c>
      <c r="C3214" s="2" t="str">
        <f t="shared" si="50"/>
        <v>TX0132497_001</v>
      </c>
      <c r="D3214" s="2" t="s">
        <v>4362</v>
      </c>
    </row>
    <row r="3215" spans="1:4" x14ac:dyDescent="0.25">
      <c r="A3215" s="2" t="s">
        <v>7595</v>
      </c>
      <c r="B3215" s="2" t="s">
        <v>2921</v>
      </c>
      <c r="C3215" s="2" t="str">
        <f t="shared" si="50"/>
        <v>TX0132519_001</v>
      </c>
      <c r="D3215" s="2" t="s">
        <v>4814</v>
      </c>
    </row>
    <row r="3216" spans="1:4" x14ac:dyDescent="0.25">
      <c r="A3216" s="2" t="s">
        <v>7596</v>
      </c>
      <c r="B3216" s="2" t="s">
        <v>2921</v>
      </c>
      <c r="C3216" s="2" t="str">
        <f t="shared" si="50"/>
        <v>TX0132543_001</v>
      </c>
      <c r="D3216" s="2" t="s">
        <v>4815</v>
      </c>
    </row>
    <row r="3217" spans="1:4" x14ac:dyDescent="0.25">
      <c r="A3217" s="2" t="s">
        <v>7597</v>
      </c>
      <c r="B3217" s="2" t="s">
        <v>2921</v>
      </c>
      <c r="C3217" s="2" t="str">
        <f t="shared" si="50"/>
        <v>TX0132560_001</v>
      </c>
      <c r="D3217" s="2" t="s">
        <v>4816</v>
      </c>
    </row>
    <row r="3218" spans="1:4" x14ac:dyDescent="0.25">
      <c r="A3218" s="2" t="s">
        <v>7598</v>
      </c>
      <c r="B3218" s="2" t="s">
        <v>2921</v>
      </c>
      <c r="C3218" s="2" t="str">
        <f t="shared" si="50"/>
        <v>TX0132594_001</v>
      </c>
      <c r="D3218" s="2" t="s">
        <v>4817</v>
      </c>
    </row>
    <row r="3219" spans="1:4" x14ac:dyDescent="0.25">
      <c r="A3219" s="2" t="s">
        <v>7599</v>
      </c>
      <c r="B3219" s="2" t="s">
        <v>2921</v>
      </c>
      <c r="C3219" s="2" t="str">
        <f t="shared" si="50"/>
        <v>TX0132608_001</v>
      </c>
      <c r="D3219" s="2" t="s">
        <v>4818</v>
      </c>
    </row>
    <row r="3220" spans="1:4" x14ac:dyDescent="0.25">
      <c r="A3220" s="2" t="s">
        <v>7600</v>
      </c>
      <c r="B3220" s="2" t="s">
        <v>2921</v>
      </c>
      <c r="C3220" s="2" t="str">
        <f t="shared" si="50"/>
        <v>TX0132624_001</v>
      </c>
      <c r="D3220" s="2" t="s">
        <v>4819</v>
      </c>
    </row>
    <row r="3221" spans="1:4" x14ac:dyDescent="0.25">
      <c r="A3221" s="2" t="s">
        <v>7601</v>
      </c>
      <c r="B3221" s="2" t="s">
        <v>2921</v>
      </c>
      <c r="C3221" s="2" t="str">
        <f t="shared" si="50"/>
        <v>TX0132632_001</v>
      </c>
      <c r="D3221" s="2" t="s">
        <v>3286</v>
      </c>
    </row>
    <row r="3222" spans="1:4" x14ac:dyDescent="0.25">
      <c r="A3222" s="2" t="s">
        <v>7602</v>
      </c>
      <c r="B3222" s="2" t="s">
        <v>2921</v>
      </c>
      <c r="C3222" s="2" t="str">
        <f t="shared" si="50"/>
        <v>TX0132659_001</v>
      </c>
      <c r="D3222" s="2" t="s">
        <v>4820</v>
      </c>
    </row>
    <row r="3223" spans="1:4" x14ac:dyDescent="0.25">
      <c r="A3223" s="2" t="s">
        <v>7603</v>
      </c>
      <c r="B3223" s="2" t="s">
        <v>2921</v>
      </c>
      <c r="C3223" s="2" t="str">
        <f t="shared" si="50"/>
        <v>TX0132675_001</v>
      </c>
      <c r="D3223" s="2" t="s">
        <v>4821</v>
      </c>
    </row>
    <row r="3224" spans="1:4" x14ac:dyDescent="0.25">
      <c r="A3224" s="2" t="s">
        <v>7604</v>
      </c>
      <c r="B3224" s="2" t="s">
        <v>2921</v>
      </c>
      <c r="C3224" s="2" t="str">
        <f t="shared" si="50"/>
        <v>TX0132683_001</v>
      </c>
      <c r="D3224" s="2" t="s">
        <v>4822</v>
      </c>
    </row>
    <row r="3225" spans="1:4" x14ac:dyDescent="0.25">
      <c r="A3225" s="2" t="s">
        <v>7605</v>
      </c>
      <c r="B3225" s="2" t="s">
        <v>2921</v>
      </c>
      <c r="C3225" s="2" t="str">
        <f t="shared" si="50"/>
        <v>TX0132691_001</v>
      </c>
      <c r="D3225" s="2" t="s">
        <v>4823</v>
      </c>
    </row>
    <row r="3226" spans="1:4" x14ac:dyDescent="0.25">
      <c r="A3226" s="2" t="s">
        <v>7606</v>
      </c>
      <c r="B3226" s="2" t="s">
        <v>2921</v>
      </c>
      <c r="C3226" s="2" t="str">
        <f t="shared" si="50"/>
        <v>TX0132705_001</v>
      </c>
      <c r="D3226" s="2" t="s">
        <v>4824</v>
      </c>
    </row>
    <row r="3227" spans="1:4" x14ac:dyDescent="0.25">
      <c r="A3227" s="2" t="s">
        <v>7607</v>
      </c>
      <c r="B3227" s="2" t="s">
        <v>2921</v>
      </c>
      <c r="C3227" s="2" t="str">
        <f t="shared" si="50"/>
        <v>TX0132713_001</v>
      </c>
      <c r="D3227" s="2" t="s">
        <v>4825</v>
      </c>
    </row>
    <row r="3228" spans="1:4" x14ac:dyDescent="0.25">
      <c r="A3228" s="2" t="s">
        <v>7608</v>
      </c>
      <c r="B3228" s="2" t="s">
        <v>2921</v>
      </c>
      <c r="C3228" s="2" t="str">
        <f t="shared" si="50"/>
        <v>TX0132721_001</v>
      </c>
      <c r="D3228" s="2" t="s">
        <v>4141</v>
      </c>
    </row>
    <row r="3229" spans="1:4" x14ac:dyDescent="0.25">
      <c r="A3229" s="2" t="s">
        <v>7609</v>
      </c>
      <c r="B3229" s="2" t="s">
        <v>2921</v>
      </c>
      <c r="C3229" s="2" t="str">
        <f t="shared" si="50"/>
        <v>TX0132730_001</v>
      </c>
      <c r="D3229" s="2" t="s">
        <v>4826</v>
      </c>
    </row>
    <row r="3230" spans="1:4" x14ac:dyDescent="0.25">
      <c r="A3230" s="2" t="s">
        <v>7610</v>
      </c>
      <c r="B3230" s="2" t="s">
        <v>2921</v>
      </c>
      <c r="C3230" s="2" t="str">
        <f t="shared" si="50"/>
        <v>TX0132748_001</v>
      </c>
      <c r="D3230" s="2" t="s">
        <v>4827</v>
      </c>
    </row>
    <row r="3231" spans="1:4" x14ac:dyDescent="0.25">
      <c r="A3231" s="2" t="s">
        <v>7611</v>
      </c>
      <c r="B3231" s="2" t="s">
        <v>2921</v>
      </c>
      <c r="C3231" s="2" t="str">
        <f t="shared" si="50"/>
        <v>TX0132756_001</v>
      </c>
      <c r="D3231" s="2" t="s">
        <v>4828</v>
      </c>
    </row>
    <row r="3232" spans="1:4" x14ac:dyDescent="0.25">
      <c r="A3232" s="2" t="s">
        <v>7612</v>
      </c>
      <c r="B3232" s="2" t="s">
        <v>2921</v>
      </c>
      <c r="C3232" s="2" t="str">
        <f t="shared" si="50"/>
        <v>TX0132764_001</v>
      </c>
      <c r="D3232" s="2" t="s">
        <v>4508</v>
      </c>
    </row>
    <row r="3233" spans="1:4" x14ac:dyDescent="0.25">
      <c r="A3233" s="2" t="s">
        <v>7613</v>
      </c>
      <c r="B3233" s="2" t="s">
        <v>2921</v>
      </c>
      <c r="C3233" s="2" t="str">
        <f t="shared" si="50"/>
        <v>TX0132772_001</v>
      </c>
      <c r="D3233" s="2" t="s">
        <v>4655</v>
      </c>
    </row>
    <row r="3234" spans="1:4" x14ac:dyDescent="0.25">
      <c r="A3234" s="2" t="s">
        <v>7614</v>
      </c>
      <c r="B3234" s="2" t="s">
        <v>2921</v>
      </c>
      <c r="C3234" s="2" t="str">
        <f t="shared" si="50"/>
        <v>TX0132799_001</v>
      </c>
      <c r="D3234" s="2" t="s">
        <v>4829</v>
      </c>
    </row>
    <row r="3235" spans="1:4" x14ac:dyDescent="0.25">
      <c r="A3235" s="2" t="s">
        <v>7615</v>
      </c>
      <c r="B3235" s="2" t="s">
        <v>2921</v>
      </c>
      <c r="C3235" s="2" t="str">
        <f t="shared" si="50"/>
        <v>TX0132802_001</v>
      </c>
      <c r="D3235" s="2" t="s">
        <v>4830</v>
      </c>
    </row>
    <row r="3236" spans="1:4" x14ac:dyDescent="0.25">
      <c r="A3236" s="2" t="s">
        <v>7616</v>
      </c>
      <c r="B3236" s="2" t="s">
        <v>2921</v>
      </c>
      <c r="C3236" s="2" t="str">
        <f t="shared" si="50"/>
        <v>TX0132829_001</v>
      </c>
      <c r="D3236" s="2" t="s">
        <v>3308</v>
      </c>
    </row>
    <row r="3237" spans="1:4" x14ac:dyDescent="0.25">
      <c r="A3237" s="2" t="s">
        <v>7617</v>
      </c>
      <c r="B3237" s="2" t="s">
        <v>2921</v>
      </c>
      <c r="C3237" s="2" t="str">
        <f t="shared" si="50"/>
        <v>TX0132837_001</v>
      </c>
      <c r="D3237" s="2" t="s">
        <v>4674</v>
      </c>
    </row>
    <row r="3238" spans="1:4" x14ac:dyDescent="0.25">
      <c r="A3238" s="2" t="s">
        <v>7618</v>
      </c>
      <c r="B3238" s="2" t="s">
        <v>2921</v>
      </c>
      <c r="C3238" s="2" t="str">
        <f t="shared" si="50"/>
        <v>TX0132845_001</v>
      </c>
      <c r="D3238" s="2" t="s">
        <v>4831</v>
      </c>
    </row>
    <row r="3239" spans="1:4" x14ac:dyDescent="0.25">
      <c r="A3239" s="2" t="s">
        <v>7619</v>
      </c>
      <c r="B3239" s="2" t="s">
        <v>2921</v>
      </c>
      <c r="C3239" s="2" t="str">
        <f t="shared" si="50"/>
        <v>TX0132861_001</v>
      </c>
      <c r="D3239" s="2" t="s">
        <v>4831</v>
      </c>
    </row>
    <row r="3240" spans="1:4" x14ac:dyDescent="0.25">
      <c r="A3240" s="2" t="s">
        <v>7620</v>
      </c>
      <c r="B3240" s="2" t="s">
        <v>2921</v>
      </c>
      <c r="C3240" s="2" t="str">
        <f t="shared" si="50"/>
        <v>TX0132896_001</v>
      </c>
      <c r="D3240" s="2" t="s">
        <v>4832</v>
      </c>
    </row>
    <row r="3241" spans="1:4" x14ac:dyDescent="0.25">
      <c r="A3241" s="2" t="s">
        <v>7621</v>
      </c>
      <c r="B3241" s="2" t="s">
        <v>2921</v>
      </c>
      <c r="C3241" s="2" t="str">
        <f t="shared" si="50"/>
        <v>TX0132900_001</v>
      </c>
      <c r="D3241" s="2" t="s">
        <v>4833</v>
      </c>
    </row>
    <row r="3242" spans="1:4" x14ac:dyDescent="0.25">
      <c r="A3242" s="2" t="s">
        <v>7622</v>
      </c>
      <c r="B3242" s="2" t="s">
        <v>2921</v>
      </c>
      <c r="C3242" s="2" t="str">
        <f t="shared" si="50"/>
        <v>TX0132918_001</v>
      </c>
      <c r="D3242" s="2" t="s">
        <v>4834</v>
      </c>
    </row>
    <row r="3243" spans="1:4" x14ac:dyDescent="0.25">
      <c r="A3243" s="2" t="s">
        <v>7623</v>
      </c>
      <c r="B3243" s="2" t="s">
        <v>2921</v>
      </c>
      <c r="C3243" s="2" t="str">
        <f t="shared" si="50"/>
        <v>TX0132926_001</v>
      </c>
      <c r="D3243" s="2" t="s">
        <v>3322</v>
      </c>
    </row>
    <row r="3244" spans="1:4" x14ac:dyDescent="0.25">
      <c r="A3244" s="2" t="s">
        <v>7624</v>
      </c>
      <c r="B3244" s="2" t="s">
        <v>2921</v>
      </c>
      <c r="C3244" s="2" t="str">
        <f t="shared" si="50"/>
        <v>TX0132934_001</v>
      </c>
      <c r="D3244" s="2" t="s">
        <v>3509</v>
      </c>
    </row>
    <row r="3245" spans="1:4" x14ac:dyDescent="0.25">
      <c r="A3245" s="2" t="s">
        <v>7625</v>
      </c>
      <c r="B3245" s="2" t="s">
        <v>2921</v>
      </c>
      <c r="C3245" s="2" t="str">
        <f t="shared" si="50"/>
        <v>TX0132942_001</v>
      </c>
      <c r="D3245" s="2" t="s">
        <v>3765</v>
      </c>
    </row>
    <row r="3246" spans="1:4" x14ac:dyDescent="0.25">
      <c r="A3246" s="2" t="s">
        <v>7626</v>
      </c>
      <c r="B3246" s="2" t="s">
        <v>2921</v>
      </c>
      <c r="C3246" s="2" t="str">
        <f t="shared" si="50"/>
        <v>TX0132969_001</v>
      </c>
      <c r="D3246" s="2" t="s">
        <v>4627</v>
      </c>
    </row>
    <row r="3247" spans="1:4" x14ac:dyDescent="0.25">
      <c r="A3247" s="2" t="s">
        <v>7627</v>
      </c>
      <c r="B3247" s="2" t="s">
        <v>2921</v>
      </c>
      <c r="C3247" s="2" t="str">
        <f t="shared" si="50"/>
        <v>TX0132993_001</v>
      </c>
      <c r="D3247" s="2" t="s">
        <v>4835</v>
      </c>
    </row>
    <row r="3248" spans="1:4" x14ac:dyDescent="0.25">
      <c r="A3248" s="2" t="s">
        <v>7628</v>
      </c>
      <c r="B3248" s="2" t="s">
        <v>2921</v>
      </c>
      <c r="C3248" s="2" t="str">
        <f t="shared" si="50"/>
        <v>TX0133001_001</v>
      </c>
      <c r="D3248" s="2" t="s">
        <v>4836</v>
      </c>
    </row>
    <row r="3249" spans="1:4" x14ac:dyDescent="0.25">
      <c r="A3249" s="2" t="s">
        <v>7629</v>
      </c>
      <c r="B3249" s="2" t="s">
        <v>2921</v>
      </c>
      <c r="C3249" s="2" t="str">
        <f t="shared" si="50"/>
        <v>TX0133019_001</v>
      </c>
      <c r="D3249" s="2" t="s">
        <v>4837</v>
      </c>
    </row>
    <row r="3250" spans="1:4" x14ac:dyDescent="0.25">
      <c r="A3250" s="2" t="s">
        <v>7630</v>
      </c>
      <c r="B3250" s="2" t="s">
        <v>2921</v>
      </c>
      <c r="C3250" s="2" t="str">
        <f t="shared" si="50"/>
        <v>TX0133027_001</v>
      </c>
      <c r="D3250" s="2" t="s">
        <v>4838</v>
      </c>
    </row>
    <row r="3251" spans="1:4" x14ac:dyDescent="0.25">
      <c r="A3251" s="2" t="s">
        <v>7631</v>
      </c>
      <c r="B3251" s="2" t="s">
        <v>2921</v>
      </c>
      <c r="C3251" s="2" t="str">
        <f t="shared" si="50"/>
        <v>TX0133035_001</v>
      </c>
      <c r="D3251" s="2" t="s">
        <v>3101</v>
      </c>
    </row>
    <row r="3252" spans="1:4" x14ac:dyDescent="0.25">
      <c r="A3252" s="2" t="s">
        <v>7632</v>
      </c>
      <c r="B3252" s="2" t="s">
        <v>2921</v>
      </c>
      <c r="C3252" s="2" t="str">
        <f t="shared" si="50"/>
        <v>TX0133043_001</v>
      </c>
      <c r="D3252" s="2" t="s">
        <v>3995</v>
      </c>
    </row>
    <row r="3253" spans="1:4" x14ac:dyDescent="0.25">
      <c r="A3253" s="2" t="s">
        <v>7633</v>
      </c>
      <c r="B3253" s="2" t="s">
        <v>2921</v>
      </c>
      <c r="C3253" s="2" t="str">
        <f t="shared" si="50"/>
        <v>TX0133051_001</v>
      </c>
      <c r="D3253" s="2" t="s">
        <v>4839</v>
      </c>
    </row>
    <row r="3254" spans="1:4" x14ac:dyDescent="0.25">
      <c r="A3254" s="2" t="s">
        <v>7634</v>
      </c>
      <c r="B3254" s="2" t="s">
        <v>2921</v>
      </c>
      <c r="C3254" s="2" t="str">
        <f t="shared" si="50"/>
        <v>TX0133086_001</v>
      </c>
      <c r="D3254" s="2" t="s">
        <v>4840</v>
      </c>
    </row>
    <row r="3255" spans="1:4" x14ac:dyDescent="0.25">
      <c r="A3255" s="2" t="s">
        <v>7635</v>
      </c>
      <c r="B3255" s="2" t="s">
        <v>2921</v>
      </c>
      <c r="C3255" s="2" t="str">
        <f t="shared" si="50"/>
        <v>TX0133094_001</v>
      </c>
      <c r="D3255" s="2" t="s">
        <v>3257</v>
      </c>
    </row>
    <row r="3256" spans="1:4" x14ac:dyDescent="0.25">
      <c r="A3256" s="2" t="s">
        <v>7636</v>
      </c>
      <c r="B3256" s="2" t="s">
        <v>2921</v>
      </c>
      <c r="C3256" s="2" t="str">
        <f t="shared" si="50"/>
        <v>TX0133116_001</v>
      </c>
      <c r="D3256" s="2" t="s">
        <v>4841</v>
      </c>
    </row>
    <row r="3257" spans="1:4" x14ac:dyDescent="0.25">
      <c r="A3257" s="2" t="s">
        <v>7637</v>
      </c>
      <c r="B3257" s="2" t="s">
        <v>2921</v>
      </c>
      <c r="C3257" s="2" t="str">
        <f t="shared" si="50"/>
        <v>TX0133124_001</v>
      </c>
      <c r="D3257" s="2" t="s">
        <v>4842</v>
      </c>
    </row>
    <row r="3258" spans="1:4" x14ac:dyDescent="0.25">
      <c r="A3258" s="2" t="s">
        <v>7637</v>
      </c>
      <c r="B3258" s="2" t="s">
        <v>2923</v>
      </c>
      <c r="C3258" s="2" t="str">
        <f t="shared" si="50"/>
        <v>TX0133124_002</v>
      </c>
      <c r="D3258" s="2" t="s">
        <v>4842</v>
      </c>
    </row>
    <row r="3259" spans="1:4" x14ac:dyDescent="0.25">
      <c r="A3259" s="2" t="s">
        <v>7637</v>
      </c>
      <c r="B3259" s="2" t="s">
        <v>2924</v>
      </c>
      <c r="C3259" s="2" t="str">
        <f t="shared" si="50"/>
        <v>TX0133124_003</v>
      </c>
      <c r="D3259" s="2" t="s">
        <v>4842</v>
      </c>
    </row>
    <row r="3260" spans="1:4" x14ac:dyDescent="0.25">
      <c r="A3260" s="2" t="s">
        <v>7637</v>
      </c>
      <c r="B3260" s="2" t="s">
        <v>2936</v>
      </c>
      <c r="C3260" s="2" t="str">
        <f t="shared" si="50"/>
        <v>TX0133124_004</v>
      </c>
      <c r="D3260" s="2" t="s">
        <v>4842</v>
      </c>
    </row>
    <row r="3261" spans="1:4" x14ac:dyDescent="0.25">
      <c r="A3261" s="2" t="s">
        <v>7638</v>
      </c>
      <c r="B3261" s="2" t="s">
        <v>2921</v>
      </c>
      <c r="C3261" s="2" t="str">
        <f t="shared" si="50"/>
        <v>TX0133132_001</v>
      </c>
      <c r="D3261" s="2" t="s">
        <v>4843</v>
      </c>
    </row>
    <row r="3262" spans="1:4" x14ac:dyDescent="0.25">
      <c r="A3262" s="2" t="s">
        <v>7639</v>
      </c>
      <c r="B3262" s="2" t="s">
        <v>2921</v>
      </c>
      <c r="C3262" s="2" t="str">
        <f t="shared" si="50"/>
        <v>TX0133141_001</v>
      </c>
      <c r="D3262" s="2" t="s">
        <v>4844</v>
      </c>
    </row>
    <row r="3263" spans="1:4" x14ac:dyDescent="0.25">
      <c r="A3263" s="2" t="s">
        <v>7640</v>
      </c>
      <c r="B3263" s="2" t="s">
        <v>2921</v>
      </c>
      <c r="C3263" s="2" t="str">
        <f t="shared" si="50"/>
        <v>TX0133159_001</v>
      </c>
      <c r="D3263" s="2" t="s">
        <v>4117</v>
      </c>
    </row>
    <row r="3264" spans="1:4" x14ac:dyDescent="0.25">
      <c r="A3264" s="2" t="s">
        <v>7641</v>
      </c>
      <c r="B3264" s="2" t="s">
        <v>2921</v>
      </c>
      <c r="C3264" s="2" t="str">
        <f t="shared" si="50"/>
        <v>TX0133167_001</v>
      </c>
      <c r="D3264" s="2" t="s">
        <v>3974</v>
      </c>
    </row>
    <row r="3265" spans="1:4" x14ac:dyDescent="0.25">
      <c r="A3265" s="2" t="s">
        <v>7642</v>
      </c>
      <c r="B3265" s="2" t="s">
        <v>2921</v>
      </c>
      <c r="C3265" s="2" t="str">
        <f t="shared" si="50"/>
        <v>TX0133175_001</v>
      </c>
      <c r="D3265" s="2" t="s">
        <v>4233</v>
      </c>
    </row>
    <row r="3266" spans="1:4" x14ac:dyDescent="0.25">
      <c r="A3266" s="2" t="s">
        <v>7643</v>
      </c>
      <c r="B3266" s="2" t="s">
        <v>2921</v>
      </c>
      <c r="C3266" s="2" t="str">
        <f t="shared" si="50"/>
        <v>TX0133183_001</v>
      </c>
      <c r="D3266" s="2" t="s">
        <v>4845</v>
      </c>
    </row>
    <row r="3267" spans="1:4" x14ac:dyDescent="0.25">
      <c r="A3267" s="2" t="s">
        <v>7644</v>
      </c>
      <c r="B3267" s="2" t="s">
        <v>2921</v>
      </c>
      <c r="C3267" s="2" t="str">
        <f t="shared" ref="C3267:C3330" si="51">A3267 &amp; "_" &amp; B3267</f>
        <v>TX0133205_001</v>
      </c>
      <c r="D3267" s="2" t="s">
        <v>4846</v>
      </c>
    </row>
    <row r="3268" spans="1:4" x14ac:dyDescent="0.25">
      <c r="A3268" s="2" t="s">
        <v>7645</v>
      </c>
      <c r="B3268" s="2" t="s">
        <v>2921</v>
      </c>
      <c r="C3268" s="2" t="str">
        <f t="shared" si="51"/>
        <v>TX0133213_001</v>
      </c>
      <c r="D3268" s="2" t="s">
        <v>4689</v>
      </c>
    </row>
    <row r="3269" spans="1:4" x14ac:dyDescent="0.25">
      <c r="A3269" s="2" t="s">
        <v>7646</v>
      </c>
      <c r="B3269" s="2" t="s">
        <v>2921</v>
      </c>
      <c r="C3269" s="2" t="str">
        <f t="shared" si="51"/>
        <v>TX0133230_001</v>
      </c>
      <c r="D3269" s="2" t="s">
        <v>4847</v>
      </c>
    </row>
    <row r="3270" spans="1:4" x14ac:dyDescent="0.25">
      <c r="A3270" s="2" t="s">
        <v>7647</v>
      </c>
      <c r="B3270" s="2" t="s">
        <v>2921</v>
      </c>
      <c r="C3270" s="2" t="str">
        <f t="shared" si="51"/>
        <v>TX0133248_001</v>
      </c>
      <c r="D3270" s="2" t="s">
        <v>3734</v>
      </c>
    </row>
    <row r="3271" spans="1:4" x14ac:dyDescent="0.25">
      <c r="A3271" s="2" t="s">
        <v>7647</v>
      </c>
      <c r="B3271" s="2" t="s">
        <v>2923</v>
      </c>
      <c r="C3271" s="2" t="str">
        <f t="shared" si="51"/>
        <v>TX0133248_002</v>
      </c>
      <c r="D3271" s="2" t="s">
        <v>3734</v>
      </c>
    </row>
    <row r="3272" spans="1:4" x14ac:dyDescent="0.25">
      <c r="A3272" s="2" t="s">
        <v>7648</v>
      </c>
      <c r="B3272" s="2" t="s">
        <v>2923</v>
      </c>
      <c r="C3272" s="2" t="str">
        <f t="shared" si="51"/>
        <v>TX0133264_002</v>
      </c>
      <c r="D3272" s="2" t="s">
        <v>4848</v>
      </c>
    </row>
    <row r="3273" spans="1:4" x14ac:dyDescent="0.25">
      <c r="A3273" s="2" t="s">
        <v>7649</v>
      </c>
      <c r="B3273" s="2" t="s">
        <v>2923</v>
      </c>
      <c r="C3273" s="2" t="str">
        <f t="shared" si="51"/>
        <v>TX0133281_002</v>
      </c>
      <c r="D3273" s="2" t="s">
        <v>4849</v>
      </c>
    </row>
    <row r="3274" spans="1:4" x14ac:dyDescent="0.25">
      <c r="A3274" s="2" t="s">
        <v>7649</v>
      </c>
      <c r="B3274" s="2" t="s">
        <v>2924</v>
      </c>
      <c r="C3274" s="2" t="str">
        <f t="shared" si="51"/>
        <v>TX0133281_003</v>
      </c>
      <c r="D3274" s="2" t="s">
        <v>4849</v>
      </c>
    </row>
    <row r="3275" spans="1:4" x14ac:dyDescent="0.25">
      <c r="A3275" s="2" t="s">
        <v>7650</v>
      </c>
      <c r="B3275" s="2" t="s">
        <v>2921</v>
      </c>
      <c r="C3275" s="2" t="str">
        <f t="shared" si="51"/>
        <v>TX0133302_001</v>
      </c>
      <c r="D3275" s="2" t="s">
        <v>4850</v>
      </c>
    </row>
    <row r="3276" spans="1:4" x14ac:dyDescent="0.25">
      <c r="A3276" s="2" t="s">
        <v>7651</v>
      </c>
      <c r="B3276" s="2" t="s">
        <v>2921</v>
      </c>
      <c r="C3276" s="2" t="str">
        <f t="shared" si="51"/>
        <v>TX0133311_001</v>
      </c>
      <c r="D3276" s="2" t="s">
        <v>3697</v>
      </c>
    </row>
    <row r="3277" spans="1:4" x14ac:dyDescent="0.25">
      <c r="A3277" s="2" t="s">
        <v>7652</v>
      </c>
      <c r="B3277" s="2" t="s">
        <v>2921</v>
      </c>
      <c r="C3277" s="2" t="str">
        <f t="shared" si="51"/>
        <v>TX0133329_001</v>
      </c>
      <c r="D3277" s="2" t="s">
        <v>4851</v>
      </c>
    </row>
    <row r="3278" spans="1:4" x14ac:dyDescent="0.25">
      <c r="A3278" s="2" t="s">
        <v>7653</v>
      </c>
      <c r="B3278" s="2" t="s">
        <v>2921</v>
      </c>
      <c r="C3278" s="2" t="str">
        <f t="shared" si="51"/>
        <v>TX0133337_001</v>
      </c>
      <c r="D3278" s="2" t="s">
        <v>4852</v>
      </c>
    </row>
    <row r="3279" spans="1:4" x14ac:dyDescent="0.25">
      <c r="A3279" s="2" t="s">
        <v>7654</v>
      </c>
      <c r="B3279" s="2" t="s">
        <v>2921</v>
      </c>
      <c r="C3279" s="2" t="str">
        <f t="shared" si="51"/>
        <v>TX0133353_001</v>
      </c>
      <c r="D3279" s="2" t="s">
        <v>4233</v>
      </c>
    </row>
    <row r="3280" spans="1:4" x14ac:dyDescent="0.25">
      <c r="A3280" s="2" t="s">
        <v>7655</v>
      </c>
      <c r="B3280" s="2" t="s">
        <v>2921</v>
      </c>
      <c r="C3280" s="2" t="str">
        <f t="shared" si="51"/>
        <v>TX0133361_001</v>
      </c>
      <c r="D3280" s="2" t="s">
        <v>4853</v>
      </c>
    </row>
    <row r="3281" spans="1:4" x14ac:dyDescent="0.25">
      <c r="A3281" s="2" t="s">
        <v>7656</v>
      </c>
      <c r="B3281" s="2" t="s">
        <v>2934</v>
      </c>
      <c r="C3281" s="2" t="str">
        <f t="shared" si="51"/>
        <v>TX0133370_005</v>
      </c>
      <c r="D3281" s="2" t="s">
        <v>2960</v>
      </c>
    </row>
    <row r="3282" spans="1:4" x14ac:dyDescent="0.25">
      <c r="A3282" s="2" t="s">
        <v>7657</v>
      </c>
      <c r="B3282" s="2" t="s">
        <v>2921</v>
      </c>
      <c r="C3282" s="2" t="str">
        <f t="shared" si="51"/>
        <v>TX0133388_001</v>
      </c>
      <c r="D3282" s="2" t="s">
        <v>4854</v>
      </c>
    </row>
    <row r="3283" spans="1:4" x14ac:dyDescent="0.25">
      <c r="A3283" s="2" t="s">
        <v>7658</v>
      </c>
      <c r="B3283" s="2" t="s">
        <v>2921</v>
      </c>
      <c r="C3283" s="2" t="str">
        <f t="shared" si="51"/>
        <v>TX0133396_001</v>
      </c>
      <c r="D3283" s="2" t="s">
        <v>4855</v>
      </c>
    </row>
    <row r="3284" spans="1:4" x14ac:dyDescent="0.25">
      <c r="A3284" s="2" t="s">
        <v>7659</v>
      </c>
      <c r="B3284" s="2" t="s">
        <v>2921</v>
      </c>
      <c r="C3284" s="2" t="str">
        <f t="shared" si="51"/>
        <v>TX0133418_001</v>
      </c>
      <c r="D3284" s="2" t="s">
        <v>4856</v>
      </c>
    </row>
    <row r="3285" spans="1:4" x14ac:dyDescent="0.25">
      <c r="A3285" s="2" t="s">
        <v>7660</v>
      </c>
      <c r="B3285" s="2" t="s">
        <v>2921</v>
      </c>
      <c r="C3285" s="2" t="str">
        <f t="shared" si="51"/>
        <v>TX0133434_001</v>
      </c>
      <c r="D3285" s="2" t="s">
        <v>4857</v>
      </c>
    </row>
    <row r="3286" spans="1:4" x14ac:dyDescent="0.25">
      <c r="A3286" s="2" t="s">
        <v>7661</v>
      </c>
      <c r="B3286" s="2" t="s">
        <v>2921</v>
      </c>
      <c r="C3286" s="2" t="str">
        <f t="shared" si="51"/>
        <v>TX0133442_001</v>
      </c>
      <c r="D3286" s="2" t="s">
        <v>4858</v>
      </c>
    </row>
    <row r="3287" spans="1:4" x14ac:dyDescent="0.25">
      <c r="A3287" s="2" t="s">
        <v>7662</v>
      </c>
      <c r="B3287" s="2" t="s">
        <v>2921</v>
      </c>
      <c r="C3287" s="2" t="str">
        <f t="shared" si="51"/>
        <v>TX0133451_001</v>
      </c>
      <c r="D3287" s="2" t="s">
        <v>4859</v>
      </c>
    </row>
    <row r="3288" spans="1:4" x14ac:dyDescent="0.25">
      <c r="A3288" s="2" t="s">
        <v>7663</v>
      </c>
      <c r="B3288" s="2" t="s">
        <v>2921</v>
      </c>
      <c r="C3288" s="2" t="str">
        <f t="shared" si="51"/>
        <v>TX0133469_001</v>
      </c>
      <c r="D3288" s="2" t="s">
        <v>4860</v>
      </c>
    </row>
    <row r="3289" spans="1:4" x14ac:dyDescent="0.25">
      <c r="A3289" s="2" t="s">
        <v>7664</v>
      </c>
      <c r="B3289" s="2" t="s">
        <v>2921</v>
      </c>
      <c r="C3289" s="2" t="str">
        <f t="shared" si="51"/>
        <v>TX0133515_001</v>
      </c>
      <c r="D3289" s="2" t="s">
        <v>4861</v>
      </c>
    </row>
    <row r="3290" spans="1:4" x14ac:dyDescent="0.25">
      <c r="A3290" s="2" t="s">
        <v>7665</v>
      </c>
      <c r="B3290" s="2" t="s">
        <v>2921</v>
      </c>
      <c r="C3290" s="2" t="str">
        <f t="shared" si="51"/>
        <v>TX0133523_001</v>
      </c>
      <c r="D3290" s="2" t="s">
        <v>3109</v>
      </c>
    </row>
    <row r="3291" spans="1:4" x14ac:dyDescent="0.25">
      <c r="A3291" s="2" t="s">
        <v>7666</v>
      </c>
      <c r="B3291" s="2" t="s">
        <v>2921</v>
      </c>
      <c r="C3291" s="2" t="str">
        <f t="shared" si="51"/>
        <v>TX0133531_001</v>
      </c>
      <c r="D3291" s="2" t="s">
        <v>2961</v>
      </c>
    </row>
    <row r="3292" spans="1:4" x14ac:dyDescent="0.25">
      <c r="A3292" s="2" t="s">
        <v>7666</v>
      </c>
      <c r="B3292" s="2" t="s">
        <v>2936</v>
      </c>
      <c r="C3292" s="2" t="str">
        <f t="shared" si="51"/>
        <v>TX0133531_004</v>
      </c>
      <c r="D3292" s="2" t="s">
        <v>2961</v>
      </c>
    </row>
    <row r="3293" spans="1:4" x14ac:dyDescent="0.25">
      <c r="A3293" s="2" t="s">
        <v>7666</v>
      </c>
      <c r="B3293" s="2" t="s">
        <v>2923</v>
      </c>
      <c r="C3293" s="2" t="str">
        <f t="shared" si="51"/>
        <v>TX0133531_002</v>
      </c>
      <c r="D3293" s="2" t="s">
        <v>2961</v>
      </c>
    </row>
    <row r="3294" spans="1:4" x14ac:dyDescent="0.25">
      <c r="A3294" s="2" t="s">
        <v>7666</v>
      </c>
      <c r="B3294" s="2" t="s">
        <v>2924</v>
      </c>
      <c r="C3294" s="2" t="str">
        <f t="shared" si="51"/>
        <v>TX0133531_003</v>
      </c>
      <c r="D3294" s="2" t="s">
        <v>2961</v>
      </c>
    </row>
    <row r="3295" spans="1:4" x14ac:dyDescent="0.25">
      <c r="A3295" s="2" t="s">
        <v>7667</v>
      </c>
      <c r="B3295" s="2" t="s">
        <v>2921</v>
      </c>
      <c r="C3295" s="2" t="str">
        <f t="shared" si="51"/>
        <v>TX0133540_001</v>
      </c>
      <c r="D3295" s="2" t="s">
        <v>4862</v>
      </c>
    </row>
    <row r="3296" spans="1:4" x14ac:dyDescent="0.25">
      <c r="A3296" s="2" t="s">
        <v>7668</v>
      </c>
      <c r="B3296" s="2" t="s">
        <v>2921</v>
      </c>
      <c r="C3296" s="2" t="str">
        <f t="shared" si="51"/>
        <v>TX0133566_001</v>
      </c>
      <c r="D3296" s="2" t="s">
        <v>4863</v>
      </c>
    </row>
    <row r="3297" spans="1:4" x14ac:dyDescent="0.25">
      <c r="A3297" s="2" t="s">
        <v>7669</v>
      </c>
      <c r="B3297" s="2" t="s">
        <v>2969</v>
      </c>
      <c r="C3297" s="2" t="str">
        <f t="shared" si="51"/>
        <v>TX0133574_009</v>
      </c>
      <c r="D3297" s="2" t="s">
        <v>4864</v>
      </c>
    </row>
    <row r="3298" spans="1:4" x14ac:dyDescent="0.25">
      <c r="A3298" s="2" t="s">
        <v>7669</v>
      </c>
      <c r="B3298" s="2" t="s">
        <v>2948</v>
      </c>
      <c r="C3298" s="2" t="str">
        <f t="shared" si="51"/>
        <v>TX0133574_011</v>
      </c>
      <c r="D3298" s="2" t="s">
        <v>4864</v>
      </c>
    </row>
    <row r="3299" spans="1:4" x14ac:dyDescent="0.25">
      <c r="A3299" s="2" t="s">
        <v>7669</v>
      </c>
      <c r="B3299" s="2" t="s">
        <v>2959</v>
      </c>
      <c r="C3299" s="2" t="str">
        <f t="shared" si="51"/>
        <v>TX0133574_007</v>
      </c>
      <c r="D3299" s="2" t="s">
        <v>4864</v>
      </c>
    </row>
    <row r="3300" spans="1:4" x14ac:dyDescent="0.25">
      <c r="A3300" s="2" t="s">
        <v>7669</v>
      </c>
      <c r="B3300" s="2" t="s">
        <v>2947</v>
      </c>
      <c r="C3300" s="2" t="str">
        <f t="shared" si="51"/>
        <v>TX0133574_010</v>
      </c>
      <c r="D3300" s="2" t="s">
        <v>4864</v>
      </c>
    </row>
    <row r="3301" spans="1:4" x14ac:dyDescent="0.25">
      <c r="A3301" s="2" t="s">
        <v>7670</v>
      </c>
      <c r="B3301" s="2" t="s">
        <v>2921</v>
      </c>
      <c r="C3301" s="2" t="str">
        <f t="shared" si="51"/>
        <v>TX0133582_001</v>
      </c>
      <c r="D3301" s="2" t="s">
        <v>4865</v>
      </c>
    </row>
    <row r="3302" spans="1:4" x14ac:dyDescent="0.25">
      <c r="A3302" s="2" t="s">
        <v>7671</v>
      </c>
      <c r="B3302" s="2" t="s">
        <v>2942</v>
      </c>
      <c r="C3302" s="2" t="str">
        <f t="shared" si="51"/>
        <v>TX0133604_013</v>
      </c>
      <c r="D3302" s="2" t="s">
        <v>4866</v>
      </c>
    </row>
    <row r="3303" spans="1:4" x14ac:dyDescent="0.25">
      <c r="A3303" s="2" t="s">
        <v>7672</v>
      </c>
      <c r="B3303" s="2" t="s">
        <v>2921</v>
      </c>
      <c r="C3303" s="2" t="str">
        <f t="shared" si="51"/>
        <v>TX0133612_001</v>
      </c>
      <c r="D3303" s="2" t="s">
        <v>4867</v>
      </c>
    </row>
    <row r="3304" spans="1:4" x14ac:dyDescent="0.25">
      <c r="A3304" s="2" t="s">
        <v>7673</v>
      </c>
      <c r="B3304" s="2" t="s">
        <v>2921</v>
      </c>
      <c r="C3304" s="2" t="str">
        <f t="shared" si="51"/>
        <v>TX0133621_001</v>
      </c>
      <c r="D3304" s="2" t="s">
        <v>4868</v>
      </c>
    </row>
    <row r="3305" spans="1:4" x14ac:dyDescent="0.25">
      <c r="A3305" s="2" t="s">
        <v>7674</v>
      </c>
      <c r="B3305" s="2" t="s">
        <v>2921</v>
      </c>
      <c r="C3305" s="2" t="str">
        <f t="shared" si="51"/>
        <v>TX0133647_001</v>
      </c>
      <c r="D3305" s="2" t="s">
        <v>4869</v>
      </c>
    </row>
    <row r="3306" spans="1:4" x14ac:dyDescent="0.25">
      <c r="A3306" s="2" t="s">
        <v>7675</v>
      </c>
      <c r="B3306" s="2" t="s">
        <v>2921</v>
      </c>
      <c r="C3306" s="2" t="str">
        <f t="shared" si="51"/>
        <v>TX0133655_001</v>
      </c>
      <c r="D3306" s="2" t="s">
        <v>4870</v>
      </c>
    </row>
    <row r="3307" spans="1:4" x14ac:dyDescent="0.25">
      <c r="A3307" s="2" t="s">
        <v>7676</v>
      </c>
      <c r="B3307" s="2" t="s">
        <v>2921</v>
      </c>
      <c r="C3307" s="2" t="str">
        <f t="shared" si="51"/>
        <v>TX0133663_001</v>
      </c>
      <c r="D3307" s="2" t="s">
        <v>4847</v>
      </c>
    </row>
    <row r="3308" spans="1:4" x14ac:dyDescent="0.25">
      <c r="A3308" s="2" t="s">
        <v>7677</v>
      </c>
      <c r="B3308" s="2" t="s">
        <v>2921</v>
      </c>
      <c r="C3308" s="2" t="str">
        <f t="shared" si="51"/>
        <v>TX0133671_001</v>
      </c>
      <c r="D3308" s="2" t="s">
        <v>3155</v>
      </c>
    </row>
    <row r="3309" spans="1:4" x14ac:dyDescent="0.25">
      <c r="A3309" s="2" t="s">
        <v>7678</v>
      </c>
      <c r="B3309" s="2" t="s">
        <v>2921</v>
      </c>
      <c r="C3309" s="2" t="str">
        <f t="shared" si="51"/>
        <v>TX0133680_001</v>
      </c>
      <c r="D3309" s="2" t="s">
        <v>4871</v>
      </c>
    </row>
    <row r="3310" spans="1:4" x14ac:dyDescent="0.25">
      <c r="A3310" s="2" t="s">
        <v>7679</v>
      </c>
      <c r="B3310" s="2" t="s">
        <v>2921</v>
      </c>
      <c r="C3310" s="2" t="str">
        <f t="shared" si="51"/>
        <v>TX0133698_001</v>
      </c>
      <c r="D3310" s="2" t="s">
        <v>4847</v>
      </c>
    </row>
    <row r="3311" spans="1:4" x14ac:dyDescent="0.25">
      <c r="A3311" s="2" t="s">
        <v>7680</v>
      </c>
      <c r="B3311" s="2" t="s">
        <v>2921</v>
      </c>
      <c r="C3311" s="2" t="str">
        <f t="shared" si="51"/>
        <v>TX0133701_001</v>
      </c>
      <c r="D3311" s="2" t="s">
        <v>4872</v>
      </c>
    </row>
    <row r="3312" spans="1:4" x14ac:dyDescent="0.25">
      <c r="A3312" s="2" t="s">
        <v>7681</v>
      </c>
      <c r="B3312" s="2" t="s">
        <v>2921</v>
      </c>
      <c r="C3312" s="2" t="str">
        <f t="shared" si="51"/>
        <v>TX0133710_001</v>
      </c>
      <c r="D3312" s="2" t="s">
        <v>4452</v>
      </c>
    </row>
    <row r="3313" spans="1:4" x14ac:dyDescent="0.25">
      <c r="A3313" s="2" t="s">
        <v>7682</v>
      </c>
      <c r="B3313" s="2" t="s">
        <v>2921</v>
      </c>
      <c r="C3313" s="2" t="str">
        <f t="shared" si="51"/>
        <v>TX0133728_001</v>
      </c>
      <c r="D3313" s="2" t="s">
        <v>4873</v>
      </c>
    </row>
    <row r="3314" spans="1:4" x14ac:dyDescent="0.25">
      <c r="A3314" s="2" t="s">
        <v>7683</v>
      </c>
      <c r="B3314" s="2" t="s">
        <v>2921</v>
      </c>
      <c r="C3314" s="2" t="str">
        <f t="shared" si="51"/>
        <v>TX0133736_001</v>
      </c>
      <c r="D3314" s="2" t="s">
        <v>4874</v>
      </c>
    </row>
    <row r="3315" spans="1:4" x14ac:dyDescent="0.25">
      <c r="A3315" s="2" t="s">
        <v>7684</v>
      </c>
      <c r="B3315" s="2" t="s">
        <v>2921</v>
      </c>
      <c r="C3315" s="2" t="str">
        <f t="shared" si="51"/>
        <v>TX0133744_001</v>
      </c>
      <c r="D3315" s="2" t="s">
        <v>3239</v>
      </c>
    </row>
    <row r="3316" spans="1:4" x14ac:dyDescent="0.25">
      <c r="A3316" s="2" t="s">
        <v>7685</v>
      </c>
      <c r="B3316" s="2" t="s">
        <v>2921</v>
      </c>
      <c r="C3316" s="2" t="str">
        <f t="shared" si="51"/>
        <v>TX0133761_001</v>
      </c>
      <c r="D3316" s="2" t="s">
        <v>4875</v>
      </c>
    </row>
    <row r="3317" spans="1:4" x14ac:dyDescent="0.25">
      <c r="A3317" s="2" t="s">
        <v>7686</v>
      </c>
      <c r="B3317" s="2" t="s">
        <v>2921</v>
      </c>
      <c r="C3317" s="2" t="str">
        <f t="shared" si="51"/>
        <v>TX0133779_001</v>
      </c>
      <c r="D3317" s="2" t="s">
        <v>4876</v>
      </c>
    </row>
    <row r="3318" spans="1:4" x14ac:dyDescent="0.25">
      <c r="A3318" s="2" t="s">
        <v>7687</v>
      </c>
      <c r="B3318" s="2" t="s">
        <v>2921</v>
      </c>
      <c r="C3318" s="2" t="str">
        <f t="shared" si="51"/>
        <v>TX0133787_001</v>
      </c>
      <c r="D3318" s="2" t="s">
        <v>4877</v>
      </c>
    </row>
    <row r="3319" spans="1:4" x14ac:dyDescent="0.25">
      <c r="A3319" s="2" t="s">
        <v>7688</v>
      </c>
      <c r="B3319" s="2" t="s">
        <v>2921</v>
      </c>
      <c r="C3319" s="2" t="str">
        <f t="shared" si="51"/>
        <v>TX0133809_001</v>
      </c>
      <c r="D3319" s="2" t="s">
        <v>4878</v>
      </c>
    </row>
    <row r="3320" spans="1:4" x14ac:dyDescent="0.25">
      <c r="A3320" s="2" t="s">
        <v>7689</v>
      </c>
      <c r="B3320" s="2" t="s">
        <v>2921</v>
      </c>
      <c r="C3320" s="2" t="str">
        <f t="shared" si="51"/>
        <v>TX0133817_001</v>
      </c>
      <c r="D3320" s="2" t="s">
        <v>4103</v>
      </c>
    </row>
    <row r="3321" spans="1:4" x14ac:dyDescent="0.25">
      <c r="A3321" s="2" t="s">
        <v>7690</v>
      </c>
      <c r="B3321" s="2" t="s">
        <v>2921</v>
      </c>
      <c r="C3321" s="2" t="str">
        <f t="shared" si="51"/>
        <v>TX0133825_001</v>
      </c>
      <c r="D3321" s="2" t="s">
        <v>4879</v>
      </c>
    </row>
    <row r="3322" spans="1:4" x14ac:dyDescent="0.25">
      <c r="A3322" s="2" t="s">
        <v>7691</v>
      </c>
      <c r="B3322" s="2" t="s">
        <v>2921</v>
      </c>
      <c r="C3322" s="2" t="str">
        <f t="shared" si="51"/>
        <v>TX0133833_001</v>
      </c>
      <c r="D3322" s="2" t="s">
        <v>4880</v>
      </c>
    </row>
    <row r="3323" spans="1:4" x14ac:dyDescent="0.25">
      <c r="A3323" s="2" t="s">
        <v>7692</v>
      </c>
      <c r="B3323" s="2" t="s">
        <v>2921</v>
      </c>
      <c r="C3323" s="2" t="str">
        <f t="shared" si="51"/>
        <v>TX0133841_001</v>
      </c>
      <c r="D3323" s="2" t="s">
        <v>4881</v>
      </c>
    </row>
    <row r="3324" spans="1:4" x14ac:dyDescent="0.25">
      <c r="A3324" s="2" t="s">
        <v>7693</v>
      </c>
      <c r="B3324" s="2" t="s">
        <v>2924</v>
      </c>
      <c r="C3324" s="2" t="str">
        <f t="shared" si="51"/>
        <v>TX0133884_003</v>
      </c>
      <c r="D3324" s="2" t="s">
        <v>4882</v>
      </c>
    </row>
    <row r="3325" spans="1:4" x14ac:dyDescent="0.25">
      <c r="A3325" s="2" t="s">
        <v>7693</v>
      </c>
      <c r="B3325" s="2" t="s">
        <v>2921</v>
      </c>
      <c r="C3325" s="2" t="str">
        <f t="shared" si="51"/>
        <v>TX0133884_001</v>
      </c>
      <c r="D3325" s="2" t="s">
        <v>4882</v>
      </c>
    </row>
    <row r="3326" spans="1:4" x14ac:dyDescent="0.25">
      <c r="A3326" s="2" t="s">
        <v>7693</v>
      </c>
      <c r="B3326" s="2" t="s">
        <v>2923</v>
      </c>
      <c r="C3326" s="2" t="str">
        <f t="shared" si="51"/>
        <v>TX0133884_002</v>
      </c>
      <c r="D3326" s="2" t="s">
        <v>4882</v>
      </c>
    </row>
    <row r="3327" spans="1:4" x14ac:dyDescent="0.25">
      <c r="A3327" s="2" t="s">
        <v>7694</v>
      </c>
      <c r="B3327" s="2" t="s">
        <v>2921</v>
      </c>
      <c r="C3327" s="2" t="str">
        <f t="shared" si="51"/>
        <v>TX0133892_001</v>
      </c>
      <c r="D3327" s="2" t="s">
        <v>4612</v>
      </c>
    </row>
    <row r="3328" spans="1:4" x14ac:dyDescent="0.25">
      <c r="A3328" s="2" t="s">
        <v>7695</v>
      </c>
      <c r="B3328" s="2" t="s">
        <v>2921</v>
      </c>
      <c r="C3328" s="2" t="str">
        <f t="shared" si="51"/>
        <v>TX0133906_001</v>
      </c>
      <c r="D3328" s="2" t="s">
        <v>4883</v>
      </c>
    </row>
    <row r="3329" spans="1:4" x14ac:dyDescent="0.25">
      <c r="A3329" s="2" t="s">
        <v>7696</v>
      </c>
      <c r="B3329" s="2" t="s">
        <v>2921</v>
      </c>
      <c r="C3329" s="2" t="str">
        <f t="shared" si="51"/>
        <v>TX0133914_001</v>
      </c>
      <c r="D3329" s="2" t="s">
        <v>4884</v>
      </c>
    </row>
    <row r="3330" spans="1:4" x14ac:dyDescent="0.25">
      <c r="A3330" s="2" t="s">
        <v>7697</v>
      </c>
      <c r="B3330" s="2" t="s">
        <v>2921</v>
      </c>
      <c r="C3330" s="2" t="str">
        <f t="shared" si="51"/>
        <v>TX0133922_001</v>
      </c>
      <c r="D3330" s="2" t="s">
        <v>3410</v>
      </c>
    </row>
    <row r="3331" spans="1:4" x14ac:dyDescent="0.25">
      <c r="A3331" s="2" t="s">
        <v>7698</v>
      </c>
      <c r="B3331" s="2" t="s">
        <v>2921</v>
      </c>
      <c r="C3331" s="2" t="str">
        <f t="shared" ref="C3331:C3394" si="52">A3331 &amp; "_" &amp; B3331</f>
        <v>TX0133949_001</v>
      </c>
      <c r="D3331" s="2" t="s">
        <v>4885</v>
      </c>
    </row>
    <row r="3332" spans="1:4" x14ac:dyDescent="0.25">
      <c r="A3332" s="2" t="s">
        <v>7699</v>
      </c>
      <c r="B3332" s="2" t="s">
        <v>2921</v>
      </c>
      <c r="C3332" s="2" t="str">
        <f t="shared" si="52"/>
        <v>TX0133957_001</v>
      </c>
      <c r="D3332" s="2" t="s">
        <v>4847</v>
      </c>
    </row>
    <row r="3333" spans="1:4" x14ac:dyDescent="0.25">
      <c r="A3333" s="2" t="s">
        <v>7700</v>
      </c>
      <c r="B3333" s="2" t="s">
        <v>2921</v>
      </c>
      <c r="C3333" s="2" t="str">
        <f t="shared" si="52"/>
        <v>TX0133981_001</v>
      </c>
      <c r="D3333" s="2" t="s">
        <v>4886</v>
      </c>
    </row>
    <row r="3334" spans="1:4" x14ac:dyDescent="0.25">
      <c r="A3334" s="2" t="s">
        <v>7701</v>
      </c>
      <c r="B3334" s="2" t="s">
        <v>2921</v>
      </c>
      <c r="C3334" s="2" t="str">
        <f t="shared" si="52"/>
        <v>TX0134244_001</v>
      </c>
      <c r="D3334" s="2" t="s">
        <v>4887</v>
      </c>
    </row>
    <row r="3335" spans="1:4" x14ac:dyDescent="0.25">
      <c r="A3335" s="2" t="s">
        <v>7702</v>
      </c>
      <c r="B3335" s="2" t="s">
        <v>2921</v>
      </c>
      <c r="C3335" s="2" t="str">
        <f t="shared" si="52"/>
        <v>TX0134261_001</v>
      </c>
      <c r="D3335" s="2" t="s">
        <v>4888</v>
      </c>
    </row>
    <row r="3336" spans="1:4" x14ac:dyDescent="0.25">
      <c r="A3336" s="2" t="s">
        <v>7703</v>
      </c>
      <c r="B3336" s="2" t="s">
        <v>2921</v>
      </c>
      <c r="C3336" s="2" t="str">
        <f t="shared" si="52"/>
        <v>TX0134287_001</v>
      </c>
      <c r="D3336" s="2" t="s">
        <v>4889</v>
      </c>
    </row>
    <row r="3337" spans="1:4" x14ac:dyDescent="0.25">
      <c r="A3337" s="2" t="s">
        <v>7704</v>
      </c>
      <c r="B3337" s="2" t="s">
        <v>2921</v>
      </c>
      <c r="C3337" s="2" t="str">
        <f t="shared" si="52"/>
        <v>TX0134309_001</v>
      </c>
      <c r="D3337" s="2" t="s">
        <v>4890</v>
      </c>
    </row>
    <row r="3338" spans="1:4" x14ac:dyDescent="0.25">
      <c r="A3338" s="2" t="s">
        <v>7705</v>
      </c>
      <c r="B3338" s="2" t="s">
        <v>2921</v>
      </c>
      <c r="C3338" s="2" t="str">
        <f t="shared" si="52"/>
        <v>TX0134325_001</v>
      </c>
      <c r="D3338" s="2" t="s">
        <v>4356</v>
      </c>
    </row>
    <row r="3339" spans="1:4" x14ac:dyDescent="0.25">
      <c r="A3339" s="2" t="s">
        <v>7706</v>
      </c>
      <c r="B3339" s="2" t="s">
        <v>2921</v>
      </c>
      <c r="C3339" s="2" t="str">
        <f t="shared" si="52"/>
        <v>TX0134333_001</v>
      </c>
      <c r="D3339" s="2" t="s">
        <v>4749</v>
      </c>
    </row>
    <row r="3340" spans="1:4" x14ac:dyDescent="0.25">
      <c r="A3340" s="2" t="s">
        <v>7707</v>
      </c>
      <c r="B3340" s="2" t="s">
        <v>2921</v>
      </c>
      <c r="C3340" s="2" t="str">
        <f t="shared" si="52"/>
        <v>TX0134368_001</v>
      </c>
      <c r="D3340" s="2" t="s">
        <v>4612</v>
      </c>
    </row>
    <row r="3341" spans="1:4" x14ac:dyDescent="0.25">
      <c r="A3341" s="2" t="s">
        <v>7708</v>
      </c>
      <c r="B3341" s="2" t="s">
        <v>2921</v>
      </c>
      <c r="C3341" s="2" t="str">
        <f t="shared" si="52"/>
        <v>TX0134376_001</v>
      </c>
      <c r="D3341" s="2" t="s">
        <v>4891</v>
      </c>
    </row>
    <row r="3342" spans="1:4" x14ac:dyDescent="0.25">
      <c r="A3342" s="2" t="s">
        <v>7709</v>
      </c>
      <c r="B3342" s="2" t="s">
        <v>2921</v>
      </c>
      <c r="C3342" s="2" t="str">
        <f t="shared" si="52"/>
        <v>TX0134384_001</v>
      </c>
      <c r="D3342" s="2" t="s">
        <v>2963</v>
      </c>
    </row>
    <row r="3343" spans="1:4" x14ac:dyDescent="0.25">
      <c r="A3343" s="2" t="s">
        <v>7710</v>
      </c>
      <c r="B3343" s="2" t="s">
        <v>2921</v>
      </c>
      <c r="C3343" s="2" t="str">
        <f t="shared" si="52"/>
        <v>TX0134414_001</v>
      </c>
      <c r="D3343" s="2" t="s">
        <v>4892</v>
      </c>
    </row>
    <row r="3344" spans="1:4" x14ac:dyDescent="0.25">
      <c r="A3344" s="2" t="s">
        <v>7711</v>
      </c>
      <c r="B3344" s="2" t="s">
        <v>2923</v>
      </c>
      <c r="C3344" s="2" t="str">
        <f t="shared" si="52"/>
        <v>TX0134422_002</v>
      </c>
      <c r="D3344" s="2" t="s">
        <v>4893</v>
      </c>
    </row>
    <row r="3345" spans="1:4" x14ac:dyDescent="0.25">
      <c r="A3345" s="2" t="s">
        <v>7711</v>
      </c>
      <c r="B3345" s="2" t="s">
        <v>2948</v>
      </c>
      <c r="C3345" s="2" t="str">
        <f t="shared" si="52"/>
        <v>TX0134422_011</v>
      </c>
      <c r="D3345" s="2" t="s">
        <v>4894</v>
      </c>
    </row>
    <row r="3346" spans="1:4" x14ac:dyDescent="0.25">
      <c r="A3346" s="2" t="s">
        <v>7711</v>
      </c>
      <c r="B3346" s="2" t="s">
        <v>2969</v>
      </c>
      <c r="C3346" s="2" t="str">
        <f t="shared" si="52"/>
        <v>TX0134422_009</v>
      </c>
      <c r="D3346" s="2" t="s">
        <v>4893</v>
      </c>
    </row>
    <row r="3347" spans="1:4" x14ac:dyDescent="0.25">
      <c r="A3347" s="2" t="s">
        <v>7711</v>
      </c>
      <c r="B3347" s="2" t="s">
        <v>2947</v>
      </c>
      <c r="C3347" s="2" t="str">
        <f t="shared" si="52"/>
        <v>TX0134422_010</v>
      </c>
      <c r="D3347" s="2" t="s">
        <v>4893</v>
      </c>
    </row>
    <row r="3348" spans="1:4" x14ac:dyDescent="0.25">
      <c r="A3348" s="2" t="s">
        <v>7712</v>
      </c>
      <c r="B3348" s="2" t="s">
        <v>2921</v>
      </c>
      <c r="C3348" s="2" t="str">
        <f t="shared" si="52"/>
        <v>TX0134449_001</v>
      </c>
      <c r="D3348" s="2" t="s">
        <v>4895</v>
      </c>
    </row>
    <row r="3349" spans="1:4" x14ac:dyDescent="0.25">
      <c r="A3349" s="2" t="s">
        <v>7713</v>
      </c>
      <c r="B3349" s="2" t="s">
        <v>2934</v>
      </c>
      <c r="C3349" s="2" t="str">
        <f t="shared" si="52"/>
        <v>TX0134465_005</v>
      </c>
      <c r="D3349" s="2" t="s">
        <v>4233</v>
      </c>
    </row>
    <row r="3350" spans="1:4" x14ac:dyDescent="0.25">
      <c r="A3350" s="2" t="s">
        <v>7713</v>
      </c>
      <c r="B3350" s="2" t="s">
        <v>2940</v>
      </c>
      <c r="C3350" s="2" t="str">
        <f t="shared" si="52"/>
        <v>TX0134465_006</v>
      </c>
      <c r="D3350" s="2" t="s">
        <v>4233</v>
      </c>
    </row>
    <row r="3351" spans="1:4" x14ac:dyDescent="0.25">
      <c r="A3351" s="2" t="s">
        <v>7713</v>
      </c>
      <c r="B3351" s="2" t="s">
        <v>2921</v>
      </c>
      <c r="C3351" s="2" t="str">
        <f t="shared" si="52"/>
        <v>TX0134465_001</v>
      </c>
      <c r="D3351" s="2" t="s">
        <v>4233</v>
      </c>
    </row>
    <row r="3352" spans="1:4" x14ac:dyDescent="0.25">
      <c r="A3352" s="2" t="s">
        <v>7713</v>
      </c>
      <c r="B3352" s="2" t="s">
        <v>2923</v>
      </c>
      <c r="C3352" s="2" t="str">
        <f t="shared" si="52"/>
        <v>TX0134465_002</v>
      </c>
      <c r="D3352" s="2" t="s">
        <v>4233</v>
      </c>
    </row>
    <row r="3353" spans="1:4" x14ac:dyDescent="0.25">
      <c r="A3353" s="2" t="s">
        <v>7713</v>
      </c>
      <c r="B3353" s="2" t="s">
        <v>2924</v>
      </c>
      <c r="C3353" s="2" t="str">
        <f t="shared" si="52"/>
        <v>TX0134465_003</v>
      </c>
      <c r="D3353" s="2" t="s">
        <v>4233</v>
      </c>
    </row>
    <row r="3354" spans="1:4" x14ac:dyDescent="0.25">
      <c r="A3354" s="2" t="s">
        <v>7713</v>
      </c>
      <c r="B3354" s="2" t="s">
        <v>2936</v>
      </c>
      <c r="C3354" s="2" t="str">
        <f t="shared" si="52"/>
        <v>TX0134465_004</v>
      </c>
      <c r="D3354" s="2" t="s">
        <v>4233</v>
      </c>
    </row>
    <row r="3355" spans="1:4" x14ac:dyDescent="0.25">
      <c r="A3355" s="2" t="s">
        <v>7714</v>
      </c>
      <c r="B3355" s="2" t="s">
        <v>2921</v>
      </c>
      <c r="C3355" s="2" t="str">
        <f t="shared" si="52"/>
        <v>TX0134481_001</v>
      </c>
      <c r="D3355" s="2" t="s">
        <v>4401</v>
      </c>
    </row>
    <row r="3356" spans="1:4" x14ac:dyDescent="0.25">
      <c r="A3356" s="2" t="s">
        <v>7715</v>
      </c>
      <c r="B3356" s="2" t="s">
        <v>2921</v>
      </c>
      <c r="C3356" s="2" t="str">
        <f t="shared" si="52"/>
        <v>TX0134490_001</v>
      </c>
      <c r="D3356" s="2" t="s">
        <v>4896</v>
      </c>
    </row>
    <row r="3357" spans="1:4" x14ac:dyDescent="0.25">
      <c r="A3357" s="2" t="s">
        <v>7716</v>
      </c>
      <c r="B3357" s="2" t="s">
        <v>2921</v>
      </c>
      <c r="C3357" s="2" t="str">
        <f t="shared" si="52"/>
        <v>TX0134503_001</v>
      </c>
      <c r="D3357" s="2" t="s">
        <v>4897</v>
      </c>
    </row>
    <row r="3358" spans="1:4" x14ac:dyDescent="0.25">
      <c r="A3358" s="2" t="s">
        <v>7717</v>
      </c>
      <c r="B3358" s="2" t="s">
        <v>2921</v>
      </c>
      <c r="C3358" s="2" t="str">
        <f t="shared" si="52"/>
        <v>TX0134520_001</v>
      </c>
      <c r="D3358" s="2" t="s">
        <v>4898</v>
      </c>
    </row>
    <row r="3359" spans="1:4" x14ac:dyDescent="0.25">
      <c r="A3359" s="2" t="s">
        <v>7718</v>
      </c>
      <c r="B3359" s="2" t="s">
        <v>2921</v>
      </c>
      <c r="C3359" s="2" t="str">
        <f t="shared" si="52"/>
        <v>TX0134538_001</v>
      </c>
      <c r="D3359" s="2" t="s">
        <v>4899</v>
      </c>
    </row>
    <row r="3360" spans="1:4" x14ac:dyDescent="0.25">
      <c r="A3360" s="2" t="s">
        <v>7719</v>
      </c>
      <c r="B3360" s="2" t="s">
        <v>2921</v>
      </c>
      <c r="C3360" s="2" t="str">
        <f t="shared" si="52"/>
        <v>TX0134546_001</v>
      </c>
      <c r="D3360" s="2" t="s">
        <v>4900</v>
      </c>
    </row>
    <row r="3361" spans="1:4" x14ac:dyDescent="0.25">
      <c r="A3361" s="2" t="s">
        <v>7720</v>
      </c>
      <c r="B3361" s="2" t="s">
        <v>2921</v>
      </c>
      <c r="C3361" s="2" t="str">
        <f t="shared" si="52"/>
        <v>TX0134562_001</v>
      </c>
      <c r="D3361" s="2" t="s">
        <v>4749</v>
      </c>
    </row>
    <row r="3362" spans="1:4" x14ac:dyDescent="0.25">
      <c r="A3362" s="2" t="s">
        <v>7721</v>
      </c>
      <c r="B3362" s="2" t="s">
        <v>2921</v>
      </c>
      <c r="C3362" s="2" t="str">
        <f t="shared" si="52"/>
        <v>TX0134571_001</v>
      </c>
      <c r="D3362" s="2" t="s">
        <v>4901</v>
      </c>
    </row>
    <row r="3363" spans="1:4" x14ac:dyDescent="0.25">
      <c r="A3363" s="2" t="s">
        <v>7722</v>
      </c>
      <c r="B3363" s="2" t="s">
        <v>2921</v>
      </c>
      <c r="C3363" s="2" t="str">
        <f t="shared" si="52"/>
        <v>TX0134601_001</v>
      </c>
      <c r="D3363" s="2" t="s">
        <v>4902</v>
      </c>
    </row>
    <row r="3364" spans="1:4" x14ac:dyDescent="0.25">
      <c r="A3364" s="2" t="s">
        <v>7723</v>
      </c>
      <c r="B3364" s="2" t="s">
        <v>2921</v>
      </c>
      <c r="C3364" s="2" t="str">
        <f t="shared" si="52"/>
        <v>TX0134619_001</v>
      </c>
      <c r="D3364" s="2" t="s">
        <v>4903</v>
      </c>
    </row>
    <row r="3365" spans="1:4" x14ac:dyDescent="0.25">
      <c r="A3365" s="2" t="s">
        <v>7724</v>
      </c>
      <c r="B3365" s="2" t="s">
        <v>2921</v>
      </c>
      <c r="C3365" s="2" t="str">
        <f t="shared" si="52"/>
        <v>TX0134627_001</v>
      </c>
      <c r="D3365" s="2" t="s">
        <v>4904</v>
      </c>
    </row>
    <row r="3366" spans="1:4" x14ac:dyDescent="0.25">
      <c r="A3366" s="2" t="s">
        <v>7725</v>
      </c>
      <c r="B3366" s="2" t="s">
        <v>2921</v>
      </c>
      <c r="C3366" s="2" t="str">
        <f t="shared" si="52"/>
        <v>TX0134635_001</v>
      </c>
      <c r="D3366" s="2" t="s">
        <v>4905</v>
      </c>
    </row>
    <row r="3367" spans="1:4" x14ac:dyDescent="0.25">
      <c r="A3367" s="2" t="s">
        <v>7726</v>
      </c>
      <c r="B3367" s="2" t="s">
        <v>2921</v>
      </c>
      <c r="C3367" s="2" t="str">
        <f t="shared" si="52"/>
        <v>TX0134643_001</v>
      </c>
      <c r="D3367" s="2" t="s">
        <v>4847</v>
      </c>
    </row>
    <row r="3368" spans="1:4" x14ac:dyDescent="0.25">
      <c r="A3368" s="2" t="s">
        <v>7727</v>
      </c>
      <c r="B3368" s="2" t="s">
        <v>2921</v>
      </c>
      <c r="C3368" s="2" t="str">
        <f t="shared" si="52"/>
        <v>TX0134651_001</v>
      </c>
      <c r="D3368" s="2" t="s">
        <v>4906</v>
      </c>
    </row>
    <row r="3369" spans="1:4" x14ac:dyDescent="0.25">
      <c r="A3369" s="2" t="s">
        <v>7727</v>
      </c>
      <c r="B3369" s="2" t="s">
        <v>2923</v>
      </c>
      <c r="C3369" s="2" t="str">
        <f t="shared" si="52"/>
        <v>TX0134651_002</v>
      </c>
      <c r="D3369" s="2" t="s">
        <v>4906</v>
      </c>
    </row>
    <row r="3370" spans="1:4" x14ac:dyDescent="0.25">
      <c r="A3370" s="2" t="s">
        <v>7728</v>
      </c>
      <c r="B3370" s="2" t="s">
        <v>2921</v>
      </c>
      <c r="C3370" s="2" t="str">
        <f t="shared" si="52"/>
        <v>TX0134686_001</v>
      </c>
      <c r="D3370" s="2" t="s">
        <v>4103</v>
      </c>
    </row>
    <row r="3371" spans="1:4" x14ac:dyDescent="0.25">
      <c r="A3371" s="2" t="s">
        <v>7729</v>
      </c>
      <c r="B3371" s="2" t="s">
        <v>2921</v>
      </c>
      <c r="C3371" s="2" t="str">
        <f t="shared" si="52"/>
        <v>TX0134694_001</v>
      </c>
      <c r="D3371" s="2" t="s">
        <v>4907</v>
      </c>
    </row>
    <row r="3372" spans="1:4" x14ac:dyDescent="0.25">
      <c r="A3372" s="2" t="s">
        <v>7729</v>
      </c>
      <c r="B3372" s="2" t="s">
        <v>2936</v>
      </c>
      <c r="C3372" s="2" t="str">
        <f t="shared" si="52"/>
        <v>TX0134694_004</v>
      </c>
      <c r="D3372" s="2" t="s">
        <v>4907</v>
      </c>
    </row>
    <row r="3373" spans="1:4" x14ac:dyDescent="0.25">
      <c r="A3373" s="2" t="s">
        <v>7729</v>
      </c>
      <c r="B3373" s="2" t="s">
        <v>2923</v>
      </c>
      <c r="C3373" s="2" t="str">
        <f t="shared" si="52"/>
        <v>TX0134694_002</v>
      </c>
      <c r="D3373" s="2" t="s">
        <v>4907</v>
      </c>
    </row>
    <row r="3374" spans="1:4" x14ac:dyDescent="0.25">
      <c r="A3374" s="2" t="s">
        <v>7730</v>
      </c>
      <c r="B3374" s="2" t="s">
        <v>2921</v>
      </c>
      <c r="C3374" s="2" t="str">
        <f t="shared" si="52"/>
        <v>TX0134708_001</v>
      </c>
      <c r="D3374" s="2" t="s">
        <v>4908</v>
      </c>
    </row>
    <row r="3375" spans="1:4" x14ac:dyDescent="0.25">
      <c r="A3375" s="2" t="s">
        <v>7731</v>
      </c>
      <c r="B3375" s="2" t="s">
        <v>2921</v>
      </c>
      <c r="C3375" s="2" t="str">
        <f t="shared" si="52"/>
        <v>TX0134716_001</v>
      </c>
      <c r="D3375" s="2" t="s">
        <v>4271</v>
      </c>
    </row>
    <row r="3376" spans="1:4" x14ac:dyDescent="0.25">
      <c r="A3376" s="2" t="s">
        <v>7732</v>
      </c>
      <c r="B3376" s="2" t="s">
        <v>2921</v>
      </c>
      <c r="C3376" s="2" t="str">
        <f t="shared" si="52"/>
        <v>TX0134732_001</v>
      </c>
      <c r="D3376" s="2" t="s">
        <v>3713</v>
      </c>
    </row>
    <row r="3377" spans="1:4" x14ac:dyDescent="0.25">
      <c r="A3377" s="2" t="s">
        <v>7733</v>
      </c>
      <c r="B3377" s="2" t="s">
        <v>2921</v>
      </c>
      <c r="C3377" s="2" t="str">
        <f t="shared" si="52"/>
        <v>TX0134741_001</v>
      </c>
      <c r="D3377" s="2" t="s">
        <v>4899</v>
      </c>
    </row>
    <row r="3378" spans="1:4" x14ac:dyDescent="0.25">
      <c r="A3378" s="2" t="s">
        <v>7734</v>
      </c>
      <c r="B3378" s="2" t="s">
        <v>2921</v>
      </c>
      <c r="C3378" s="2" t="str">
        <f t="shared" si="52"/>
        <v>TX0134759_001</v>
      </c>
      <c r="D3378" s="2" t="s">
        <v>4909</v>
      </c>
    </row>
    <row r="3379" spans="1:4" x14ac:dyDescent="0.25">
      <c r="A3379" s="2" t="s">
        <v>7735</v>
      </c>
      <c r="B3379" s="2" t="s">
        <v>2921</v>
      </c>
      <c r="C3379" s="2" t="str">
        <f t="shared" si="52"/>
        <v>TX0134775_001</v>
      </c>
      <c r="D3379" s="2" t="s">
        <v>4910</v>
      </c>
    </row>
    <row r="3380" spans="1:4" x14ac:dyDescent="0.25">
      <c r="A3380" s="2" t="s">
        <v>7736</v>
      </c>
      <c r="B3380" s="2" t="s">
        <v>2921</v>
      </c>
      <c r="C3380" s="2" t="str">
        <f t="shared" si="52"/>
        <v>TX0134783_001</v>
      </c>
      <c r="D3380" s="2" t="s">
        <v>4612</v>
      </c>
    </row>
    <row r="3381" spans="1:4" x14ac:dyDescent="0.25">
      <c r="A3381" s="2" t="s">
        <v>7737</v>
      </c>
      <c r="B3381" s="2" t="s">
        <v>2921</v>
      </c>
      <c r="C3381" s="2" t="str">
        <f t="shared" si="52"/>
        <v>TX0134791_001</v>
      </c>
      <c r="D3381" s="2" t="s">
        <v>4911</v>
      </c>
    </row>
    <row r="3382" spans="1:4" x14ac:dyDescent="0.25">
      <c r="A3382" s="2" t="s">
        <v>7738</v>
      </c>
      <c r="B3382" s="2" t="s">
        <v>2921</v>
      </c>
      <c r="C3382" s="2" t="str">
        <f t="shared" si="52"/>
        <v>TX0134813_001</v>
      </c>
      <c r="D3382" s="2" t="s">
        <v>4411</v>
      </c>
    </row>
    <row r="3383" spans="1:4" x14ac:dyDescent="0.25">
      <c r="A3383" s="2" t="s">
        <v>7739</v>
      </c>
      <c r="B3383" s="2" t="s">
        <v>2921</v>
      </c>
      <c r="C3383" s="2" t="str">
        <f t="shared" si="52"/>
        <v>TX0134856_001</v>
      </c>
      <c r="D3383" s="2" t="s">
        <v>4912</v>
      </c>
    </row>
    <row r="3384" spans="1:4" x14ac:dyDescent="0.25">
      <c r="A3384" s="2" t="s">
        <v>7740</v>
      </c>
      <c r="B3384" s="2" t="s">
        <v>2921</v>
      </c>
      <c r="C3384" s="2" t="str">
        <f t="shared" si="52"/>
        <v>TX0134864_001</v>
      </c>
      <c r="D3384" s="2" t="s">
        <v>3286</v>
      </c>
    </row>
    <row r="3385" spans="1:4" x14ac:dyDescent="0.25">
      <c r="A3385" s="2" t="s">
        <v>7741</v>
      </c>
      <c r="B3385" s="2" t="s">
        <v>2921</v>
      </c>
      <c r="C3385" s="2" t="str">
        <f t="shared" si="52"/>
        <v>TX0134872_001</v>
      </c>
      <c r="D3385" s="2" t="s">
        <v>4913</v>
      </c>
    </row>
    <row r="3386" spans="1:4" x14ac:dyDescent="0.25">
      <c r="A3386" s="2" t="s">
        <v>7742</v>
      </c>
      <c r="B3386" s="2" t="s">
        <v>2921</v>
      </c>
      <c r="C3386" s="2" t="str">
        <f t="shared" si="52"/>
        <v>TX0134899_001</v>
      </c>
      <c r="D3386" s="2" t="s">
        <v>4914</v>
      </c>
    </row>
    <row r="3387" spans="1:4" x14ac:dyDescent="0.25">
      <c r="A3387" s="2" t="s">
        <v>7743</v>
      </c>
      <c r="B3387" s="2" t="s">
        <v>2921</v>
      </c>
      <c r="C3387" s="2" t="str">
        <f t="shared" si="52"/>
        <v>TX0134902_001</v>
      </c>
      <c r="D3387" s="2" t="s">
        <v>4915</v>
      </c>
    </row>
    <row r="3388" spans="1:4" x14ac:dyDescent="0.25">
      <c r="A3388" s="2" t="s">
        <v>7744</v>
      </c>
      <c r="B3388" s="2" t="s">
        <v>2921</v>
      </c>
      <c r="C3388" s="2" t="str">
        <f t="shared" si="52"/>
        <v>TX0134911_001</v>
      </c>
      <c r="D3388" s="2" t="s">
        <v>4916</v>
      </c>
    </row>
    <row r="3389" spans="1:4" x14ac:dyDescent="0.25">
      <c r="A3389" s="2" t="s">
        <v>7745</v>
      </c>
      <c r="B3389" s="2" t="s">
        <v>2921</v>
      </c>
      <c r="C3389" s="2" t="str">
        <f t="shared" si="52"/>
        <v>TX0134929_001</v>
      </c>
      <c r="D3389" s="2" t="s">
        <v>4917</v>
      </c>
    </row>
    <row r="3390" spans="1:4" x14ac:dyDescent="0.25">
      <c r="A3390" s="2" t="s">
        <v>7746</v>
      </c>
      <c r="B3390" s="2" t="s">
        <v>2921</v>
      </c>
      <c r="C3390" s="2" t="str">
        <f t="shared" si="52"/>
        <v>TX0134937_001</v>
      </c>
      <c r="D3390" s="2" t="s">
        <v>4918</v>
      </c>
    </row>
    <row r="3391" spans="1:4" x14ac:dyDescent="0.25">
      <c r="A3391" s="2" t="s">
        <v>7747</v>
      </c>
      <c r="B3391" s="2" t="s">
        <v>2921</v>
      </c>
      <c r="C3391" s="2" t="str">
        <f t="shared" si="52"/>
        <v>TX0134945_001</v>
      </c>
      <c r="D3391" s="2" t="s">
        <v>4919</v>
      </c>
    </row>
    <row r="3392" spans="1:4" x14ac:dyDescent="0.25">
      <c r="A3392" s="2" t="s">
        <v>7748</v>
      </c>
      <c r="B3392" s="2" t="s">
        <v>2921</v>
      </c>
      <c r="C3392" s="2" t="str">
        <f t="shared" si="52"/>
        <v>TX0134953_001</v>
      </c>
      <c r="D3392" s="2" t="s">
        <v>4286</v>
      </c>
    </row>
    <row r="3393" spans="1:4" x14ac:dyDescent="0.25">
      <c r="A3393" s="2" t="s">
        <v>7749</v>
      </c>
      <c r="B3393" s="2" t="s">
        <v>2921</v>
      </c>
      <c r="C3393" s="2" t="str">
        <f t="shared" si="52"/>
        <v>TX0134996_001</v>
      </c>
      <c r="D3393" s="2" t="s">
        <v>4103</v>
      </c>
    </row>
    <row r="3394" spans="1:4" x14ac:dyDescent="0.25">
      <c r="A3394" s="2" t="s">
        <v>7750</v>
      </c>
      <c r="B3394" s="2" t="s">
        <v>2921</v>
      </c>
      <c r="C3394" s="2" t="str">
        <f t="shared" si="52"/>
        <v>TX0135020_001</v>
      </c>
      <c r="D3394" s="2" t="s">
        <v>4920</v>
      </c>
    </row>
    <row r="3395" spans="1:4" x14ac:dyDescent="0.25">
      <c r="A3395" s="2" t="s">
        <v>7751</v>
      </c>
      <c r="B3395" s="2" t="s">
        <v>2921</v>
      </c>
      <c r="C3395" s="2" t="str">
        <f t="shared" ref="C3395:C3458" si="53">A3395 &amp; "_" &amp; B3395</f>
        <v>TX0135038_001</v>
      </c>
      <c r="D3395" s="2" t="s">
        <v>4921</v>
      </c>
    </row>
    <row r="3396" spans="1:4" x14ac:dyDescent="0.25">
      <c r="A3396" s="2" t="s">
        <v>7752</v>
      </c>
      <c r="B3396" s="2" t="s">
        <v>2921</v>
      </c>
      <c r="C3396" s="2" t="str">
        <f t="shared" si="53"/>
        <v>TX0135046_001</v>
      </c>
      <c r="D3396" s="2" t="s">
        <v>4922</v>
      </c>
    </row>
    <row r="3397" spans="1:4" x14ac:dyDescent="0.25">
      <c r="A3397" s="2" t="s">
        <v>7753</v>
      </c>
      <c r="B3397" s="2" t="s">
        <v>2921</v>
      </c>
      <c r="C3397" s="2" t="str">
        <f t="shared" si="53"/>
        <v>TX0135054_001</v>
      </c>
      <c r="D3397" s="2" t="s">
        <v>4299</v>
      </c>
    </row>
    <row r="3398" spans="1:4" x14ac:dyDescent="0.25">
      <c r="A3398" s="2" t="s">
        <v>7754</v>
      </c>
      <c r="B3398" s="2" t="s">
        <v>2921</v>
      </c>
      <c r="C3398" s="2" t="str">
        <f t="shared" si="53"/>
        <v>TX0135062_001</v>
      </c>
      <c r="D3398" s="2" t="s">
        <v>4923</v>
      </c>
    </row>
    <row r="3399" spans="1:4" x14ac:dyDescent="0.25">
      <c r="A3399" s="2" t="s">
        <v>7755</v>
      </c>
      <c r="B3399" s="2" t="s">
        <v>2921</v>
      </c>
      <c r="C3399" s="2" t="str">
        <f t="shared" si="53"/>
        <v>TX0135071_001</v>
      </c>
      <c r="D3399" s="2" t="s">
        <v>4924</v>
      </c>
    </row>
    <row r="3400" spans="1:4" x14ac:dyDescent="0.25">
      <c r="A3400" s="2" t="s">
        <v>7756</v>
      </c>
      <c r="B3400" s="2" t="s">
        <v>2921</v>
      </c>
      <c r="C3400" s="2" t="str">
        <f t="shared" si="53"/>
        <v>TX0135089_001</v>
      </c>
      <c r="D3400" s="2" t="s">
        <v>4925</v>
      </c>
    </row>
    <row r="3401" spans="1:4" x14ac:dyDescent="0.25">
      <c r="A3401" s="2" t="s">
        <v>7757</v>
      </c>
      <c r="B3401" s="2" t="s">
        <v>2921</v>
      </c>
      <c r="C3401" s="2" t="str">
        <f t="shared" si="53"/>
        <v>TX0135101_001</v>
      </c>
      <c r="D3401" s="2" t="s">
        <v>4926</v>
      </c>
    </row>
    <row r="3402" spans="1:4" x14ac:dyDescent="0.25">
      <c r="A3402" s="2" t="s">
        <v>7758</v>
      </c>
      <c r="B3402" s="2" t="s">
        <v>2921</v>
      </c>
      <c r="C3402" s="2" t="str">
        <f t="shared" si="53"/>
        <v>TX0135119_001</v>
      </c>
      <c r="D3402" s="2" t="s">
        <v>4927</v>
      </c>
    </row>
    <row r="3403" spans="1:4" x14ac:dyDescent="0.25">
      <c r="A3403" s="2" t="s">
        <v>7759</v>
      </c>
      <c r="B3403" s="2" t="s">
        <v>2921</v>
      </c>
      <c r="C3403" s="2" t="str">
        <f t="shared" si="53"/>
        <v>TX0135127_001</v>
      </c>
      <c r="D3403" s="2" t="s">
        <v>4928</v>
      </c>
    </row>
    <row r="3404" spans="1:4" x14ac:dyDescent="0.25">
      <c r="A3404" s="2" t="s">
        <v>7760</v>
      </c>
      <c r="B3404" s="2" t="s">
        <v>2921</v>
      </c>
      <c r="C3404" s="2" t="str">
        <f t="shared" si="53"/>
        <v>TX0135135_001</v>
      </c>
      <c r="D3404" s="2" t="s">
        <v>4929</v>
      </c>
    </row>
    <row r="3405" spans="1:4" x14ac:dyDescent="0.25">
      <c r="A3405" s="2" t="s">
        <v>7761</v>
      </c>
      <c r="B3405" s="2" t="s">
        <v>2921</v>
      </c>
      <c r="C3405" s="2" t="str">
        <f t="shared" si="53"/>
        <v>TX0135143_001</v>
      </c>
      <c r="D3405" s="2" t="s">
        <v>4930</v>
      </c>
    </row>
    <row r="3406" spans="1:4" x14ac:dyDescent="0.25">
      <c r="A3406" s="2" t="s">
        <v>7762</v>
      </c>
      <c r="B3406" s="2" t="s">
        <v>2921</v>
      </c>
      <c r="C3406" s="2" t="str">
        <f t="shared" si="53"/>
        <v>TX0135151_001</v>
      </c>
      <c r="D3406" s="2" t="s">
        <v>4931</v>
      </c>
    </row>
    <row r="3407" spans="1:4" x14ac:dyDescent="0.25">
      <c r="A3407" s="2" t="s">
        <v>7763</v>
      </c>
      <c r="B3407" s="2" t="s">
        <v>2921</v>
      </c>
      <c r="C3407" s="2" t="str">
        <f t="shared" si="53"/>
        <v>TX0135160_001</v>
      </c>
      <c r="D3407" s="2" t="s">
        <v>4550</v>
      </c>
    </row>
    <row r="3408" spans="1:4" x14ac:dyDescent="0.25">
      <c r="A3408" s="2" t="s">
        <v>7764</v>
      </c>
      <c r="B3408" s="2" t="s">
        <v>2921</v>
      </c>
      <c r="C3408" s="2" t="str">
        <f t="shared" si="53"/>
        <v>TX0135186_001</v>
      </c>
      <c r="D3408" s="2" t="s">
        <v>4838</v>
      </c>
    </row>
    <row r="3409" spans="1:4" x14ac:dyDescent="0.25">
      <c r="A3409" s="2" t="s">
        <v>7765</v>
      </c>
      <c r="B3409" s="2" t="s">
        <v>2921</v>
      </c>
      <c r="C3409" s="2" t="str">
        <f t="shared" si="53"/>
        <v>TX0135194_001</v>
      </c>
      <c r="D3409" s="2" t="s">
        <v>4932</v>
      </c>
    </row>
    <row r="3410" spans="1:4" x14ac:dyDescent="0.25">
      <c r="A3410" s="2" t="s">
        <v>7766</v>
      </c>
      <c r="B3410" s="2" t="s">
        <v>2921</v>
      </c>
      <c r="C3410" s="2" t="str">
        <f t="shared" si="53"/>
        <v>TX0135208_001</v>
      </c>
      <c r="D3410" s="2" t="s">
        <v>4804</v>
      </c>
    </row>
    <row r="3411" spans="1:4" x14ac:dyDescent="0.25">
      <c r="A3411" s="2" t="s">
        <v>7767</v>
      </c>
      <c r="B3411" s="2" t="s">
        <v>2921</v>
      </c>
      <c r="C3411" s="2" t="str">
        <f t="shared" si="53"/>
        <v>TX0135232_001</v>
      </c>
      <c r="D3411" s="2" t="s">
        <v>4933</v>
      </c>
    </row>
    <row r="3412" spans="1:4" x14ac:dyDescent="0.25">
      <c r="A3412" s="2" t="s">
        <v>7768</v>
      </c>
      <c r="B3412" s="2" t="s">
        <v>2921</v>
      </c>
      <c r="C3412" s="2" t="str">
        <f t="shared" si="53"/>
        <v>TX0135241_001</v>
      </c>
      <c r="D3412" s="2" t="s">
        <v>4934</v>
      </c>
    </row>
    <row r="3413" spans="1:4" x14ac:dyDescent="0.25">
      <c r="A3413" s="2" t="s">
        <v>7769</v>
      </c>
      <c r="B3413" s="2" t="s">
        <v>2921</v>
      </c>
      <c r="C3413" s="2" t="str">
        <f t="shared" si="53"/>
        <v>TX0135259_001</v>
      </c>
      <c r="D3413" s="2" t="s">
        <v>3916</v>
      </c>
    </row>
    <row r="3414" spans="1:4" x14ac:dyDescent="0.25">
      <c r="A3414" s="2" t="s">
        <v>7770</v>
      </c>
      <c r="B3414" s="2" t="s">
        <v>2921</v>
      </c>
      <c r="C3414" s="2" t="str">
        <f t="shared" si="53"/>
        <v>TX0135267_001</v>
      </c>
      <c r="D3414" s="2" t="s">
        <v>4935</v>
      </c>
    </row>
    <row r="3415" spans="1:4" x14ac:dyDescent="0.25">
      <c r="A3415" s="2" t="s">
        <v>7771</v>
      </c>
      <c r="B3415" s="2" t="s">
        <v>2921</v>
      </c>
      <c r="C3415" s="2" t="str">
        <f t="shared" si="53"/>
        <v>TX0135283_001</v>
      </c>
      <c r="D3415" s="2" t="s">
        <v>4936</v>
      </c>
    </row>
    <row r="3416" spans="1:4" x14ac:dyDescent="0.25">
      <c r="A3416" s="2" t="s">
        <v>7772</v>
      </c>
      <c r="B3416" s="2" t="s">
        <v>2921</v>
      </c>
      <c r="C3416" s="2" t="str">
        <f t="shared" si="53"/>
        <v>TX0135305_001</v>
      </c>
      <c r="D3416" s="2" t="s">
        <v>4937</v>
      </c>
    </row>
    <row r="3417" spans="1:4" x14ac:dyDescent="0.25">
      <c r="A3417" s="2" t="s">
        <v>7773</v>
      </c>
      <c r="B3417" s="2" t="s">
        <v>2921</v>
      </c>
      <c r="C3417" s="2" t="str">
        <f t="shared" si="53"/>
        <v>TX0135321_001</v>
      </c>
      <c r="D3417" s="2" t="s">
        <v>2925</v>
      </c>
    </row>
    <row r="3418" spans="1:4" x14ac:dyDescent="0.25">
      <c r="A3418" s="2" t="s">
        <v>7774</v>
      </c>
      <c r="B3418" s="2" t="s">
        <v>2921</v>
      </c>
      <c r="C3418" s="2" t="str">
        <f t="shared" si="53"/>
        <v>TX0135330_001</v>
      </c>
      <c r="D3418" s="2" t="s">
        <v>4938</v>
      </c>
    </row>
    <row r="3419" spans="1:4" x14ac:dyDescent="0.25">
      <c r="A3419" s="2" t="s">
        <v>7775</v>
      </c>
      <c r="B3419" s="2" t="s">
        <v>2921</v>
      </c>
      <c r="C3419" s="2" t="str">
        <f t="shared" si="53"/>
        <v>TX0135348_001</v>
      </c>
      <c r="D3419" s="2" t="s">
        <v>4939</v>
      </c>
    </row>
    <row r="3420" spans="1:4" x14ac:dyDescent="0.25">
      <c r="A3420" s="2" t="s">
        <v>7776</v>
      </c>
      <c r="B3420" s="2" t="s">
        <v>2921</v>
      </c>
      <c r="C3420" s="2" t="str">
        <f t="shared" si="53"/>
        <v>TX0135356_001</v>
      </c>
      <c r="D3420" s="2" t="s">
        <v>4940</v>
      </c>
    </row>
    <row r="3421" spans="1:4" x14ac:dyDescent="0.25">
      <c r="A3421" s="2" t="s">
        <v>7777</v>
      </c>
      <c r="B3421" s="2" t="s">
        <v>2921</v>
      </c>
      <c r="C3421" s="2" t="str">
        <f t="shared" si="53"/>
        <v>TX0135364_001</v>
      </c>
      <c r="D3421" s="2" t="s">
        <v>4941</v>
      </c>
    </row>
    <row r="3422" spans="1:4" x14ac:dyDescent="0.25">
      <c r="A3422" s="2" t="s">
        <v>7778</v>
      </c>
      <c r="B3422" s="2" t="s">
        <v>2921</v>
      </c>
      <c r="C3422" s="2" t="str">
        <f t="shared" si="53"/>
        <v>TX0135373_001</v>
      </c>
      <c r="D3422" s="2" t="s">
        <v>4942</v>
      </c>
    </row>
    <row r="3423" spans="1:4" x14ac:dyDescent="0.25">
      <c r="A3423" s="2" t="s">
        <v>7779</v>
      </c>
      <c r="B3423" s="2" t="s">
        <v>2921</v>
      </c>
      <c r="C3423" s="2" t="str">
        <f t="shared" si="53"/>
        <v>TX0135411_001</v>
      </c>
      <c r="D3423" s="2" t="s">
        <v>4943</v>
      </c>
    </row>
    <row r="3424" spans="1:4" x14ac:dyDescent="0.25">
      <c r="A3424" s="2" t="s">
        <v>7780</v>
      </c>
      <c r="B3424" s="2" t="s">
        <v>2921</v>
      </c>
      <c r="C3424" s="2" t="str">
        <f t="shared" si="53"/>
        <v>TX0135429_001</v>
      </c>
      <c r="D3424" s="2" t="s">
        <v>4944</v>
      </c>
    </row>
    <row r="3425" spans="1:4" x14ac:dyDescent="0.25">
      <c r="A3425" s="2" t="s">
        <v>7781</v>
      </c>
      <c r="B3425" s="2" t="s">
        <v>2921</v>
      </c>
      <c r="C3425" s="2" t="str">
        <f t="shared" si="53"/>
        <v>TX0135445_001</v>
      </c>
      <c r="D3425" s="2" t="s">
        <v>4945</v>
      </c>
    </row>
    <row r="3426" spans="1:4" x14ac:dyDescent="0.25">
      <c r="A3426" s="2" t="s">
        <v>7782</v>
      </c>
      <c r="B3426" s="2" t="s">
        <v>2921</v>
      </c>
      <c r="C3426" s="2" t="str">
        <f t="shared" si="53"/>
        <v>TX0135453_001</v>
      </c>
      <c r="D3426" s="2" t="s">
        <v>4085</v>
      </c>
    </row>
    <row r="3427" spans="1:4" x14ac:dyDescent="0.25">
      <c r="A3427" s="2" t="s">
        <v>7783</v>
      </c>
      <c r="B3427" s="2" t="s">
        <v>2921</v>
      </c>
      <c r="C3427" s="2" t="str">
        <f t="shared" si="53"/>
        <v>TX0135461_001</v>
      </c>
      <c r="D3427" s="2" t="s">
        <v>4946</v>
      </c>
    </row>
    <row r="3428" spans="1:4" x14ac:dyDescent="0.25">
      <c r="A3428" s="2" t="s">
        <v>7784</v>
      </c>
      <c r="B3428" s="2" t="s">
        <v>2921</v>
      </c>
      <c r="C3428" s="2" t="str">
        <f t="shared" si="53"/>
        <v>TX0135470_001</v>
      </c>
      <c r="D3428" s="2" t="s">
        <v>4947</v>
      </c>
    </row>
    <row r="3429" spans="1:4" x14ac:dyDescent="0.25">
      <c r="A3429" s="2" t="s">
        <v>7784</v>
      </c>
      <c r="B3429" s="2" t="s">
        <v>2923</v>
      </c>
      <c r="C3429" s="2" t="str">
        <f t="shared" si="53"/>
        <v>TX0135470_002</v>
      </c>
      <c r="D3429" s="2" t="s">
        <v>4947</v>
      </c>
    </row>
    <row r="3430" spans="1:4" x14ac:dyDescent="0.25">
      <c r="A3430" s="2" t="s">
        <v>7785</v>
      </c>
      <c r="B3430" s="2" t="s">
        <v>2921</v>
      </c>
      <c r="C3430" s="2" t="str">
        <f t="shared" si="53"/>
        <v>TX0135488_001</v>
      </c>
      <c r="D3430" s="2" t="s">
        <v>4948</v>
      </c>
    </row>
    <row r="3431" spans="1:4" x14ac:dyDescent="0.25">
      <c r="A3431" s="2" t="s">
        <v>7786</v>
      </c>
      <c r="B3431" s="2" t="s">
        <v>2921</v>
      </c>
      <c r="C3431" s="2" t="str">
        <f t="shared" si="53"/>
        <v>TX0135496_001</v>
      </c>
      <c r="D3431" s="2" t="s">
        <v>4949</v>
      </c>
    </row>
    <row r="3432" spans="1:4" x14ac:dyDescent="0.25">
      <c r="A3432" s="2" t="s">
        <v>7787</v>
      </c>
      <c r="B3432" s="2" t="s">
        <v>2921</v>
      </c>
      <c r="C3432" s="2" t="str">
        <f t="shared" si="53"/>
        <v>TX0135500_001</v>
      </c>
      <c r="D3432" s="2" t="s">
        <v>3365</v>
      </c>
    </row>
    <row r="3433" spans="1:4" x14ac:dyDescent="0.25">
      <c r="A3433" s="2" t="s">
        <v>7788</v>
      </c>
      <c r="B3433" s="2" t="s">
        <v>2921</v>
      </c>
      <c r="C3433" s="2" t="str">
        <f t="shared" si="53"/>
        <v>TX0135526_001</v>
      </c>
      <c r="D3433" s="2" t="s">
        <v>4950</v>
      </c>
    </row>
    <row r="3434" spans="1:4" x14ac:dyDescent="0.25">
      <c r="A3434" s="2" t="s">
        <v>7789</v>
      </c>
      <c r="B3434" s="2" t="s">
        <v>2921</v>
      </c>
      <c r="C3434" s="2" t="str">
        <f t="shared" si="53"/>
        <v>TX0135551_001</v>
      </c>
      <c r="D3434" s="2" t="s">
        <v>4233</v>
      </c>
    </row>
    <row r="3435" spans="1:4" x14ac:dyDescent="0.25">
      <c r="A3435" s="2" t="s">
        <v>7790</v>
      </c>
      <c r="B3435" s="2" t="s">
        <v>2921</v>
      </c>
      <c r="C3435" s="2" t="str">
        <f t="shared" si="53"/>
        <v>TX0135569_001</v>
      </c>
      <c r="D3435" s="2" t="s">
        <v>4849</v>
      </c>
    </row>
    <row r="3436" spans="1:4" x14ac:dyDescent="0.25">
      <c r="A3436" s="2" t="s">
        <v>7790</v>
      </c>
      <c r="B3436" s="2" t="s">
        <v>2923</v>
      </c>
      <c r="C3436" s="2" t="str">
        <f t="shared" si="53"/>
        <v>TX0135569_002</v>
      </c>
      <c r="D3436" s="2" t="s">
        <v>4849</v>
      </c>
    </row>
    <row r="3437" spans="1:4" x14ac:dyDescent="0.25">
      <c r="A3437" s="2" t="s">
        <v>7791</v>
      </c>
      <c r="B3437" s="2" t="s">
        <v>2921</v>
      </c>
      <c r="C3437" s="2" t="str">
        <f t="shared" si="53"/>
        <v>TX0135577_001</v>
      </c>
      <c r="D3437" s="2" t="s">
        <v>4951</v>
      </c>
    </row>
    <row r="3438" spans="1:4" x14ac:dyDescent="0.25">
      <c r="A3438" s="2" t="s">
        <v>7792</v>
      </c>
      <c r="B3438" s="2" t="s">
        <v>2921</v>
      </c>
      <c r="C3438" s="2" t="str">
        <f t="shared" si="53"/>
        <v>TX0135585_001</v>
      </c>
      <c r="D3438" s="2" t="s">
        <v>4952</v>
      </c>
    </row>
    <row r="3439" spans="1:4" x14ac:dyDescent="0.25">
      <c r="A3439" s="2" t="s">
        <v>7793</v>
      </c>
      <c r="B3439" s="2" t="s">
        <v>2923</v>
      </c>
      <c r="C3439" s="2" t="str">
        <f t="shared" si="53"/>
        <v>TX0135593_002</v>
      </c>
      <c r="D3439" s="2" t="s">
        <v>3740</v>
      </c>
    </row>
    <row r="3440" spans="1:4" x14ac:dyDescent="0.25">
      <c r="A3440" s="2" t="s">
        <v>7793</v>
      </c>
      <c r="B3440" s="2" t="s">
        <v>2921</v>
      </c>
      <c r="C3440" s="2" t="str">
        <f t="shared" si="53"/>
        <v>TX0135593_001</v>
      </c>
      <c r="D3440" s="2" t="s">
        <v>3740</v>
      </c>
    </row>
    <row r="3441" spans="1:4" x14ac:dyDescent="0.25">
      <c r="A3441" s="2" t="s">
        <v>7794</v>
      </c>
      <c r="B3441" s="2" t="s">
        <v>2921</v>
      </c>
      <c r="C3441" s="2" t="str">
        <f t="shared" si="53"/>
        <v>TX0135607_001</v>
      </c>
      <c r="D3441" s="2" t="s">
        <v>4953</v>
      </c>
    </row>
    <row r="3442" spans="1:4" x14ac:dyDescent="0.25">
      <c r="A3442" s="2" t="s">
        <v>7795</v>
      </c>
      <c r="B3442" s="2" t="s">
        <v>2921</v>
      </c>
      <c r="C3442" s="2" t="str">
        <f t="shared" si="53"/>
        <v>TX0135615_001</v>
      </c>
      <c r="D3442" s="2" t="s">
        <v>4954</v>
      </c>
    </row>
    <row r="3443" spans="1:4" x14ac:dyDescent="0.25">
      <c r="A3443" s="2" t="s">
        <v>7796</v>
      </c>
      <c r="B3443" s="2" t="s">
        <v>2921</v>
      </c>
      <c r="C3443" s="2" t="str">
        <f t="shared" si="53"/>
        <v>TX0135631_001</v>
      </c>
      <c r="D3443" s="2" t="s">
        <v>4955</v>
      </c>
    </row>
    <row r="3444" spans="1:4" x14ac:dyDescent="0.25">
      <c r="A3444" s="2" t="s">
        <v>7797</v>
      </c>
      <c r="B3444" s="2" t="s">
        <v>2921</v>
      </c>
      <c r="C3444" s="2" t="str">
        <f t="shared" si="53"/>
        <v>TX0135640_001</v>
      </c>
      <c r="D3444" s="2" t="s">
        <v>4956</v>
      </c>
    </row>
    <row r="3445" spans="1:4" x14ac:dyDescent="0.25">
      <c r="A3445" s="2" t="s">
        <v>7797</v>
      </c>
      <c r="B3445" s="2" t="s">
        <v>2923</v>
      </c>
      <c r="C3445" s="2" t="str">
        <f t="shared" si="53"/>
        <v>TX0135640_002</v>
      </c>
      <c r="D3445" s="2" t="s">
        <v>4956</v>
      </c>
    </row>
    <row r="3446" spans="1:4" x14ac:dyDescent="0.25">
      <c r="A3446" s="2" t="s">
        <v>7798</v>
      </c>
      <c r="B3446" s="2" t="s">
        <v>2921</v>
      </c>
      <c r="C3446" s="2" t="str">
        <f t="shared" si="53"/>
        <v>TX0135658_001</v>
      </c>
      <c r="D3446" s="2" t="s">
        <v>4957</v>
      </c>
    </row>
    <row r="3447" spans="1:4" x14ac:dyDescent="0.25">
      <c r="A3447" s="2" t="s">
        <v>7799</v>
      </c>
      <c r="B3447" s="2" t="s">
        <v>2921</v>
      </c>
      <c r="C3447" s="2" t="str">
        <f t="shared" si="53"/>
        <v>TX0135666_001</v>
      </c>
      <c r="D3447" s="2" t="s">
        <v>3286</v>
      </c>
    </row>
    <row r="3448" spans="1:4" x14ac:dyDescent="0.25">
      <c r="A3448" s="2" t="s">
        <v>7800</v>
      </c>
      <c r="B3448" s="2" t="s">
        <v>2921</v>
      </c>
      <c r="C3448" s="2" t="str">
        <f t="shared" si="53"/>
        <v>TX0135682_001</v>
      </c>
      <c r="D3448" s="2" t="s">
        <v>4958</v>
      </c>
    </row>
    <row r="3449" spans="1:4" x14ac:dyDescent="0.25">
      <c r="A3449" s="2" t="s">
        <v>7801</v>
      </c>
      <c r="B3449" s="2" t="s">
        <v>2921</v>
      </c>
      <c r="C3449" s="2" t="str">
        <f t="shared" si="53"/>
        <v>TX0135691_001</v>
      </c>
      <c r="D3449" s="2" t="s">
        <v>4959</v>
      </c>
    </row>
    <row r="3450" spans="1:4" x14ac:dyDescent="0.25">
      <c r="A3450" s="2" t="s">
        <v>7802</v>
      </c>
      <c r="B3450" s="2" t="s">
        <v>2921</v>
      </c>
      <c r="C3450" s="2" t="str">
        <f t="shared" si="53"/>
        <v>TX0135704_001</v>
      </c>
      <c r="D3450" s="2" t="s">
        <v>4960</v>
      </c>
    </row>
    <row r="3451" spans="1:4" x14ac:dyDescent="0.25">
      <c r="A3451" s="2" t="s">
        <v>7803</v>
      </c>
      <c r="B3451" s="2" t="s">
        <v>2921</v>
      </c>
      <c r="C3451" s="2" t="str">
        <f t="shared" si="53"/>
        <v>TX0135712_001</v>
      </c>
      <c r="D3451" s="2" t="s">
        <v>4961</v>
      </c>
    </row>
    <row r="3452" spans="1:4" x14ac:dyDescent="0.25">
      <c r="A3452" s="2" t="s">
        <v>7804</v>
      </c>
      <c r="B3452" s="2" t="s">
        <v>2921</v>
      </c>
      <c r="C3452" s="2" t="str">
        <f t="shared" si="53"/>
        <v>TX0135721_001</v>
      </c>
      <c r="D3452" s="2" t="s">
        <v>4962</v>
      </c>
    </row>
    <row r="3453" spans="1:4" x14ac:dyDescent="0.25">
      <c r="A3453" s="2" t="s">
        <v>7805</v>
      </c>
      <c r="B3453" s="2" t="s">
        <v>2921</v>
      </c>
      <c r="C3453" s="2" t="str">
        <f t="shared" si="53"/>
        <v>TX0135747_001</v>
      </c>
      <c r="D3453" s="2" t="s">
        <v>4963</v>
      </c>
    </row>
    <row r="3454" spans="1:4" x14ac:dyDescent="0.25">
      <c r="A3454" s="2" t="s">
        <v>7806</v>
      </c>
      <c r="B3454" s="2" t="s">
        <v>2921</v>
      </c>
      <c r="C3454" s="2" t="str">
        <f t="shared" si="53"/>
        <v>TX0135755_001</v>
      </c>
      <c r="D3454" s="2" t="s">
        <v>4964</v>
      </c>
    </row>
    <row r="3455" spans="1:4" x14ac:dyDescent="0.25">
      <c r="A3455" s="2" t="s">
        <v>7807</v>
      </c>
      <c r="B3455" s="2" t="s">
        <v>2921</v>
      </c>
      <c r="C3455" s="2" t="str">
        <f t="shared" si="53"/>
        <v>TX0135763_001</v>
      </c>
      <c r="D3455" s="2" t="s">
        <v>4965</v>
      </c>
    </row>
    <row r="3456" spans="1:4" x14ac:dyDescent="0.25">
      <c r="A3456" s="2" t="s">
        <v>7808</v>
      </c>
      <c r="B3456" s="2" t="s">
        <v>2921</v>
      </c>
      <c r="C3456" s="2" t="str">
        <f t="shared" si="53"/>
        <v>TX0135771_001</v>
      </c>
      <c r="D3456" s="2" t="s">
        <v>4966</v>
      </c>
    </row>
    <row r="3457" spans="1:4" x14ac:dyDescent="0.25">
      <c r="A3457" s="2" t="s">
        <v>7809</v>
      </c>
      <c r="B3457" s="2" t="s">
        <v>2921</v>
      </c>
      <c r="C3457" s="2" t="str">
        <f t="shared" si="53"/>
        <v>TX0135780_001</v>
      </c>
      <c r="D3457" s="2" t="s">
        <v>4085</v>
      </c>
    </row>
    <row r="3458" spans="1:4" x14ac:dyDescent="0.25">
      <c r="A3458" s="2" t="s">
        <v>7810</v>
      </c>
      <c r="B3458" s="2" t="s">
        <v>2921</v>
      </c>
      <c r="C3458" s="2" t="str">
        <f t="shared" si="53"/>
        <v>TX0135810_001</v>
      </c>
      <c r="D3458" s="2" t="s">
        <v>4967</v>
      </c>
    </row>
    <row r="3459" spans="1:4" x14ac:dyDescent="0.25">
      <c r="A3459" s="2" t="s">
        <v>7811</v>
      </c>
      <c r="B3459" s="2" t="s">
        <v>2921</v>
      </c>
      <c r="C3459" s="2" t="str">
        <f t="shared" ref="C3459:C3522" si="54">A3459 &amp; "_" &amp; B3459</f>
        <v>TX0135828_001</v>
      </c>
      <c r="D3459" s="2" t="s">
        <v>4968</v>
      </c>
    </row>
    <row r="3460" spans="1:4" x14ac:dyDescent="0.25">
      <c r="A3460" s="2" t="s">
        <v>7812</v>
      </c>
      <c r="B3460" s="2" t="s">
        <v>2921</v>
      </c>
      <c r="C3460" s="2" t="str">
        <f t="shared" si="54"/>
        <v>TX0135836_001</v>
      </c>
      <c r="D3460" s="2" t="s">
        <v>4969</v>
      </c>
    </row>
    <row r="3461" spans="1:4" x14ac:dyDescent="0.25">
      <c r="A3461" s="2" t="s">
        <v>7812</v>
      </c>
      <c r="B3461" s="2" t="s">
        <v>2923</v>
      </c>
      <c r="C3461" s="2" t="str">
        <f t="shared" si="54"/>
        <v>TX0135836_002</v>
      </c>
      <c r="D3461" s="2" t="s">
        <v>4969</v>
      </c>
    </row>
    <row r="3462" spans="1:4" x14ac:dyDescent="0.25">
      <c r="A3462" s="2" t="s">
        <v>7813</v>
      </c>
      <c r="B3462" s="2" t="s">
        <v>2921</v>
      </c>
      <c r="C3462" s="2" t="str">
        <f t="shared" si="54"/>
        <v>TX0135844_001</v>
      </c>
      <c r="D3462" s="2" t="s">
        <v>4674</v>
      </c>
    </row>
    <row r="3463" spans="1:4" x14ac:dyDescent="0.25">
      <c r="A3463" s="2" t="s">
        <v>7814</v>
      </c>
      <c r="B3463" s="2" t="s">
        <v>2921</v>
      </c>
      <c r="C3463" s="2" t="str">
        <f t="shared" si="54"/>
        <v>TX0135852_001</v>
      </c>
      <c r="D3463" s="2" t="s">
        <v>4674</v>
      </c>
    </row>
    <row r="3464" spans="1:4" x14ac:dyDescent="0.25">
      <c r="A3464" s="2" t="s">
        <v>7815</v>
      </c>
      <c r="B3464" s="2" t="s">
        <v>2921</v>
      </c>
      <c r="C3464" s="2" t="str">
        <f t="shared" si="54"/>
        <v>TX0135861_001</v>
      </c>
      <c r="D3464" s="2" t="s">
        <v>4970</v>
      </c>
    </row>
    <row r="3465" spans="1:4" x14ac:dyDescent="0.25">
      <c r="A3465" s="2" t="s">
        <v>7816</v>
      </c>
      <c r="B3465" s="2" t="s">
        <v>2921</v>
      </c>
      <c r="C3465" s="2" t="str">
        <f t="shared" si="54"/>
        <v>TX0135879_001</v>
      </c>
      <c r="D3465" s="2" t="s">
        <v>4971</v>
      </c>
    </row>
    <row r="3466" spans="1:4" x14ac:dyDescent="0.25">
      <c r="A3466" s="2" t="s">
        <v>7816</v>
      </c>
      <c r="B3466" s="2" t="s">
        <v>2921</v>
      </c>
      <c r="C3466" s="2" t="str">
        <f t="shared" si="54"/>
        <v>TX0135879_001</v>
      </c>
      <c r="D3466" s="2" t="s">
        <v>4971</v>
      </c>
    </row>
    <row r="3467" spans="1:4" x14ac:dyDescent="0.25">
      <c r="A3467" s="2" t="s">
        <v>7817</v>
      </c>
      <c r="B3467" s="2" t="s">
        <v>2921</v>
      </c>
      <c r="C3467" s="2" t="str">
        <f t="shared" si="54"/>
        <v>TX0135887_001</v>
      </c>
      <c r="D3467" s="2" t="s">
        <v>4972</v>
      </c>
    </row>
    <row r="3468" spans="1:4" x14ac:dyDescent="0.25">
      <c r="A3468" s="2" t="s">
        <v>7818</v>
      </c>
      <c r="B3468" s="2" t="s">
        <v>2921</v>
      </c>
      <c r="C3468" s="2" t="str">
        <f t="shared" si="54"/>
        <v>TX0135895_001</v>
      </c>
      <c r="D3468" s="2" t="s">
        <v>4973</v>
      </c>
    </row>
    <row r="3469" spans="1:4" x14ac:dyDescent="0.25">
      <c r="A3469" s="2" t="s">
        <v>7819</v>
      </c>
      <c r="B3469" s="2" t="s">
        <v>2921</v>
      </c>
      <c r="C3469" s="2" t="str">
        <f t="shared" si="54"/>
        <v>TX0135909_001</v>
      </c>
      <c r="D3469" s="2" t="s">
        <v>4974</v>
      </c>
    </row>
    <row r="3470" spans="1:4" x14ac:dyDescent="0.25">
      <c r="A3470" s="2" t="s">
        <v>7820</v>
      </c>
      <c r="B3470" s="2" t="s">
        <v>2921</v>
      </c>
      <c r="C3470" s="2" t="str">
        <f t="shared" si="54"/>
        <v>TX0135917_001</v>
      </c>
      <c r="D3470" s="2" t="s">
        <v>4975</v>
      </c>
    </row>
    <row r="3471" spans="1:4" x14ac:dyDescent="0.25">
      <c r="A3471" s="2" t="s">
        <v>7820</v>
      </c>
      <c r="B3471" s="2" t="s">
        <v>2923</v>
      </c>
      <c r="C3471" s="2" t="str">
        <f t="shared" si="54"/>
        <v>TX0135917_002</v>
      </c>
      <c r="D3471" s="2" t="s">
        <v>4975</v>
      </c>
    </row>
    <row r="3472" spans="1:4" x14ac:dyDescent="0.25">
      <c r="A3472" s="2" t="s">
        <v>7820</v>
      </c>
      <c r="B3472" s="2" t="s">
        <v>2924</v>
      </c>
      <c r="C3472" s="2" t="str">
        <f t="shared" si="54"/>
        <v>TX0135917_003</v>
      </c>
      <c r="D3472" s="2" t="s">
        <v>4975</v>
      </c>
    </row>
    <row r="3473" spans="1:4" x14ac:dyDescent="0.25">
      <c r="A3473" s="2" t="s">
        <v>7821</v>
      </c>
      <c r="B3473" s="2" t="s">
        <v>2921</v>
      </c>
      <c r="C3473" s="2" t="str">
        <f t="shared" si="54"/>
        <v>TX0135925_001</v>
      </c>
      <c r="D3473" s="2" t="s">
        <v>4976</v>
      </c>
    </row>
    <row r="3474" spans="1:4" x14ac:dyDescent="0.25">
      <c r="A3474" s="2" t="s">
        <v>7822</v>
      </c>
      <c r="B3474" s="2" t="s">
        <v>2921</v>
      </c>
      <c r="C3474" s="2" t="str">
        <f t="shared" si="54"/>
        <v>TX0135941_001</v>
      </c>
      <c r="D3474" s="2" t="s">
        <v>4977</v>
      </c>
    </row>
    <row r="3475" spans="1:4" x14ac:dyDescent="0.25">
      <c r="A3475" s="2" t="s">
        <v>7823</v>
      </c>
      <c r="B3475" s="2" t="s">
        <v>2921</v>
      </c>
      <c r="C3475" s="2" t="str">
        <f t="shared" si="54"/>
        <v>TX0135950_001</v>
      </c>
      <c r="D3475" s="2" t="s">
        <v>4978</v>
      </c>
    </row>
    <row r="3476" spans="1:4" x14ac:dyDescent="0.25">
      <c r="A3476" s="2" t="s">
        <v>7824</v>
      </c>
      <c r="B3476" s="2" t="s">
        <v>2921</v>
      </c>
      <c r="C3476" s="2" t="str">
        <f t="shared" si="54"/>
        <v>TX0135968_001</v>
      </c>
      <c r="D3476" s="2" t="s">
        <v>4979</v>
      </c>
    </row>
    <row r="3477" spans="1:4" x14ac:dyDescent="0.25">
      <c r="A3477" s="2" t="s">
        <v>7825</v>
      </c>
      <c r="B3477" s="2" t="s">
        <v>2921</v>
      </c>
      <c r="C3477" s="2" t="str">
        <f t="shared" si="54"/>
        <v>TX0135976_001</v>
      </c>
      <c r="D3477" s="2" t="s">
        <v>4980</v>
      </c>
    </row>
    <row r="3478" spans="1:4" x14ac:dyDescent="0.25">
      <c r="A3478" s="2" t="s">
        <v>7826</v>
      </c>
      <c r="B3478" s="2" t="s">
        <v>2921</v>
      </c>
      <c r="C3478" s="2" t="str">
        <f t="shared" si="54"/>
        <v>TX0135984_001</v>
      </c>
      <c r="D3478" s="2" t="s">
        <v>4281</v>
      </c>
    </row>
    <row r="3479" spans="1:4" x14ac:dyDescent="0.25">
      <c r="A3479" s="2" t="s">
        <v>7827</v>
      </c>
      <c r="B3479" s="2" t="s">
        <v>2921</v>
      </c>
      <c r="C3479" s="2" t="str">
        <f t="shared" si="54"/>
        <v>TX0135992_001</v>
      </c>
      <c r="D3479" s="2" t="s">
        <v>4981</v>
      </c>
    </row>
    <row r="3480" spans="1:4" x14ac:dyDescent="0.25">
      <c r="A3480" s="2" t="s">
        <v>7828</v>
      </c>
      <c r="B3480" s="2" t="s">
        <v>2921</v>
      </c>
      <c r="C3480" s="2" t="str">
        <f t="shared" si="54"/>
        <v>TX0136000_001</v>
      </c>
      <c r="D3480" s="2" t="s">
        <v>4103</v>
      </c>
    </row>
    <row r="3481" spans="1:4" x14ac:dyDescent="0.25">
      <c r="A3481" s="2" t="s">
        <v>7829</v>
      </c>
      <c r="B3481" s="2" t="s">
        <v>2921</v>
      </c>
      <c r="C3481" s="2" t="str">
        <f t="shared" si="54"/>
        <v>TX0136018_001</v>
      </c>
      <c r="D3481" s="2" t="s">
        <v>4982</v>
      </c>
    </row>
    <row r="3482" spans="1:4" x14ac:dyDescent="0.25">
      <c r="A3482" s="2" t="s">
        <v>7830</v>
      </c>
      <c r="B3482" s="2" t="s">
        <v>2921</v>
      </c>
      <c r="C3482" s="2" t="str">
        <f t="shared" si="54"/>
        <v>TX0136034_001</v>
      </c>
      <c r="D3482" s="2" t="s">
        <v>4384</v>
      </c>
    </row>
    <row r="3483" spans="1:4" x14ac:dyDescent="0.25">
      <c r="A3483" s="2" t="s">
        <v>7831</v>
      </c>
      <c r="B3483" s="2" t="s">
        <v>2921</v>
      </c>
      <c r="C3483" s="2" t="str">
        <f t="shared" si="54"/>
        <v>TX0136051_001</v>
      </c>
      <c r="D3483" s="2" t="s">
        <v>4983</v>
      </c>
    </row>
    <row r="3484" spans="1:4" x14ac:dyDescent="0.25">
      <c r="A3484" s="2" t="s">
        <v>7832</v>
      </c>
      <c r="B3484" s="2" t="s">
        <v>2921</v>
      </c>
      <c r="C3484" s="2" t="str">
        <f t="shared" si="54"/>
        <v>TX0136069_001</v>
      </c>
      <c r="D3484" s="2" t="s">
        <v>4612</v>
      </c>
    </row>
    <row r="3485" spans="1:4" x14ac:dyDescent="0.25">
      <c r="A3485" s="2" t="s">
        <v>7833</v>
      </c>
      <c r="B3485" s="2" t="s">
        <v>2921</v>
      </c>
      <c r="C3485" s="2" t="str">
        <f t="shared" si="54"/>
        <v>TX0136077_001</v>
      </c>
      <c r="D3485" s="2" t="s">
        <v>4984</v>
      </c>
    </row>
    <row r="3486" spans="1:4" x14ac:dyDescent="0.25">
      <c r="A3486" s="2" t="s">
        <v>7834</v>
      </c>
      <c r="B3486" s="2" t="s">
        <v>2921</v>
      </c>
      <c r="C3486" s="2" t="str">
        <f t="shared" si="54"/>
        <v>TX0136093_001</v>
      </c>
      <c r="D3486" s="2" t="s">
        <v>4985</v>
      </c>
    </row>
    <row r="3487" spans="1:4" x14ac:dyDescent="0.25">
      <c r="A3487" s="2" t="s">
        <v>7835</v>
      </c>
      <c r="B3487" s="2" t="s">
        <v>2921</v>
      </c>
      <c r="C3487" s="2" t="str">
        <f t="shared" si="54"/>
        <v>TX0136115_001</v>
      </c>
      <c r="D3487" s="2" t="s">
        <v>4986</v>
      </c>
    </row>
    <row r="3488" spans="1:4" x14ac:dyDescent="0.25">
      <c r="A3488" s="2" t="s">
        <v>7836</v>
      </c>
      <c r="B3488" s="2" t="s">
        <v>2921</v>
      </c>
      <c r="C3488" s="2" t="str">
        <f t="shared" si="54"/>
        <v>TX0136123_001</v>
      </c>
      <c r="D3488" s="2" t="s">
        <v>4987</v>
      </c>
    </row>
    <row r="3489" spans="1:4" x14ac:dyDescent="0.25">
      <c r="A3489" s="2" t="s">
        <v>7837</v>
      </c>
      <c r="B3489" s="2" t="s">
        <v>2921</v>
      </c>
      <c r="C3489" s="2" t="str">
        <f t="shared" si="54"/>
        <v>TX0136131_001</v>
      </c>
      <c r="D3489" s="2" t="s">
        <v>3897</v>
      </c>
    </row>
    <row r="3490" spans="1:4" x14ac:dyDescent="0.25">
      <c r="A3490" s="2" t="s">
        <v>7838</v>
      </c>
      <c r="B3490" s="2" t="s">
        <v>2921</v>
      </c>
      <c r="C3490" s="2" t="str">
        <f t="shared" si="54"/>
        <v>TX0136140_001</v>
      </c>
      <c r="D3490" s="2" t="s">
        <v>4988</v>
      </c>
    </row>
    <row r="3491" spans="1:4" x14ac:dyDescent="0.25">
      <c r="A3491" s="2" t="s">
        <v>7839</v>
      </c>
      <c r="B3491" s="2" t="s">
        <v>2924</v>
      </c>
      <c r="C3491" s="2" t="str">
        <f t="shared" si="54"/>
        <v>TX0136158_003</v>
      </c>
      <c r="D3491" s="2" t="s">
        <v>4989</v>
      </c>
    </row>
    <row r="3492" spans="1:4" x14ac:dyDescent="0.25">
      <c r="A3492" s="2" t="s">
        <v>7839</v>
      </c>
      <c r="B3492" s="2" t="s">
        <v>2936</v>
      </c>
      <c r="C3492" s="2" t="str">
        <f t="shared" si="54"/>
        <v>TX0136158_004</v>
      </c>
      <c r="D3492" s="2" t="s">
        <v>4989</v>
      </c>
    </row>
    <row r="3493" spans="1:4" x14ac:dyDescent="0.25">
      <c r="A3493" s="2" t="s">
        <v>7839</v>
      </c>
      <c r="B3493" s="2" t="s">
        <v>2921</v>
      </c>
      <c r="C3493" s="2" t="str">
        <f t="shared" si="54"/>
        <v>TX0136158_001</v>
      </c>
      <c r="D3493" s="2" t="s">
        <v>4989</v>
      </c>
    </row>
    <row r="3494" spans="1:4" x14ac:dyDescent="0.25">
      <c r="A3494" s="2" t="s">
        <v>7839</v>
      </c>
      <c r="B3494" s="2" t="s">
        <v>2923</v>
      </c>
      <c r="C3494" s="2" t="str">
        <f t="shared" si="54"/>
        <v>TX0136158_002</v>
      </c>
      <c r="D3494" s="2" t="s">
        <v>4989</v>
      </c>
    </row>
    <row r="3495" spans="1:4" x14ac:dyDescent="0.25">
      <c r="A3495" s="2" t="s">
        <v>7840</v>
      </c>
      <c r="B3495" s="2" t="s">
        <v>2921</v>
      </c>
      <c r="C3495" s="2" t="str">
        <f t="shared" si="54"/>
        <v>TX0136166_001</v>
      </c>
      <c r="D3495" s="2" t="s">
        <v>4103</v>
      </c>
    </row>
    <row r="3496" spans="1:4" x14ac:dyDescent="0.25">
      <c r="A3496" s="2" t="s">
        <v>7841</v>
      </c>
      <c r="B3496" s="2" t="s">
        <v>2921</v>
      </c>
      <c r="C3496" s="2" t="str">
        <f t="shared" si="54"/>
        <v>TX0136174_001</v>
      </c>
      <c r="D3496" s="2" t="s">
        <v>3649</v>
      </c>
    </row>
    <row r="3497" spans="1:4" x14ac:dyDescent="0.25">
      <c r="A3497" s="2" t="s">
        <v>7842</v>
      </c>
      <c r="B3497" s="2" t="s">
        <v>2921</v>
      </c>
      <c r="C3497" s="2" t="str">
        <f t="shared" si="54"/>
        <v>TX0136182_001</v>
      </c>
      <c r="D3497" s="2" t="s">
        <v>4990</v>
      </c>
    </row>
    <row r="3498" spans="1:4" x14ac:dyDescent="0.25">
      <c r="A3498" s="2" t="s">
        <v>7843</v>
      </c>
      <c r="B3498" s="2" t="s">
        <v>2921</v>
      </c>
      <c r="C3498" s="2" t="str">
        <f t="shared" si="54"/>
        <v>TX0136191_001</v>
      </c>
      <c r="D3498" s="2" t="s">
        <v>4693</v>
      </c>
    </row>
    <row r="3499" spans="1:4" x14ac:dyDescent="0.25">
      <c r="A3499" s="2" t="s">
        <v>7844</v>
      </c>
      <c r="B3499" s="2" t="s">
        <v>2921</v>
      </c>
      <c r="C3499" s="2" t="str">
        <f t="shared" si="54"/>
        <v>TX0136204_001</v>
      </c>
      <c r="D3499" s="2" t="s">
        <v>3295</v>
      </c>
    </row>
    <row r="3500" spans="1:4" x14ac:dyDescent="0.25">
      <c r="A3500" s="2" t="s">
        <v>7845</v>
      </c>
      <c r="B3500" s="2" t="s">
        <v>2921</v>
      </c>
      <c r="C3500" s="2" t="str">
        <f t="shared" si="54"/>
        <v>TX0136212_001</v>
      </c>
      <c r="D3500" s="2" t="s">
        <v>4991</v>
      </c>
    </row>
    <row r="3501" spans="1:4" x14ac:dyDescent="0.25">
      <c r="A3501" s="2" t="s">
        <v>7846</v>
      </c>
      <c r="B3501" s="2" t="s">
        <v>2921</v>
      </c>
      <c r="C3501" s="2" t="str">
        <f t="shared" si="54"/>
        <v>TX0136239_001</v>
      </c>
      <c r="D3501" s="2" t="s">
        <v>4992</v>
      </c>
    </row>
    <row r="3502" spans="1:4" x14ac:dyDescent="0.25">
      <c r="A3502" s="2" t="s">
        <v>7847</v>
      </c>
      <c r="B3502" s="2" t="s">
        <v>2921</v>
      </c>
      <c r="C3502" s="2" t="str">
        <f t="shared" si="54"/>
        <v>TX0136247_001</v>
      </c>
      <c r="D3502" s="2" t="s">
        <v>4993</v>
      </c>
    </row>
    <row r="3503" spans="1:4" x14ac:dyDescent="0.25">
      <c r="A3503" s="2" t="s">
        <v>7848</v>
      </c>
      <c r="B3503" s="2" t="s">
        <v>2921</v>
      </c>
      <c r="C3503" s="2" t="str">
        <f t="shared" si="54"/>
        <v>TX0136263_001</v>
      </c>
      <c r="D3503" s="2" t="s">
        <v>4994</v>
      </c>
    </row>
    <row r="3504" spans="1:4" x14ac:dyDescent="0.25">
      <c r="A3504" s="2" t="s">
        <v>7849</v>
      </c>
      <c r="B3504" s="2" t="s">
        <v>2921</v>
      </c>
      <c r="C3504" s="2" t="str">
        <f t="shared" si="54"/>
        <v>TX0136271_001</v>
      </c>
      <c r="D3504" s="2" t="s">
        <v>4995</v>
      </c>
    </row>
    <row r="3505" spans="1:4" x14ac:dyDescent="0.25">
      <c r="A3505" s="2" t="s">
        <v>7850</v>
      </c>
      <c r="B3505" s="2" t="s">
        <v>2921</v>
      </c>
      <c r="C3505" s="2" t="str">
        <f t="shared" si="54"/>
        <v>TX0136280_001</v>
      </c>
      <c r="D3505" s="2" t="s">
        <v>4996</v>
      </c>
    </row>
    <row r="3506" spans="1:4" x14ac:dyDescent="0.25">
      <c r="A3506" s="2" t="s">
        <v>7851</v>
      </c>
      <c r="B3506" s="2" t="s">
        <v>2921</v>
      </c>
      <c r="C3506" s="2" t="str">
        <f t="shared" si="54"/>
        <v>TX0136298_001</v>
      </c>
      <c r="D3506" s="2" t="s">
        <v>4997</v>
      </c>
    </row>
    <row r="3507" spans="1:4" x14ac:dyDescent="0.25">
      <c r="A3507" s="2" t="s">
        <v>7852</v>
      </c>
      <c r="B3507" s="2" t="s">
        <v>2921</v>
      </c>
      <c r="C3507" s="2" t="str">
        <f t="shared" si="54"/>
        <v>TX0136310_001</v>
      </c>
      <c r="D3507" s="2" t="s">
        <v>4998</v>
      </c>
    </row>
    <row r="3508" spans="1:4" x14ac:dyDescent="0.25">
      <c r="A3508" s="2" t="s">
        <v>7853</v>
      </c>
      <c r="B3508" s="2" t="s">
        <v>2921</v>
      </c>
      <c r="C3508" s="2" t="str">
        <f t="shared" si="54"/>
        <v>TX0136328_001</v>
      </c>
      <c r="D3508" s="2" t="s">
        <v>4999</v>
      </c>
    </row>
    <row r="3509" spans="1:4" x14ac:dyDescent="0.25">
      <c r="A3509" s="2" t="s">
        <v>7854</v>
      </c>
      <c r="B3509" s="2" t="s">
        <v>2924</v>
      </c>
      <c r="C3509" s="2" t="str">
        <f t="shared" si="54"/>
        <v>TX0136344_003</v>
      </c>
      <c r="D3509" s="2" t="s">
        <v>5000</v>
      </c>
    </row>
    <row r="3510" spans="1:4" x14ac:dyDescent="0.25">
      <c r="A3510" s="2" t="s">
        <v>7855</v>
      </c>
      <c r="B3510" s="2" t="s">
        <v>2921</v>
      </c>
      <c r="C3510" s="2" t="str">
        <f t="shared" si="54"/>
        <v>TX0136352_001</v>
      </c>
      <c r="D3510" s="2" t="s">
        <v>5001</v>
      </c>
    </row>
    <row r="3511" spans="1:4" x14ac:dyDescent="0.25">
      <c r="A3511" s="2" t="s">
        <v>7856</v>
      </c>
      <c r="B3511" s="2" t="s">
        <v>2921</v>
      </c>
      <c r="C3511" s="2" t="str">
        <f t="shared" si="54"/>
        <v>TX0136361_001</v>
      </c>
      <c r="D3511" s="2" t="s">
        <v>5002</v>
      </c>
    </row>
    <row r="3512" spans="1:4" x14ac:dyDescent="0.25">
      <c r="A3512" s="2" t="s">
        <v>7857</v>
      </c>
      <c r="B3512" s="2" t="s">
        <v>2921</v>
      </c>
      <c r="C3512" s="2" t="str">
        <f t="shared" si="54"/>
        <v>TX0136379_001</v>
      </c>
      <c r="D3512" s="2" t="s">
        <v>5003</v>
      </c>
    </row>
    <row r="3513" spans="1:4" x14ac:dyDescent="0.25">
      <c r="A3513" s="2" t="s">
        <v>7858</v>
      </c>
      <c r="B3513" s="2" t="s">
        <v>2921</v>
      </c>
      <c r="C3513" s="2" t="str">
        <f t="shared" si="54"/>
        <v>TX0136387_001</v>
      </c>
      <c r="D3513" s="2" t="s">
        <v>5004</v>
      </c>
    </row>
    <row r="3514" spans="1:4" x14ac:dyDescent="0.25">
      <c r="A3514" s="2" t="s">
        <v>7859</v>
      </c>
      <c r="B3514" s="2" t="s">
        <v>2921</v>
      </c>
      <c r="C3514" s="2" t="str">
        <f t="shared" si="54"/>
        <v>TX0136395_001</v>
      </c>
      <c r="D3514" s="2" t="s">
        <v>5005</v>
      </c>
    </row>
    <row r="3515" spans="1:4" x14ac:dyDescent="0.25">
      <c r="A3515" s="2" t="s">
        <v>7860</v>
      </c>
      <c r="B3515" s="2" t="s">
        <v>2921</v>
      </c>
      <c r="C3515" s="2" t="str">
        <f t="shared" si="54"/>
        <v>TX0136409_001</v>
      </c>
      <c r="D3515" s="2" t="s">
        <v>3339</v>
      </c>
    </row>
    <row r="3516" spans="1:4" x14ac:dyDescent="0.25">
      <c r="A3516" s="2" t="s">
        <v>7861</v>
      </c>
      <c r="B3516" s="2" t="s">
        <v>2921</v>
      </c>
      <c r="C3516" s="2" t="str">
        <f t="shared" si="54"/>
        <v>TX0136417_001</v>
      </c>
      <c r="D3516" s="2" t="s">
        <v>5006</v>
      </c>
    </row>
    <row r="3517" spans="1:4" x14ac:dyDescent="0.25">
      <c r="A3517" s="2" t="s">
        <v>7862</v>
      </c>
      <c r="B3517" s="2" t="s">
        <v>2921</v>
      </c>
      <c r="C3517" s="2" t="str">
        <f t="shared" si="54"/>
        <v>TX0136425_001</v>
      </c>
      <c r="D3517" s="2" t="s">
        <v>4612</v>
      </c>
    </row>
    <row r="3518" spans="1:4" x14ac:dyDescent="0.25">
      <c r="A3518" s="2" t="s">
        <v>7863</v>
      </c>
      <c r="B3518" s="2" t="s">
        <v>2921</v>
      </c>
      <c r="C3518" s="2" t="str">
        <f t="shared" si="54"/>
        <v>TX0136433_001</v>
      </c>
      <c r="D3518" s="2" t="s">
        <v>5007</v>
      </c>
    </row>
    <row r="3519" spans="1:4" x14ac:dyDescent="0.25">
      <c r="A3519" s="2" t="s">
        <v>7864</v>
      </c>
      <c r="B3519" s="2" t="s">
        <v>2921</v>
      </c>
      <c r="C3519" s="2" t="str">
        <f t="shared" si="54"/>
        <v>TX0136441_001</v>
      </c>
      <c r="D3519" s="2" t="s">
        <v>5008</v>
      </c>
    </row>
    <row r="3520" spans="1:4" x14ac:dyDescent="0.25">
      <c r="A3520" s="2" t="s">
        <v>7865</v>
      </c>
      <c r="B3520" s="2" t="s">
        <v>2921</v>
      </c>
      <c r="C3520" s="2" t="str">
        <f t="shared" si="54"/>
        <v>TX0136468_001</v>
      </c>
      <c r="D3520" s="2" t="s">
        <v>3346</v>
      </c>
    </row>
    <row r="3521" spans="1:4" x14ac:dyDescent="0.25">
      <c r="A3521" s="2" t="s">
        <v>7866</v>
      </c>
      <c r="B3521" s="2" t="s">
        <v>2921</v>
      </c>
      <c r="C3521" s="2" t="str">
        <f t="shared" si="54"/>
        <v>TX0136476_001</v>
      </c>
      <c r="D3521" s="2" t="s">
        <v>5009</v>
      </c>
    </row>
    <row r="3522" spans="1:4" x14ac:dyDescent="0.25">
      <c r="A3522" s="2" t="s">
        <v>7867</v>
      </c>
      <c r="B3522" s="2" t="s">
        <v>2921</v>
      </c>
      <c r="C3522" s="2" t="str">
        <f t="shared" si="54"/>
        <v>TX0136484_001</v>
      </c>
      <c r="D3522" s="2" t="s">
        <v>5010</v>
      </c>
    </row>
    <row r="3523" spans="1:4" x14ac:dyDescent="0.25">
      <c r="A3523" s="2" t="s">
        <v>7868</v>
      </c>
      <c r="B3523" s="2" t="s">
        <v>2921</v>
      </c>
      <c r="C3523" s="2" t="str">
        <f t="shared" ref="C3523:C3586" si="55">A3523 &amp; "_" &amp; B3523</f>
        <v>TX0136522_001</v>
      </c>
      <c r="D3523" s="2" t="s">
        <v>5011</v>
      </c>
    </row>
    <row r="3524" spans="1:4" x14ac:dyDescent="0.25">
      <c r="A3524" s="2" t="s">
        <v>7869</v>
      </c>
      <c r="B3524" s="2" t="s">
        <v>2921</v>
      </c>
      <c r="C3524" s="2" t="str">
        <f t="shared" si="55"/>
        <v>TX0136531_001</v>
      </c>
      <c r="D3524" s="2" t="s">
        <v>5012</v>
      </c>
    </row>
    <row r="3525" spans="1:4" x14ac:dyDescent="0.25">
      <c r="A3525" s="2" t="s">
        <v>7870</v>
      </c>
      <c r="B3525" s="2" t="s">
        <v>2921</v>
      </c>
      <c r="C3525" s="2" t="str">
        <f t="shared" si="55"/>
        <v>TX0136557_001</v>
      </c>
      <c r="D3525" s="2" t="s">
        <v>5013</v>
      </c>
    </row>
    <row r="3526" spans="1:4" x14ac:dyDescent="0.25">
      <c r="A3526" s="2" t="s">
        <v>7871</v>
      </c>
      <c r="B3526" s="2" t="s">
        <v>2921</v>
      </c>
      <c r="C3526" s="2" t="str">
        <f t="shared" si="55"/>
        <v>TX0136565_001</v>
      </c>
      <c r="D3526" s="2" t="s">
        <v>5014</v>
      </c>
    </row>
    <row r="3527" spans="1:4" x14ac:dyDescent="0.25">
      <c r="A3527" s="2" t="s">
        <v>7872</v>
      </c>
      <c r="B3527" s="2" t="s">
        <v>2921</v>
      </c>
      <c r="C3527" s="2" t="str">
        <f t="shared" si="55"/>
        <v>TX0136573_001</v>
      </c>
      <c r="D3527" s="2" t="s">
        <v>5015</v>
      </c>
    </row>
    <row r="3528" spans="1:4" x14ac:dyDescent="0.25">
      <c r="A3528" s="2" t="s">
        <v>7872</v>
      </c>
      <c r="B3528" s="2" t="s">
        <v>2923</v>
      </c>
      <c r="C3528" s="2" t="str">
        <f t="shared" si="55"/>
        <v>TX0136573_002</v>
      </c>
      <c r="D3528" s="2" t="s">
        <v>5015</v>
      </c>
    </row>
    <row r="3529" spans="1:4" x14ac:dyDescent="0.25">
      <c r="A3529" s="2" t="s">
        <v>7872</v>
      </c>
      <c r="B3529" s="2" t="s">
        <v>2924</v>
      </c>
      <c r="C3529" s="2" t="str">
        <f t="shared" si="55"/>
        <v>TX0136573_003</v>
      </c>
      <c r="D3529" s="2" t="s">
        <v>5015</v>
      </c>
    </row>
    <row r="3530" spans="1:4" x14ac:dyDescent="0.25">
      <c r="A3530" s="2" t="s">
        <v>7872</v>
      </c>
      <c r="B3530" s="2" t="s">
        <v>2936</v>
      </c>
      <c r="C3530" s="2" t="str">
        <f t="shared" si="55"/>
        <v>TX0136573_004</v>
      </c>
      <c r="D3530" s="2" t="s">
        <v>5015</v>
      </c>
    </row>
    <row r="3531" spans="1:4" x14ac:dyDescent="0.25">
      <c r="A3531" s="2" t="s">
        <v>7873</v>
      </c>
      <c r="B3531" s="2" t="s">
        <v>2921</v>
      </c>
      <c r="C3531" s="2" t="str">
        <f t="shared" si="55"/>
        <v>TX0136581_001</v>
      </c>
      <c r="D3531" s="2" t="s">
        <v>5016</v>
      </c>
    </row>
    <row r="3532" spans="1:4" x14ac:dyDescent="0.25">
      <c r="A3532" s="2" t="s">
        <v>7874</v>
      </c>
      <c r="B3532" s="2" t="s">
        <v>2921</v>
      </c>
      <c r="C3532" s="2" t="str">
        <f t="shared" si="55"/>
        <v>TX0136590_001</v>
      </c>
      <c r="D3532" s="2" t="s">
        <v>5017</v>
      </c>
    </row>
    <row r="3533" spans="1:4" x14ac:dyDescent="0.25">
      <c r="A3533" s="2" t="s">
        <v>7875</v>
      </c>
      <c r="B3533" s="2" t="s">
        <v>2921</v>
      </c>
      <c r="C3533" s="2" t="str">
        <f t="shared" si="55"/>
        <v>TX0136603_001</v>
      </c>
      <c r="D3533" s="2" t="s">
        <v>5016</v>
      </c>
    </row>
    <row r="3534" spans="1:4" x14ac:dyDescent="0.25">
      <c r="A3534" s="2" t="s">
        <v>7876</v>
      </c>
      <c r="B3534" s="2" t="s">
        <v>2921</v>
      </c>
      <c r="C3534" s="2" t="str">
        <f t="shared" si="55"/>
        <v>TX0136611_001</v>
      </c>
      <c r="D3534" s="2" t="s">
        <v>5018</v>
      </c>
    </row>
    <row r="3535" spans="1:4" x14ac:dyDescent="0.25">
      <c r="A3535" s="2" t="s">
        <v>7877</v>
      </c>
      <c r="B3535" s="2" t="s">
        <v>2921</v>
      </c>
      <c r="C3535" s="2" t="str">
        <f t="shared" si="55"/>
        <v>TX0136638_001</v>
      </c>
      <c r="D3535" s="2" t="s">
        <v>5019</v>
      </c>
    </row>
    <row r="3536" spans="1:4" x14ac:dyDescent="0.25">
      <c r="A3536" s="2" t="s">
        <v>7878</v>
      </c>
      <c r="B3536" s="2" t="s">
        <v>2921</v>
      </c>
      <c r="C3536" s="2" t="str">
        <f t="shared" si="55"/>
        <v>TX0136646_001</v>
      </c>
      <c r="D3536" s="2" t="s">
        <v>5020</v>
      </c>
    </row>
    <row r="3537" spans="1:4" x14ac:dyDescent="0.25">
      <c r="A3537" s="2" t="s">
        <v>7879</v>
      </c>
      <c r="B3537" s="2" t="s">
        <v>2921</v>
      </c>
      <c r="C3537" s="2" t="str">
        <f t="shared" si="55"/>
        <v>TX0136654_001</v>
      </c>
      <c r="D3537" s="2" t="s">
        <v>5021</v>
      </c>
    </row>
    <row r="3538" spans="1:4" x14ac:dyDescent="0.25">
      <c r="A3538" s="2" t="s">
        <v>7880</v>
      </c>
      <c r="B3538" s="2" t="s">
        <v>2921</v>
      </c>
      <c r="C3538" s="2" t="str">
        <f t="shared" si="55"/>
        <v>TX0136662_001</v>
      </c>
      <c r="D3538" s="2" t="s">
        <v>5022</v>
      </c>
    </row>
    <row r="3539" spans="1:4" x14ac:dyDescent="0.25">
      <c r="A3539" s="2" t="s">
        <v>7881</v>
      </c>
      <c r="B3539" s="2" t="s">
        <v>2921</v>
      </c>
      <c r="C3539" s="2" t="str">
        <f t="shared" si="55"/>
        <v>TX0136671_001</v>
      </c>
      <c r="D3539" s="2" t="s">
        <v>2977</v>
      </c>
    </row>
    <row r="3540" spans="1:4" x14ac:dyDescent="0.25">
      <c r="A3540" s="2" t="s">
        <v>7882</v>
      </c>
      <c r="B3540" s="2" t="s">
        <v>2921</v>
      </c>
      <c r="C3540" s="2" t="str">
        <f t="shared" si="55"/>
        <v>TX0136689_001</v>
      </c>
      <c r="D3540" s="2" t="s">
        <v>5023</v>
      </c>
    </row>
    <row r="3541" spans="1:4" x14ac:dyDescent="0.25">
      <c r="A3541" s="2" t="s">
        <v>7883</v>
      </c>
      <c r="B3541" s="2" t="s">
        <v>2921</v>
      </c>
      <c r="C3541" s="2" t="str">
        <f t="shared" si="55"/>
        <v>TX0136701_001</v>
      </c>
      <c r="D3541" s="2" t="s">
        <v>5024</v>
      </c>
    </row>
    <row r="3542" spans="1:4" x14ac:dyDescent="0.25">
      <c r="A3542" s="2" t="s">
        <v>7884</v>
      </c>
      <c r="B3542" s="2" t="s">
        <v>2921</v>
      </c>
      <c r="C3542" s="2" t="str">
        <f t="shared" si="55"/>
        <v>TX0136727_001</v>
      </c>
      <c r="D3542" s="2" t="s">
        <v>4992</v>
      </c>
    </row>
    <row r="3543" spans="1:4" x14ac:dyDescent="0.25">
      <c r="A3543" s="2" t="s">
        <v>7885</v>
      </c>
      <c r="B3543" s="2" t="s">
        <v>2921</v>
      </c>
      <c r="C3543" s="2" t="str">
        <f t="shared" si="55"/>
        <v>TX0136743_001</v>
      </c>
      <c r="D3543" s="2" t="s">
        <v>5025</v>
      </c>
    </row>
    <row r="3544" spans="1:4" x14ac:dyDescent="0.25">
      <c r="A3544" s="2" t="s">
        <v>7886</v>
      </c>
      <c r="B3544" s="2" t="s">
        <v>2921</v>
      </c>
      <c r="C3544" s="2" t="str">
        <f t="shared" si="55"/>
        <v>TX0136751_001</v>
      </c>
      <c r="D3544" s="2" t="s">
        <v>5026</v>
      </c>
    </row>
    <row r="3545" spans="1:4" x14ac:dyDescent="0.25">
      <c r="A3545" s="2" t="s">
        <v>7887</v>
      </c>
      <c r="B3545" s="2" t="s">
        <v>2921</v>
      </c>
      <c r="C3545" s="2" t="str">
        <f t="shared" si="55"/>
        <v>TX0136760_001</v>
      </c>
      <c r="D3545" s="2" t="s">
        <v>5027</v>
      </c>
    </row>
    <row r="3546" spans="1:4" x14ac:dyDescent="0.25">
      <c r="A3546" s="2" t="s">
        <v>7888</v>
      </c>
      <c r="B3546" s="2" t="s">
        <v>2921</v>
      </c>
      <c r="C3546" s="2" t="str">
        <f t="shared" si="55"/>
        <v>TX0136778_001</v>
      </c>
      <c r="D3546" s="2" t="s">
        <v>5028</v>
      </c>
    </row>
    <row r="3547" spans="1:4" x14ac:dyDescent="0.25">
      <c r="A3547" s="2" t="s">
        <v>7889</v>
      </c>
      <c r="B3547" s="2" t="s">
        <v>2921</v>
      </c>
      <c r="C3547" s="2" t="str">
        <f t="shared" si="55"/>
        <v>TX0136794_001</v>
      </c>
      <c r="D3547" s="2" t="s">
        <v>5029</v>
      </c>
    </row>
    <row r="3548" spans="1:4" x14ac:dyDescent="0.25">
      <c r="A3548" s="2" t="s">
        <v>7890</v>
      </c>
      <c r="B3548" s="2" t="s">
        <v>2921</v>
      </c>
      <c r="C3548" s="2" t="str">
        <f t="shared" si="55"/>
        <v>TX0136816_001</v>
      </c>
      <c r="D3548" s="2" t="s">
        <v>5030</v>
      </c>
    </row>
    <row r="3549" spans="1:4" x14ac:dyDescent="0.25">
      <c r="A3549" s="2" t="s">
        <v>7891</v>
      </c>
      <c r="B3549" s="2" t="s">
        <v>2921</v>
      </c>
      <c r="C3549" s="2" t="str">
        <f t="shared" si="55"/>
        <v>TX0136824_001</v>
      </c>
      <c r="D3549" s="2" t="s">
        <v>5031</v>
      </c>
    </row>
    <row r="3550" spans="1:4" x14ac:dyDescent="0.25">
      <c r="A3550" s="2" t="s">
        <v>7891</v>
      </c>
      <c r="B3550" s="2" t="s">
        <v>2923</v>
      </c>
      <c r="C3550" s="2" t="str">
        <f t="shared" si="55"/>
        <v>TX0136824_002</v>
      </c>
      <c r="D3550" s="2" t="s">
        <v>5031</v>
      </c>
    </row>
    <row r="3551" spans="1:4" x14ac:dyDescent="0.25">
      <c r="A3551" s="2" t="s">
        <v>7892</v>
      </c>
      <c r="B3551" s="2" t="s">
        <v>2921</v>
      </c>
      <c r="C3551" s="2" t="str">
        <f t="shared" si="55"/>
        <v>TX0136832_001</v>
      </c>
      <c r="D3551" s="2" t="s">
        <v>5032</v>
      </c>
    </row>
    <row r="3552" spans="1:4" x14ac:dyDescent="0.25">
      <c r="A3552" s="2" t="s">
        <v>7893</v>
      </c>
      <c r="B3552" s="2" t="s">
        <v>2921</v>
      </c>
      <c r="C3552" s="2" t="str">
        <f t="shared" si="55"/>
        <v>TX0136859_001</v>
      </c>
      <c r="D3552" s="2" t="s">
        <v>5033</v>
      </c>
    </row>
    <row r="3553" spans="1:4" x14ac:dyDescent="0.25">
      <c r="A3553" s="2" t="s">
        <v>7894</v>
      </c>
      <c r="B3553" s="2" t="s">
        <v>2921</v>
      </c>
      <c r="C3553" s="2" t="str">
        <f t="shared" si="55"/>
        <v>TX0136867_001</v>
      </c>
      <c r="D3553" s="2" t="s">
        <v>5034</v>
      </c>
    </row>
    <row r="3554" spans="1:4" x14ac:dyDescent="0.25">
      <c r="A3554" s="2" t="s">
        <v>7895</v>
      </c>
      <c r="B3554" s="2" t="s">
        <v>2921</v>
      </c>
      <c r="C3554" s="2" t="str">
        <f t="shared" si="55"/>
        <v>TX0136875_001</v>
      </c>
      <c r="D3554" s="2" t="s">
        <v>5035</v>
      </c>
    </row>
    <row r="3555" spans="1:4" x14ac:dyDescent="0.25">
      <c r="A3555" s="2" t="s">
        <v>7896</v>
      </c>
      <c r="B3555" s="2" t="s">
        <v>2921</v>
      </c>
      <c r="C3555" s="2" t="str">
        <f t="shared" si="55"/>
        <v>TX0136883_001</v>
      </c>
      <c r="D3555" s="2" t="s">
        <v>5036</v>
      </c>
    </row>
    <row r="3556" spans="1:4" x14ac:dyDescent="0.25">
      <c r="A3556" s="2" t="s">
        <v>7897</v>
      </c>
      <c r="B3556" s="2" t="s">
        <v>2921</v>
      </c>
      <c r="C3556" s="2" t="str">
        <f t="shared" si="55"/>
        <v>TX0136891_001</v>
      </c>
      <c r="D3556" s="2" t="s">
        <v>5037</v>
      </c>
    </row>
    <row r="3557" spans="1:4" x14ac:dyDescent="0.25">
      <c r="A3557" s="2" t="s">
        <v>7898</v>
      </c>
      <c r="B3557" s="2" t="s">
        <v>2921</v>
      </c>
      <c r="C3557" s="2" t="str">
        <f t="shared" si="55"/>
        <v>TX0136905_001</v>
      </c>
      <c r="D3557" s="2" t="s">
        <v>5038</v>
      </c>
    </row>
    <row r="3558" spans="1:4" x14ac:dyDescent="0.25">
      <c r="A3558" s="2" t="s">
        <v>7899</v>
      </c>
      <c r="B3558" s="2" t="s">
        <v>2921</v>
      </c>
      <c r="C3558" s="2" t="str">
        <f t="shared" si="55"/>
        <v>TX0136913_001</v>
      </c>
      <c r="D3558" s="2" t="s">
        <v>5039</v>
      </c>
    </row>
    <row r="3559" spans="1:4" x14ac:dyDescent="0.25">
      <c r="A3559" s="2" t="s">
        <v>7900</v>
      </c>
      <c r="B3559" s="2" t="s">
        <v>2921</v>
      </c>
      <c r="C3559" s="2" t="str">
        <f t="shared" si="55"/>
        <v>TX0136921_001</v>
      </c>
      <c r="D3559" s="2" t="s">
        <v>4103</v>
      </c>
    </row>
    <row r="3560" spans="1:4" x14ac:dyDescent="0.25">
      <c r="A3560" s="2" t="s">
        <v>7901</v>
      </c>
      <c r="B3560" s="2" t="s">
        <v>2921</v>
      </c>
      <c r="C3560" s="2" t="str">
        <f t="shared" si="55"/>
        <v>TX0136930_001</v>
      </c>
      <c r="D3560" s="2" t="s">
        <v>5040</v>
      </c>
    </row>
    <row r="3561" spans="1:4" x14ac:dyDescent="0.25">
      <c r="A3561" s="2" t="s">
        <v>7902</v>
      </c>
      <c r="B3561" s="2" t="s">
        <v>2921</v>
      </c>
      <c r="C3561" s="2" t="str">
        <f t="shared" si="55"/>
        <v>TX0136948_001</v>
      </c>
      <c r="D3561" s="2" t="s">
        <v>5041</v>
      </c>
    </row>
    <row r="3562" spans="1:4" x14ac:dyDescent="0.25">
      <c r="A3562" s="2" t="s">
        <v>7903</v>
      </c>
      <c r="B3562" s="2" t="s">
        <v>2921</v>
      </c>
      <c r="C3562" s="2" t="str">
        <f t="shared" si="55"/>
        <v>TX0136956_001</v>
      </c>
      <c r="D3562" s="2" t="s">
        <v>5042</v>
      </c>
    </row>
    <row r="3563" spans="1:4" x14ac:dyDescent="0.25">
      <c r="A3563" s="2" t="s">
        <v>7904</v>
      </c>
      <c r="B3563" s="2" t="s">
        <v>2921</v>
      </c>
      <c r="C3563" s="2" t="str">
        <f t="shared" si="55"/>
        <v>TX0136964_001</v>
      </c>
      <c r="D3563" s="2" t="s">
        <v>5043</v>
      </c>
    </row>
    <row r="3564" spans="1:4" x14ac:dyDescent="0.25">
      <c r="A3564" s="2" t="s">
        <v>7904</v>
      </c>
      <c r="B3564" s="2" t="s">
        <v>2923</v>
      </c>
      <c r="C3564" s="2" t="str">
        <f t="shared" si="55"/>
        <v>TX0136964_002</v>
      </c>
      <c r="D3564" s="2" t="s">
        <v>5043</v>
      </c>
    </row>
    <row r="3565" spans="1:4" x14ac:dyDescent="0.25">
      <c r="A3565" s="2" t="s">
        <v>7905</v>
      </c>
      <c r="B3565" s="2" t="s">
        <v>2921</v>
      </c>
      <c r="C3565" s="2" t="str">
        <f t="shared" si="55"/>
        <v>TX0136997_001</v>
      </c>
      <c r="D3565" s="2" t="s">
        <v>4798</v>
      </c>
    </row>
    <row r="3566" spans="1:4" x14ac:dyDescent="0.25">
      <c r="A3566" s="2" t="s">
        <v>7906</v>
      </c>
      <c r="B3566" s="2" t="s">
        <v>2923</v>
      </c>
      <c r="C3566" s="2" t="str">
        <f t="shared" si="55"/>
        <v>TX0137002_002</v>
      </c>
      <c r="D3566" s="2" t="s">
        <v>5044</v>
      </c>
    </row>
    <row r="3567" spans="1:4" x14ac:dyDescent="0.25">
      <c r="A3567" s="2" t="s">
        <v>7907</v>
      </c>
      <c r="B3567" s="2" t="s">
        <v>2921</v>
      </c>
      <c r="C3567" s="2" t="str">
        <f t="shared" si="55"/>
        <v>TX0137014_001</v>
      </c>
      <c r="D3567" s="2" t="s">
        <v>5045</v>
      </c>
    </row>
    <row r="3568" spans="1:4" x14ac:dyDescent="0.25">
      <c r="A3568" s="2" t="s">
        <v>7908</v>
      </c>
      <c r="B3568" s="2" t="s">
        <v>2923</v>
      </c>
      <c r="C3568" s="2" t="str">
        <f t="shared" si="55"/>
        <v>TX0137031_002</v>
      </c>
      <c r="D3568" s="2" t="s">
        <v>5046</v>
      </c>
    </row>
    <row r="3569" spans="1:4" x14ac:dyDescent="0.25">
      <c r="A3569" s="2" t="s">
        <v>7908</v>
      </c>
      <c r="B3569" s="2" t="s">
        <v>2921</v>
      </c>
      <c r="C3569" s="2" t="str">
        <f t="shared" si="55"/>
        <v>TX0137031_001</v>
      </c>
      <c r="D3569" s="2" t="s">
        <v>5046</v>
      </c>
    </row>
    <row r="3570" spans="1:4" x14ac:dyDescent="0.25">
      <c r="A3570" s="2" t="s">
        <v>7909</v>
      </c>
      <c r="B3570" s="2" t="s">
        <v>2921</v>
      </c>
      <c r="C3570" s="2" t="str">
        <f t="shared" si="55"/>
        <v>TX0137073_001</v>
      </c>
      <c r="D3570" s="2" t="s">
        <v>5047</v>
      </c>
    </row>
    <row r="3571" spans="1:4" x14ac:dyDescent="0.25">
      <c r="A3571" s="2" t="s">
        <v>7910</v>
      </c>
      <c r="B3571" s="2" t="s">
        <v>2921</v>
      </c>
      <c r="C3571" s="2" t="str">
        <f t="shared" si="55"/>
        <v>TX0137103_001</v>
      </c>
      <c r="D3571" s="2" t="s">
        <v>5048</v>
      </c>
    </row>
    <row r="3572" spans="1:4" x14ac:dyDescent="0.25">
      <c r="A3572" s="2" t="s">
        <v>7911</v>
      </c>
      <c r="B3572" s="2" t="s">
        <v>2921</v>
      </c>
      <c r="C3572" s="2" t="str">
        <f t="shared" si="55"/>
        <v>TX0137111_001</v>
      </c>
      <c r="D3572" s="2" t="s">
        <v>5049</v>
      </c>
    </row>
    <row r="3573" spans="1:4" x14ac:dyDescent="0.25">
      <c r="A3573" s="2" t="s">
        <v>7912</v>
      </c>
      <c r="B3573" s="2" t="s">
        <v>2921</v>
      </c>
      <c r="C3573" s="2" t="str">
        <f t="shared" si="55"/>
        <v>TX0137138_001</v>
      </c>
      <c r="D3573" s="2" t="s">
        <v>5050</v>
      </c>
    </row>
    <row r="3574" spans="1:4" x14ac:dyDescent="0.25">
      <c r="A3574" s="2" t="s">
        <v>7913</v>
      </c>
      <c r="B3574" s="2" t="s">
        <v>2921</v>
      </c>
      <c r="C3574" s="2" t="str">
        <f t="shared" si="55"/>
        <v>TX0137146_001</v>
      </c>
      <c r="D3574" s="2" t="s">
        <v>5051</v>
      </c>
    </row>
    <row r="3575" spans="1:4" x14ac:dyDescent="0.25">
      <c r="A3575" s="2" t="s">
        <v>7914</v>
      </c>
      <c r="B3575" s="2" t="s">
        <v>2921</v>
      </c>
      <c r="C3575" s="2" t="str">
        <f t="shared" si="55"/>
        <v>TX0137154_001</v>
      </c>
      <c r="D3575" s="2" t="s">
        <v>5052</v>
      </c>
    </row>
    <row r="3576" spans="1:4" x14ac:dyDescent="0.25">
      <c r="A3576" s="2" t="s">
        <v>7915</v>
      </c>
      <c r="B3576" s="2" t="s">
        <v>2921</v>
      </c>
      <c r="C3576" s="2" t="str">
        <f t="shared" si="55"/>
        <v>TX0137162_001</v>
      </c>
      <c r="D3576" s="2" t="s">
        <v>5053</v>
      </c>
    </row>
    <row r="3577" spans="1:4" x14ac:dyDescent="0.25">
      <c r="A3577" s="2" t="s">
        <v>7916</v>
      </c>
      <c r="B3577" s="2" t="s">
        <v>2921</v>
      </c>
      <c r="C3577" s="2" t="str">
        <f t="shared" si="55"/>
        <v>TX0137189_001</v>
      </c>
      <c r="D3577" s="2" t="s">
        <v>5054</v>
      </c>
    </row>
    <row r="3578" spans="1:4" x14ac:dyDescent="0.25">
      <c r="A3578" s="2" t="s">
        <v>7917</v>
      </c>
      <c r="B3578" s="2" t="s">
        <v>2921</v>
      </c>
      <c r="C3578" s="2" t="str">
        <f t="shared" si="55"/>
        <v>TX0137197_001</v>
      </c>
      <c r="D3578" s="2" t="s">
        <v>5055</v>
      </c>
    </row>
    <row r="3579" spans="1:4" x14ac:dyDescent="0.25">
      <c r="A3579" s="2" t="s">
        <v>7918</v>
      </c>
      <c r="B3579" s="2" t="s">
        <v>2921</v>
      </c>
      <c r="C3579" s="2" t="str">
        <f t="shared" si="55"/>
        <v>TX0137219_001</v>
      </c>
      <c r="D3579" s="2" t="s">
        <v>5056</v>
      </c>
    </row>
    <row r="3580" spans="1:4" x14ac:dyDescent="0.25">
      <c r="A3580" s="2" t="s">
        <v>7919</v>
      </c>
      <c r="B3580" s="2" t="s">
        <v>2921</v>
      </c>
      <c r="C3580" s="2" t="str">
        <f t="shared" si="55"/>
        <v>TX0137235_001</v>
      </c>
      <c r="D3580" s="2" t="s">
        <v>5057</v>
      </c>
    </row>
    <row r="3581" spans="1:4" x14ac:dyDescent="0.25">
      <c r="A3581" s="2" t="s">
        <v>7920</v>
      </c>
      <c r="B3581" s="2" t="s">
        <v>2921</v>
      </c>
      <c r="C3581" s="2" t="str">
        <f t="shared" si="55"/>
        <v>TX0137243_001</v>
      </c>
      <c r="D3581" s="2" t="s">
        <v>5058</v>
      </c>
    </row>
    <row r="3582" spans="1:4" x14ac:dyDescent="0.25">
      <c r="A3582" s="2" t="s">
        <v>7921</v>
      </c>
      <c r="B3582" s="2" t="s">
        <v>2921</v>
      </c>
      <c r="C3582" s="2" t="str">
        <f t="shared" si="55"/>
        <v>TX0137251_001</v>
      </c>
      <c r="D3582" s="2" t="s">
        <v>5059</v>
      </c>
    </row>
    <row r="3583" spans="1:4" x14ac:dyDescent="0.25">
      <c r="A3583" s="2" t="s">
        <v>7922</v>
      </c>
      <c r="B3583" s="2" t="s">
        <v>2921</v>
      </c>
      <c r="C3583" s="2" t="str">
        <f t="shared" si="55"/>
        <v>TX0137260_001</v>
      </c>
      <c r="D3583" s="2" t="s">
        <v>2963</v>
      </c>
    </row>
    <row r="3584" spans="1:4" x14ac:dyDescent="0.25">
      <c r="A3584" s="2" t="s">
        <v>7923</v>
      </c>
      <c r="B3584" s="2" t="s">
        <v>2921</v>
      </c>
      <c r="C3584" s="2" t="str">
        <f t="shared" si="55"/>
        <v>TX0137286_001</v>
      </c>
      <c r="D3584" s="2" t="s">
        <v>5060</v>
      </c>
    </row>
    <row r="3585" spans="1:4" x14ac:dyDescent="0.25">
      <c r="A3585" s="2" t="s">
        <v>7924</v>
      </c>
      <c r="B3585" s="2" t="s">
        <v>2921</v>
      </c>
      <c r="C3585" s="2" t="str">
        <f t="shared" si="55"/>
        <v>TX0137294_001</v>
      </c>
      <c r="D3585" s="2" t="s">
        <v>3404</v>
      </c>
    </row>
    <row r="3586" spans="1:4" x14ac:dyDescent="0.25">
      <c r="A3586" s="2" t="s">
        <v>7925</v>
      </c>
      <c r="B3586" s="2" t="s">
        <v>2921</v>
      </c>
      <c r="C3586" s="2" t="str">
        <f t="shared" si="55"/>
        <v>TX0137308_001</v>
      </c>
      <c r="D3586" s="2" t="s">
        <v>5061</v>
      </c>
    </row>
    <row r="3587" spans="1:4" x14ac:dyDescent="0.25">
      <c r="A3587" s="2" t="s">
        <v>7926</v>
      </c>
      <c r="B3587" s="2" t="s">
        <v>2921</v>
      </c>
      <c r="C3587" s="2" t="str">
        <f t="shared" ref="C3587:C3650" si="56">A3587 &amp; "_" &amp; B3587</f>
        <v>TX0137316_001</v>
      </c>
      <c r="D3587" s="2" t="s">
        <v>5062</v>
      </c>
    </row>
    <row r="3588" spans="1:4" x14ac:dyDescent="0.25">
      <c r="A3588" s="2" t="s">
        <v>7927</v>
      </c>
      <c r="B3588" s="2" t="s">
        <v>2921</v>
      </c>
      <c r="C3588" s="2" t="str">
        <f t="shared" si="56"/>
        <v>TX0137324_001</v>
      </c>
      <c r="D3588" s="2" t="s">
        <v>3225</v>
      </c>
    </row>
    <row r="3589" spans="1:4" x14ac:dyDescent="0.25">
      <c r="A3589" s="2" t="s">
        <v>7928</v>
      </c>
      <c r="B3589" s="2" t="s">
        <v>2921</v>
      </c>
      <c r="C3589" s="2" t="str">
        <f t="shared" si="56"/>
        <v>TX0137332_001</v>
      </c>
      <c r="D3589" s="2" t="s">
        <v>3395</v>
      </c>
    </row>
    <row r="3590" spans="1:4" x14ac:dyDescent="0.25">
      <c r="A3590" s="2" t="s">
        <v>7929</v>
      </c>
      <c r="B3590" s="2" t="s">
        <v>2921</v>
      </c>
      <c r="C3590" s="2" t="str">
        <f t="shared" si="56"/>
        <v>TX0137341_001</v>
      </c>
      <c r="D3590" s="2" t="s">
        <v>4362</v>
      </c>
    </row>
    <row r="3591" spans="1:4" x14ac:dyDescent="0.25">
      <c r="A3591" s="2" t="s">
        <v>7930</v>
      </c>
      <c r="B3591" s="2" t="s">
        <v>2921</v>
      </c>
      <c r="C3591" s="2" t="str">
        <f t="shared" si="56"/>
        <v>TX0137359_001</v>
      </c>
      <c r="D3591" s="2" t="s">
        <v>5063</v>
      </c>
    </row>
    <row r="3592" spans="1:4" x14ac:dyDescent="0.25">
      <c r="A3592" s="2" t="s">
        <v>7930</v>
      </c>
      <c r="B3592" s="2" t="s">
        <v>2923</v>
      </c>
      <c r="C3592" s="2" t="str">
        <f t="shared" si="56"/>
        <v>TX0137359_002</v>
      </c>
      <c r="D3592" s="2" t="s">
        <v>5063</v>
      </c>
    </row>
    <row r="3593" spans="1:4" x14ac:dyDescent="0.25">
      <c r="A3593" s="2" t="s">
        <v>7931</v>
      </c>
      <c r="B3593" s="2" t="s">
        <v>2921</v>
      </c>
      <c r="C3593" s="2" t="str">
        <f t="shared" si="56"/>
        <v>TX0137367_001</v>
      </c>
      <c r="D3593" s="2" t="s">
        <v>5064</v>
      </c>
    </row>
    <row r="3594" spans="1:4" x14ac:dyDescent="0.25">
      <c r="A3594" s="2" t="s">
        <v>7932</v>
      </c>
      <c r="B3594" s="2" t="s">
        <v>2921</v>
      </c>
      <c r="C3594" s="2" t="str">
        <f t="shared" si="56"/>
        <v>TX0137383_001</v>
      </c>
      <c r="D3594" s="2" t="s">
        <v>3253</v>
      </c>
    </row>
    <row r="3595" spans="1:4" x14ac:dyDescent="0.25">
      <c r="A3595" s="2" t="s">
        <v>7933</v>
      </c>
      <c r="B3595" s="2" t="s">
        <v>2921</v>
      </c>
      <c r="C3595" s="2" t="str">
        <f t="shared" si="56"/>
        <v>TX0137391_001</v>
      </c>
      <c r="D3595" s="2" t="s">
        <v>5065</v>
      </c>
    </row>
    <row r="3596" spans="1:4" x14ac:dyDescent="0.25">
      <c r="A3596" s="2" t="s">
        <v>7934</v>
      </c>
      <c r="B3596" s="2" t="s">
        <v>2921</v>
      </c>
      <c r="C3596" s="2" t="str">
        <f t="shared" si="56"/>
        <v>TX0137405_001</v>
      </c>
      <c r="D3596" s="2" t="s">
        <v>5066</v>
      </c>
    </row>
    <row r="3597" spans="1:4" x14ac:dyDescent="0.25">
      <c r="A3597" s="2" t="s">
        <v>7935</v>
      </c>
      <c r="B3597" s="2" t="s">
        <v>2921</v>
      </c>
      <c r="C3597" s="2" t="str">
        <f t="shared" si="56"/>
        <v>TX0137413_001</v>
      </c>
      <c r="D3597" s="2" t="s">
        <v>5067</v>
      </c>
    </row>
    <row r="3598" spans="1:4" x14ac:dyDescent="0.25">
      <c r="A3598" s="2" t="s">
        <v>7936</v>
      </c>
      <c r="B3598" s="2" t="s">
        <v>2921</v>
      </c>
      <c r="C3598" s="2" t="str">
        <f t="shared" si="56"/>
        <v>TX0137421_001</v>
      </c>
      <c r="D3598" s="2" t="s">
        <v>5068</v>
      </c>
    </row>
    <row r="3599" spans="1:4" x14ac:dyDescent="0.25">
      <c r="A3599" s="2" t="s">
        <v>7937</v>
      </c>
      <c r="B3599" s="2" t="s">
        <v>2921</v>
      </c>
      <c r="C3599" s="2" t="str">
        <f t="shared" si="56"/>
        <v>TX0137448_001</v>
      </c>
      <c r="D3599" s="2" t="s">
        <v>4144</v>
      </c>
    </row>
    <row r="3600" spans="1:4" x14ac:dyDescent="0.25">
      <c r="A3600" s="2" t="s">
        <v>7938</v>
      </c>
      <c r="B3600" s="2" t="s">
        <v>2921</v>
      </c>
      <c r="C3600" s="2" t="str">
        <f t="shared" si="56"/>
        <v>TX0137464_001</v>
      </c>
      <c r="D3600" s="2" t="s">
        <v>5069</v>
      </c>
    </row>
    <row r="3601" spans="1:4" x14ac:dyDescent="0.25">
      <c r="A3601" s="2" t="s">
        <v>7939</v>
      </c>
      <c r="B3601" s="2" t="s">
        <v>2921</v>
      </c>
      <c r="C3601" s="2" t="str">
        <f t="shared" si="56"/>
        <v>TX0137472_001</v>
      </c>
      <c r="D3601" s="2" t="s">
        <v>5070</v>
      </c>
    </row>
    <row r="3602" spans="1:4" x14ac:dyDescent="0.25">
      <c r="A3602" s="2" t="s">
        <v>7940</v>
      </c>
      <c r="B3602" s="2" t="s">
        <v>2921</v>
      </c>
      <c r="C3602" s="2" t="str">
        <f t="shared" si="56"/>
        <v>TX0137481_001</v>
      </c>
      <c r="D3602" s="2" t="s">
        <v>5071</v>
      </c>
    </row>
    <row r="3603" spans="1:4" x14ac:dyDescent="0.25">
      <c r="A3603" s="2" t="s">
        <v>7941</v>
      </c>
      <c r="B3603" s="2" t="s">
        <v>2921</v>
      </c>
      <c r="C3603" s="2" t="str">
        <f t="shared" si="56"/>
        <v>TX0137502_001</v>
      </c>
      <c r="D3603" s="2" t="s">
        <v>5072</v>
      </c>
    </row>
    <row r="3604" spans="1:4" x14ac:dyDescent="0.25">
      <c r="A3604" s="2" t="s">
        <v>7942</v>
      </c>
      <c r="B3604" s="2" t="s">
        <v>2921</v>
      </c>
      <c r="C3604" s="2" t="str">
        <f t="shared" si="56"/>
        <v>TX0137511_001</v>
      </c>
      <c r="D3604" s="2" t="s">
        <v>5073</v>
      </c>
    </row>
    <row r="3605" spans="1:4" x14ac:dyDescent="0.25">
      <c r="A3605" s="2" t="s">
        <v>7943</v>
      </c>
      <c r="B3605" s="2" t="s">
        <v>2921</v>
      </c>
      <c r="C3605" s="2" t="str">
        <f t="shared" si="56"/>
        <v>TX0137529_001</v>
      </c>
      <c r="D3605" s="2" t="s">
        <v>5074</v>
      </c>
    </row>
    <row r="3606" spans="1:4" x14ac:dyDescent="0.25">
      <c r="A3606" s="2" t="s">
        <v>7944</v>
      </c>
      <c r="B3606" s="2" t="s">
        <v>2921</v>
      </c>
      <c r="C3606" s="2" t="str">
        <f t="shared" si="56"/>
        <v>TX0137537_001</v>
      </c>
      <c r="D3606" s="2" t="s">
        <v>5075</v>
      </c>
    </row>
    <row r="3607" spans="1:4" x14ac:dyDescent="0.25">
      <c r="A3607" s="2" t="s">
        <v>7945</v>
      </c>
      <c r="B3607" s="2" t="s">
        <v>2921</v>
      </c>
      <c r="C3607" s="2" t="str">
        <f t="shared" si="56"/>
        <v>TX0137545_001</v>
      </c>
      <c r="D3607" s="2" t="s">
        <v>3602</v>
      </c>
    </row>
    <row r="3608" spans="1:4" x14ac:dyDescent="0.25">
      <c r="A3608" s="2" t="s">
        <v>7946</v>
      </c>
      <c r="B3608" s="2" t="s">
        <v>2921</v>
      </c>
      <c r="C3608" s="2" t="str">
        <f t="shared" si="56"/>
        <v>TX0137553_001</v>
      </c>
      <c r="D3608" s="2" t="s">
        <v>5076</v>
      </c>
    </row>
    <row r="3609" spans="1:4" x14ac:dyDescent="0.25">
      <c r="A3609" s="2" t="s">
        <v>7947</v>
      </c>
      <c r="B3609" s="2" t="s">
        <v>2921</v>
      </c>
      <c r="C3609" s="2" t="str">
        <f t="shared" si="56"/>
        <v>TX0137561_001</v>
      </c>
      <c r="D3609" s="2" t="s">
        <v>5077</v>
      </c>
    </row>
    <row r="3610" spans="1:4" x14ac:dyDescent="0.25">
      <c r="A3610" s="2" t="s">
        <v>7948</v>
      </c>
      <c r="B3610" s="2" t="s">
        <v>2921</v>
      </c>
      <c r="C3610" s="2" t="str">
        <f t="shared" si="56"/>
        <v>TX0137570_001</v>
      </c>
      <c r="D3610" s="2" t="s">
        <v>5078</v>
      </c>
    </row>
    <row r="3611" spans="1:4" x14ac:dyDescent="0.25">
      <c r="A3611" s="2" t="s">
        <v>7949</v>
      </c>
      <c r="B3611" s="2" t="s">
        <v>2921</v>
      </c>
      <c r="C3611" s="2" t="str">
        <f t="shared" si="56"/>
        <v>TX0137596_001</v>
      </c>
      <c r="D3611" s="2" t="s">
        <v>5079</v>
      </c>
    </row>
    <row r="3612" spans="1:4" x14ac:dyDescent="0.25">
      <c r="A3612" s="2" t="s">
        <v>7950</v>
      </c>
      <c r="B3612" s="2" t="s">
        <v>2921</v>
      </c>
      <c r="C3612" s="2" t="str">
        <f t="shared" si="56"/>
        <v>TX0137600_001</v>
      </c>
      <c r="D3612" s="2" t="s">
        <v>4372</v>
      </c>
    </row>
    <row r="3613" spans="1:4" x14ac:dyDescent="0.25">
      <c r="A3613" s="2" t="s">
        <v>7951</v>
      </c>
      <c r="B3613" s="2" t="s">
        <v>2921</v>
      </c>
      <c r="C3613" s="2" t="str">
        <f t="shared" si="56"/>
        <v>TX0137618_001</v>
      </c>
      <c r="D3613" s="2" t="s">
        <v>5080</v>
      </c>
    </row>
    <row r="3614" spans="1:4" x14ac:dyDescent="0.25">
      <c r="A3614" s="2" t="s">
        <v>7952</v>
      </c>
      <c r="B3614" s="2" t="s">
        <v>2921</v>
      </c>
      <c r="C3614" s="2" t="str">
        <f t="shared" si="56"/>
        <v>TX0137626_001</v>
      </c>
      <c r="D3614" s="2" t="s">
        <v>5081</v>
      </c>
    </row>
    <row r="3615" spans="1:4" x14ac:dyDescent="0.25">
      <c r="A3615" s="2" t="s">
        <v>7953</v>
      </c>
      <c r="B3615" s="2" t="s">
        <v>2921</v>
      </c>
      <c r="C3615" s="2" t="str">
        <f t="shared" si="56"/>
        <v>TX0137634_001</v>
      </c>
      <c r="D3615" s="2" t="s">
        <v>5082</v>
      </c>
    </row>
    <row r="3616" spans="1:4" x14ac:dyDescent="0.25">
      <c r="A3616" s="2" t="s">
        <v>7954</v>
      </c>
      <c r="B3616" s="2" t="s">
        <v>2921</v>
      </c>
      <c r="C3616" s="2" t="str">
        <f t="shared" si="56"/>
        <v>TX0137642_001</v>
      </c>
      <c r="D3616" s="2" t="s">
        <v>5083</v>
      </c>
    </row>
    <row r="3617" spans="1:4" x14ac:dyDescent="0.25">
      <c r="A3617" s="2" t="s">
        <v>7955</v>
      </c>
      <c r="B3617" s="2" t="s">
        <v>2921</v>
      </c>
      <c r="C3617" s="2" t="str">
        <f t="shared" si="56"/>
        <v>TX0137651_001</v>
      </c>
      <c r="D3617" s="2" t="s">
        <v>3362</v>
      </c>
    </row>
    <row r="3618" spans="1:4" x14ac:dyDescent="0.25">
      <c r="A3618" s="2" t="s">
        <v>7956</v>
      </c>
      <c r="B3618" s="2" t="s">
        <v>2921</v>
      </c>
      <c r="C3618" s="2" t="str">
        <f t="shared" si="56"/>
        <v>TX0137669_001</v>
      </c>
      <c r="D3618" s="2" t="s">
        <v>5084</v>
      </c>
    </row>
    <row r="3619" spans="1:4" x14ac:dyDescent="0.25">
      <c r="A3619" s="2" t="s">
        <v>7957</v>
      </c>
      <c r="B3619" s="2" t="s">
        <v>2921</v>
      </c>
      <c r="C3619" s="2" t="str">
        <f t="shared" si="56"/>
        <v>TX0137677_001</v>
      </c>
      <c r="D3619" s="2" t="s">
        <v>3297</v>
      </c>
    </row>
    <row r="3620" spans="1:4" x14ac:dyDescent="0.25">
      <c r="A3620" s="2" t="s">
        <v>7958</v>
      </c>
      <c r="B3620" s="2" t="s">
        <v>2921</v>
      </c>
      <c r="C3620" s="2" t="str">
        <f t="shared" si="56"/>
        <v>TX0137685_001</v>
      </c>
      <c r="D3620" s="2" t="s">
        <v>5085</v>
      </c>
    </row>
    <row r="3621" spans="1:4" x14ac:dyDescent="0.25">
      <c r="A3621" s="2" t="s">
        <v>7959</v>
      </c>
      <c r="B3621" s="2" t="s">
        <v>2921</v>
      </c>
      <c r="C3621" s="2" t="str">
        <f t="shared" si="56"/>
        <v>TX0137693_001</v>
      </c>
      <c r="D3621" s="2" t="s">
        <v>5086</v>
      </c>
    </row>
    <row r="3622" spans="1:4" x14ac:dyDescent="0.25">
      <c r="A3622" s="2" t="s">
        <v>7960</v>
      </c>
      <c r="B3622" s="2" t="s">
        <v>2921</v>
      </c>
      <c r="C3622" s="2" t="str">
        <f t="shared" si="56"/>
        <v>TX0137707_001</v>
      </c>
      <c r="D3622" s="2" t="s">
        <v>5087</v>
      </c>
    </row>
    <row r="3623" spans="1:4" x14ac:dyDescent="0.25">
      <c r="A3623" s="2" t="s">
        <v>7961</v>
      </c>
      <c r="B3623" s="2" t="s">
        <v>2921</v>
      </c>
      <c r="C3623" s="2" t="str">
        <f t="shared" si="56"/>
        <v>TX0137715_001</v>
      </c>
      <c r="D3623" s="2" t="s">
        <v>5088</v>
      </c>
    </row>
    <row r="3624" spans="1:4" x14ac:dyDescent="0.25">
      <c r="A3624" s="2" t="s">
        <v>7961</v>
      </c>
      <c r="B3624" s="2" t="s">
        <v>2923</v>
      </c>
      <c r="C3624" s="2" t="str">
        <f t="shared" si="56"/>
        <v>TX0137715_002</v>
      </c>
      <c r="D3624" s="2" t="s">
        <v>5088</v>
      </c>
    </row>
    <row r="3625" spans="1:4" x14ac:dyDescent="0.25">
      <c r="A3625" s="2" t="s">
        <v>7961</v>
      </c>
      <c r="B3625" s="2" t="s">
        <v>2924</v>
      </c>
      <c r="C3625" s="2" t="str">
        <f t="shared" si="56"/>
        <v>TX0137715_003</v>
      </c>
      <c r="D3625" s="2" t="s">
        <v>5088</v>
      </c>
    </row>
    <row r="3626" spans="1:4" x14ac:dyDescent="0.25">
      <c r="A3626" s="2" t="s">
        <v>7961</v>
      </c>
      <c r="B3626" s="2" t="s">
        <v>2936</v>
      </c>
      <c r="C3626" s="2" t="str">
        <f t="shared" si="56"/>
        <v>TX0137715_004</v>
      </c>
      <c r="D3626" s="2" t="s">
        <v>5088</v>
      </c>
    </row>
    <row r="3627" spans="1:4" x14ac:dyDescent="0.25">
      <c r="A3627" s="2" t="s">
        <v>7961</v>
      </c>
      <c r="B3627" s="2" t="s">
        <v>2934</v>
      </c>
      <c r="C3627" s="2" t="str">
        <f t="shared" si="56"/>
        <v>TX0137715_005</v>
      </c>
      <c r="D3627" s="2" t="s">
        <v>5088</v>
      </c>
    </row>
    <row r="3628" spans="1:4" x14ac:dyDescent="0.25">
      <c r="A3628" s="2" t="s">
        <v>7962</v>
      </c>
      <c r="B3628" s="2" t="s">
        <v>2921</v>
      </c>
      <c r="C3628" s="2" t="str">
        <f t="shared" si="56"/>
        <v>TX0137740_001</v>
      </c>
      <c r="D3628" s="2" t="s">
        <v>4712</v>
      </c>
    </row>
    <row r="3629" spans="1:4" x14ac:dyDescent="0.25">
      <c r="A3629" s="2" t="s">
        <v>7963</v>
      </c>
      <c r="B3629" s="2" t="s">
        <v>2921</v>
      </c>
      <c r="C3629" s="2" t="str">
        <f t="shared" si="56"/>
        <v>TX0137766_001</v>
      </c>
      <c r="D3629" s="2" t="s">
        <v>5089</v>
      </c>
    </row>
    <row r="3630" spans="1:4" x14ac:dyDescent="0.25">
      <c r="A3630" s="2" t="s">
        <v>7964</v>
      </c>
      <c r="B3630" s="2" t="s">
        <v>2921</v>
      </c>
      <c r="C3630" s="2" t="str">
        <f t="shared" si="56"/>
        <v>TX0137774_001</v>
      </c>
      <c r="D3630" s="2" t="s">
        <v>5090</v>
      </c>
    </row>
    <row r="3631" spans="1:4" x14ac:dyDescent="0.25">
      <c r="A3631" s="2" t="s">
        <v>7965</v>
      </c>
      <c r="B3631" s="2" t="s">
        <v>2921</v>
      </c>
      <c r="C3631" s="2" t="str">
        <f t="shared" si="56"/>
        <v>TX0137782_001</v>
      </c>
      <c r="D3631" s="2" t="s">
        <v>5091</v>
      </c>
    </row>
    <row r="3632" spans="1:4" x14ac:dyDescent="0.25">
      <c r="A3632" s="2" t="s">
        <v>7966</v>
      </c>
      <c r="B3632" s="2" t="s">
        <v>2921</v>
      </c>
      <c r="C3632" s="2" t="str">
        <f t="shared" si="56"/>
        <v>TX0137791_001</v>
      </c>
      <c r="D3632" s="2" t="s">
        <v>5092</v>
      </c>
    </row>
    <row r="3633" spans="1:4" x14ac:dyDescent="0.25">
      <c r="A3633" s="2" t="s">
        <v>7967</v>
      </c>
      <c r="B3633" s="2" t="s">
        <v>2921</v>
      </c>
      <c r="C3633" s="2" t="str">
        <f t="shared" si="56"/>
        <v>TX0137804_001</v>
      </c>
      <c r="D3633" s="2" t="s">
        <v>5093</v>
      </c>
    </row>
    <row r="3634" spans="1:4" x14ac:dyDescent="0.25">
      <c r="A3634" s="2" t="s">
        <v>7968</v>
      </c>
      <c r="B3634" s="2" t="s">
        <v>2921</v>
      </c>
      <c r="C3634" s="2" t="str">
        <f t="shared" si="56"/>
        <v>TX013781_001</v>
      </c>
      <c r="D3634" s="2" t="s">
        <v>5094</v>
      </c>
    </row>
    <row r="3635" spans="1:4" x14ac:dyDescent="0.25">
      <c r="A3635" s="2" t="s">
        <v>7969</v>
      </c>
      <c r="B3635" s="2" t="s">
        <v>2921</v>
      </c>
      <c r="C3635" s="2" t="str">
        <f t="shared" si="56"/>
        <v>TX0137839_001</v>
      </c>
      <c r="D3635" s="2" t="s">
        <v>5095</v>
      </c>
    </row>
    <row r="3636" spans="1:4" x14ac:dyDescent="0.25">
      <c r="A3636" s="2" t="s">
        <v>7970</v>
      </c>
      <c r="B3636" s="2" t="s">
        <v>2921</v>
      </c>
      <c r="C3636" s="2" t="str">
        <f t="shared" si="56"/>
        <v>TX0137847_001</v>
      </c>
      <c r="D3636" s="2" t="s">
        <v>5096</v>
      </c>
    </row>
    <row r="3637" spans="1:4" x14ac:dyDescent="0.25">
      <c r="A3637" s="2" t="s">
        <v>7971</v>
      </c>
      <c r="B3637" s="2" t="s">
        <v>2921</v>
      </c>
      <c r="C3637" s="2" t="str">
        <f t="shared" si="56"/>
        <v>TX0137855_001</v>
      </c>
      <c r="D3637" s="2" t="s">
        <v>2997</v>
      </c>
    </row>
    <row r="3638" spans="1:4" x14ac:dyDescent="0.25">
      <c r="A3638" s="2" t="s">
        <v>7971</v>
      </c>
      <c r="B3638" s="2" t="s">
        <v>2923</v>
      </c>
      <c r="C3638" s="2" t="str">
        <f t="shared" si="56"/>
        <v>TX0137855_002</v>
      </c>
      <c r="D3638" s="2" t="s">
        <v>2997</v>
      </c>
    </row>
    <row r="3639" spans="1:4" x14ac:dyDescent="0.25">
      <c r="A3639" s="2" t="s">
        <v>7972</v>
      </c>
      <c r="B3639" s="2" t="s">
        <v>2921</v>
      </c>
      <c r="C3639" s="2" t="str">
        <f t="shared" si="56"/>
        <v>TX0137863_001</v>
      </c>
      <c r="D3639" s="2" t="s">
        <v>5097</v>
      </c>
    </row>
    <row r="3640" spans="1:4" x14ac:dyDescent="0.25">
      <c r="A3640" s="2" t="s">
        <v>7973</v>
      </c>
      <c r="B3640" s="2" t="s">
        <v>2921</v>
      </c>
      <c r="C3640" s="2" t="str">
        <f t="shared" si="56"/>
        <v>TX0137880_001</v>
      </c>
      <c r="D3640" s="2" t="s">
        <v>4869</v>
      </c>
    </row>
    <row r="3641" spans="1:4" x14ac:dyDescent="0.25">
      <c r="A3641" s="2" t="s">
        <v>7973</v>
      </c>
      <c r="B3641" s="2" t="s">
        <v>2923</v>
      </c>
      <c r="C3641" s="2" t="str">
        <f t="shared" si="56"/>
        <v>TX0137880_002</v>
      </c>
      <c r="D3641" s="2" t="s">
        <v>4869</v>
      </c>
    </row>
    <row r="3642" spans="1:4" x14ac:dyDescent="0.25">
      <c r="A3642" s="2" t="s">
        <v>7973</v>
      </c>
      <c r="B3642" s="2" t="s">
        <v>2924</v>
      </c>
      <c r="C3642" s="2" t="str">
        <f t="shared" si="56"/>
        <v>TX0137880_003</v>
      </c>
      <c r="D3642" s="2" t="s">
        <v>4869</v>
      </c>
    </row>
    <row r="3643" spans="1:4" x14ac:dyDescent="0.25">
      <c r="A3643" s="2" t="s">
        <v>7973</v>
      </c>
      <c r="B3643" s="2" t="s">
        <v>2936</v>
      </c>
      <c r="C3643" s="2" t="str">
        <f t="shared" si="56"/>
        <v>TX0137880_004</v>
      </c>
      <c r="D3643" s="2" t="s">
        <v>4869</v>
      </c>
    </row>
    <row r="3644" spans="1:4" x14ac:dyDescent="0.25">
      <c r="A3644" s="2" t="s">
        <v>7974</v>
      </c>
      <c r="B3644" s="2" t="s">
        <v>2921</v>
      </c>
      <c r="C3644" s="2" t="str">
        <f t="shared" si="56"/>
        <v>TX0137898_001</v>
      </c>
      <c r="D3644" s="2" t="s">
        <v>4624</v>
      </c>
    </row>
    <row r="3645" spans="1:4" x14ac:dyDescent="0.25">
      <c r="A3645" s="2" t="s">
        <v>7975</v>
      </c>
      <c r="B3645" s="2" t="s">
        <v>2921</v>
      </c>
      <c r="C3645" s="2" t="str">
        <f t="shared" si="56"/>
        <v>TX0137901_001</v>
      </c>
      <c r="D3645" s="2" t="s">
        <v>5098</v>
      </c>
    </row>
    <row r="3646" spans="1:4" x14ac:dyDescent="0.25">
      <c r="A3646" s="2" t="s">
        <v>7976</v>
      </c>
      <c r="B3646" s="2" t="s">
        <v>2921</v>
      </c>
      <c r="C3646" s="2" t="str">
        <f t="shared" si="56"/>
        <v>TX0137910_001</v>
      </c>
      <c r="D3646" s="2" t="s">
        <v>5099</v>
      </c>
    </row>
    <row r="3647" spans="1:4" x14ac:dyDescent="0.25">
      <c r="A3647" s="2" t="s">
        <v>7977</v>
      </c>
      <c r="B3647" s="2" t="s">
        <v>2921</v>
      </c>
      <c r="C3647" s="2" t="str">
        <f t="shared" si="56"/>
        <v>TX0137928_001</v>
      </c>
      <c r="D3647" s="2" t="s">
        <v>5100</v>
      </c>
    </row>
    <row r="3648" spans="1:4" x14ac:dyDescent="0.25">
      <c r="A3648" s="2" t="s">
        <v>7978</v>
      </c>
      <c r="B3648" s="2" t="s">
        <v>2921</v>
      </c>
      <c r="C3648" s="2" t="str">
        <f t="shared" si="56"/>
        <v>TX0137936_001</v>
      </c>
      <c r="D3648" s="2" t="s">
        <v>4402</v>
      </c>
    </row>
    <row r="3649" spans="1:4" x14ac:dyDescent="0.25">
      <c r="A3649" s="2" t="s">
        <v>7979</v>
      </c>
      <c r="B3649" s="2" t="s">
        <v>2921</v>
      </c>
      <c r="C3649" s="2" t="str">
        <f t="shared" si="56"/>
        <v>TX0137952_001</v>
      </c>
      <c r="D3649" s="2" t="s">
        <v>3156</v>
      </c>
    </row>
    <row r="3650" spans="1:4" x14ac:dyDescent="0.25">
      <c r="A3650" s="2" t="s">
        <v>7980</v>
      </c>
      <c r="B3650" s="2" t="s">
        <v>2921</v>
      </c>
      <c r="C3650" s="2" t="str">
        <f t="shared" si="56"/>
        <v>TX0137961_001</v>
      </c>
      <c r="D3650" s="2" t="s">
        <v>5101</v>
      </c>
    </row>
    <row r="3651" spans="1:4" x14ac:dyDescent="0.25">
      <c r="A3651" s="2" t="s">
        <v>7981</v>
      </c>
      <c r="B3651" s="2" t="s">
        <v>2921</v>
      </c>
      <c r="C3651" s="2" t="str">
        <f t="shared" ref="C3651:C3714" si="57">A3651 &amp; "_" &amp; B3651</f>
        <v>TX0137979_001</v>
      </c>
      <c r="D3651" s="2" t="s">
        <v>5102</v>
      </c>
    </row>
    <row r="3652" spans="1:4" x14ac:dyDescent="0.25">
      <c r="A3652" s="2" t="s">
        <v>7982</v>
      </c>
      <c r="B3652" s="2" t="s">
        <v>2921</v>
      </c>
      <c r="C3652" s="2" t="str">
        <f t="shared" si="57"/>
        <v>TX0137987_001</v>
      </c>
      <c r="D3652" s="2" t="s">
        <v>5103</v>
      </c>
    </row>
    <row r="3653" spans="1:4" x14ac:dyDescent="0.25">
      <c r="A3653" s="2" t="s">
        <v>7983</v>
      </c>
      <c r="B3653" s="2" t="s">
        <v>2921</v>
      </c>
      <c r="C3653" s="2" t="str">
        <f t="shared" si="57"/>
        <v>TX0137995_001</v>
      </c>
      <c r="D3653" s="2" t="s">
        <v>4050</v>
      </c>
    </row>
    <row r="3654" spans="1:4" x14ac:dyDescent="0.25">
      <c r="A3654" s="2" t="s">
        <v>7984</v>
      </c>
      <c r="B3654" s="2" t="s">
        <v>2921</v>
      </c>
      <c r="C3654" s="2" t="str">
        <f t="shared" si="57"/>
        <v>TX0138002_001</v>
      </c>
      <c r="D3654" s="2" t="s">
        <v>5104</v>
      </c>
    </row>
    <row r="3655" spans="1:4" x14ac:dyDescent="0.25">
      <c r="A3655" s="2" t="s">
        <v>7985</v>
      </c>
      <c r="B3655" s="2" t="s">
        <v>2921</v>
      </c>
      <c r="C3655" s="2" t="str">
        <f t="shared" si="57"/>
        <v>TX0138011_001</v>
      </c>
      <c r="D3655" s="2" t="s">
        <v>5105</v>
      </c>
    </row>
    <row r="3656" spans="1:4" x14ac:dyDescent="0.25">
      <c r="A3656" s="2" t="s">
        <v>7986</v>
      </c>
      <c r="B3656" s="2" t="s">
        <v>2921</v>
      </c>
      <c r="C3656" s="2" t="str">
        <f t="shared" si="57"/>
        <v>TX0138029_001</v>
      </c>
      <c r="D3656" s="2" t="s">
        <v>4560</v>
      </c>
    </row>
    <row r="3657" spans="1:4" x14ac:dyDescent="0.25">
      <c r="A3657" s="2" t="s">
        <v>7987</v>
      </c>
      <c r="B3657" s="2" t="s">
        <v>2921</v>
      </c>
      <c r="C3657" s="2" t="str">
        <f t="shared" si="57"/>
        <v>TX0138037_001</v>
      </c>
      <c r="D3657" s="2" t="s">
        <v>5106</v>
      </c>
    </row>
    <row r="3658" spans="1:4" x14ac:dyDescent="0.25">
      <c r="A3658" s="2" t="s">
        <v>7988</v>
      </c>
      <c r="B3658" s="2" t="s">
        <v>2921</v>
      </c>
      <c r="C3658" s="2" t="str">
        <f t="shared" si="57"/>
        <v>TX0138061_001</v>
      </c>
      <c r="D3658" s="2" t="s">
        <v>5107</v>
      </c>
    </row>
    <row r="3659" spans="1:4" x14ac:dyDescent="0.25">
      <c r="A3659" s="2" t="s">
        <v>7989</v>
      </c>
      <c r="B3659" s="2" t="s">
        <v>2921</v>
      </c>
      <c r="C3659" s="2" t="str">
        <f t="shared" si="57"/>
        <v>TX0138070_001</v>
      </c>
      <c r="D3659" s="2" t="s">
        <v>4683</v>
      </c>
    </row>
    <row r="3660" spans="1:4" x14ac:dyDescent="0.25">
      <c r="A3660" s="2" t="s">
        <v>7990</v>
      </c>
      <c r="B3660" s="2" t="s">
        <v>2921</v>
      </c>
      <c r="C3660" s="2" t="str">
        <f t="shared" si="57"/>
        <v>TX0138088_001</v>
      </c>
      <c r="D3660" s="2" t="s">
        <v>5108</v>
      </c>
    </row>
    <row r="3661" spans="1:4" x14ac:dyDescent="0.25">
      <c r="A3661" s="2" t="s">
        <v>7991</v>
      </c>
      <c r="B3661" s="2" t="s">
        <v>2921</v>
      </c>
      <c r="C3661" s="2" t="str">
        <f t="shared" si="57"/>
        <v>TX0138096_001</v>
      </c>
      <c r="D3661" s="2" t="s">
        <v>5109</v>
      </c>
    </row>
    <row r="3662" spans="1:4" x14ac:dyDescent="0.25">
      <c r="A3662" s="2" t="s">
        <v>7992</v>
      </c>
      <c r="B3662" s="2" t="s">
        <v>2921</v>
      </c>
      <c r="C3662" s="2" t="str">
        <f t="shared" si="57"/>
        <v>TX0138100_001</v>
      </c>
      <c r="D3662" s="2" t="s">
        <v>5110</v>
      </c>
    </row>
    <row r="3663" spans="1:4" x14ac:dyDescent="0.25">
      <c r="A3663" s="2" t="s">
        <v>7993</v>
      </c>
      <c r="B3663" s="2" t="s">
        <v>2921</v>
      </c>
      <c r="C3663" s="2" t="str">
        <f t="shared" si="57"/>
        <v>TX0138118_001</v>
      </c>
      <c r="D3663" s="2" t="s">
        <v>5111</v>
      </c>
    </row>
    <row r="3664" spans="1:4" x14ac:dyDescent="0.25">
      <c r="A3664" s="2" t="s">
        <v>7994</v>
      </c>
      <c r="B3664" s="2" t="s">
        <v>2921</v>
      </c>
      <c r="C3664" s="2" t="str">
        <f t="shared" si="57"/>
        <v>TX0138126_001</v>
      </c>
      <c r="D3664" s="2" t="s">
        <v>5112</v>
      </c>
    </row>
    <row r="3665" spans="1:4" x14ac:dyDescent="0.25">
      <c r="A3665" s="2" t="s">
        <v>7995</v>
      </c>
      <c r="B3665" s="2" t="s">
        <v>2921</v>
      </c>
      <c r="C3665" s="2" t="str">
        <f t="shared" si="57"/>
        <v>TX0138134_001</v>
      </c>
      <c r="D3665" s="2" t="s">
        <v>5113</v>
      </c>
    </row>
    <row r="3666" spans="1:4" x14ac:dyDescent="0.25">
      <c r="A3666" s="2" t="s">
        <v>7996</v>
      </c>
      <c r="B3666" s="2" t="s">
        <v>2921</v>
      </c>
      <c r="C3666" s="2" t="str">
        <f t="shared" si="57"/>
        <v>TX0138142_001</v>
      </c>
      <c r="D3666" s="2" t="s">
        <v>5114</v>
      </c>
    </row>
    <row r="3667" spans="1:4" x14ac:dyDescent="0.25">
      <c r="A3667" s="2" t="s">
        <v>7997</v>
      </c>
      <c r="B3667" s="2" t="s">
        <v>2921</v>
      </c>
      <c r="C3667" s="2" t="str">
        <f t="shared" si="57"/>
        <v>TX0138151_001</v>
      </c>
      <c r="D3667" s="2" t="s">
        <v>5115</v>
      </c>
    </row>
    <row r="3668" spans="1:4" x14ac:dyDescent="0.25">
      <c r="A3668" s="2" t="s">
        <v>7998</v>
      </c>
      <c r="B3668" s="2" t="s">
        <v>2921</v>
      </c>
      <c r="C3668" s="2" t="str">
        <f t="shared" si="57"/>
        <v>TX0138177_001</v>
      </c>
      <c r="D3668" s="2" t="s">
        <v>5116</v>
      </c>
    </row>
    <row r="3669" spans="1:4" x14ac:dyDescent="0.25">
      <c r="A3669" s="2" t="s">
        <v>7999</v>
      </c>
      <c r="B3669" s="2" t="s">
        <v>2921</v>
      </c>
      <c r="C3669" s="2" t="str">
        <f t="shared" si="57"/>
        <v>TX0138185_001</v>
      </c>
      <c r="D3669" s="2" t="s">
        <v>3286</v>
      </c>
    </row>
    <row r="3670" spans="1:4" x14ac:dyDescent="0.25">
      <c r="A3670" s="2" t="s">
        <v>8000</v>
      </c>
      <c r="B3670" s="2" t="s">
        <v>2921</v>
      </c>
      <c r="C3670" s="2" t="str">
        <f t="shared" si="57"/>
        <v>TX0138193_001</v>
      </c>
      <c r="D3670" s="2" t="s">
        <v>5117</v>
      </c>
    </row>
    <row r="3671" spans="1:4" x14ac:dyDescent="0.25">
      <c r="A3671" s="2" t="s">
        <v>8001</v>
      </c>
      <c r="B3671" s="2" t="s">
        <v>2921</v>
      </c>
      <c r="C3671" s="2" t="str">
        <f t="shared" si="57"/>
        <v>TX0138207_001</v>
      </c>
      <c r="D3671" s="2" t="s">
        <v>4505</v>
      </c>
    </row>
    <row r="3672" spans="1:4" x14ac:dyDescent="0.25">
      <c r="A3672" s="2" t="s">
        <v>8002</v>
      </c>
      <c r="B3672" s="2" t="s">
        <v>2921</v>
      </c>
      <c r="C3672" s="2" t="str">
        <f t="shared" si="57"/>
        <v>TX0138215_001</v>
      </c>
      <c r="D3672" s="2" t="s">
        <v>5118</v>
      </c>
    </row>
    <row r="3673" spans="1:4" x14ac:dyDescent="0.25">
      <c r="A3673" s="2" t="s">
        <v>8002</v>
      </c>
      <c r="B3673" s="2" t="s">
        <v>2921</v>
      </c>
      <c r="C3673" s="2" t="str">
        <f t="shared" si="57"/>
        <v>TX0138215_001</v>
      </c>
      <c r="D3673" s="2" t="s">
        <v>5118</v>
      </c>
    </row>
    <row r="3674" spans="1:4" x14ac:dyDescent="0.25">
      <c r="A3674" s="2" t="s">
        <v>8003</v>
      </c>
      <c r="B3674" s="2" t="s">
        <v>2921</v>
      </c>
      <c r="C3674" s="2" t="str">
        <f t="shared" si="57"/>
        <v>TX0138231_001</v>
      </c>
      <c r="D3674" s="2" t="s">
        <v>5118</v>
      </c>
    </row>
    <row r="3675" spans="1:4" x14ac:dyDescent="0.25">
      <c r="A3675" s="2" t="s">
        <v>8004</v>
      </c>
      <c r="B3675" s="2" t="s">
        <v>2921</v>
      </c>
      <c r="C3675" s="2" t="str">
        <f t="shared" si="57"/>
        <v>TX0138240_001</v>
      </c>
      <c r="D3675" s="2" t="s">
        <v>5119</v>
      </c>
    </row>
    <row r="3676" spans="1:4" x14ac:dyDescent="0.25">
      <c r="A3676" s="2" t="s">
        <v>8005</v>
      </c>
      <c r="B3676" s="2" t="s">
        <v>2921</v>
      </c>
      <c r="C3676" s="2" t="str">
        <f t="shared" si="57"/>
        <v>TX0138258_001</v>
      </c>
      <c r="D3676" s="2" t="s">
        <v>5120</v>
      </c>
    </row>
    <row r="3677" spans="1:4" x14ac:dyDescent="0.25">
      <c r="A3677" s="2" t="s">
        <v>8006</v>
      </c>
      <c r="B3677" s="2" t="s">
        <v>2921</v>
      </c>
      <c r="C3677" s="2" t="str">
        <f t="shared" si="57"/>
        <v>TX0138266_001</v>
      </c>
      <c r="D3677" s="2" t="s">
        <v>5121</v>
      </c>
    </row>
    <row r="3678" spans="1:4" x14ac:dyDescent="0.25">
      <c r="A3678" s="2" t="s">
        <v>8007</v>
      </c>
      <c r="B3678" s="2" t="s">
        <v>2921</v>
      </c>
      <c r="C3678" s="2" t="str">
        <f t="shared" si="57"/>
        <v>TX0138274_001</v>
      </c>
      <c r="D3678" s="2" t="s">
        <v>3157</v>
      </c>
    </row>
    <row r="3679" spans="1:4" x14ac:dyDescent="0.25">
      <c r="A3679" s="2" t="s">
        <v>8008</v>
      </c>
      <c r="B3679" s="2" t="s">
        <v>2921</v>
      </c>
      <c r="C3679" s="2" t="str">
        <f t="shared" si="57"/>
        <v>TX0138282_001</v>
      </c>
      <c r="D3679" s="2" t="s">
        <v>4085</v>
      </c>
    </row>
    <row r="3680" spans="1:4" x14ac:dyDescent="0.25">
      <c r="A3680" s="2" t="s">
        <v>8009</v>
      </c>
      <c r="B3680" s="2" t="s">
        <v>2921</v>
      </c>
      <c r="C3680" s="2" t="str">
        <f t="shared" si="57"/>
        <v>TX0138291_001</v>
      </c>
      <c r="D3680" s="2" t="s">
        <v>3282</v>
      </c>
    </row>
    <row r="3681" spans="1:4" x14ac:dyDescent="0.25">
      <c r="A3681" s="2" t="s">
        <v>8010</v>
      </c>
      <c r="B3681" s="2" t="s">
        <v>2921</v>
      </c>
      <c r="C3681" s="2" t="str">
        <f t="shared" si="57"/>
        <v>TX0138304_001</v>
      </c>
      <c r="D3681" s="2" t="s">
        <v>5122</v>
      </c>
    </row>
    <row r="3682" spans="1:4" x14ac:dyDescent="0.25">
      <c r="A3682" s="2" t="s">
        <v>8011</v>
      </c>
      <c r="B3682" s="2" t="s">
        <v>2921</v>
      </c>
      <c r="C3682" s="2" t="str">
        <f t="shared" si="57"/>
        <v>TX0138312_001</v>
      </c>
      <c r="D3682" s="2" t="s">
        <v>5123</v>
      </c>
    </row>
    <row r="3683" spans="1:4" x14ac:dyDescent="0.25">
      <c r="A3683" s="2" t="s">
        <v>8012</v>
      </c>
      <c r="B3683" s="2" t="s">
        <v>2921</v>
      </c>
      <c r="C3683" s="2" t="str">
        <f t="shared" si="57"/>
        <v>TX0138321_001</v>
      </c>
      <c r="D3683" s="2" t="s">
        <v>5124</v>
      </c>
    </row>
    <row r="3684" spans="1:4" x14ac:dyDescent="0.25">
      <c r="A3684" s="2" t="s">
        <v>8013</v>
      </c>
      <c r="B3684" s="2" t="s">
        <v>2921</v>
      </c>
      <c r="C3684" s="2" t="str">
        <f t="shared" si="57"/>
        <v>TX0138339_001</v>
      </c>
      <c r="D3684" s="2" t="s">
        <v>5125</v>
      </c>
    </row>
    <row r="3685" spans="1:4" x14ac:dyDescent="0.25">
      <c r="A3685" s="2" t="s">
        <v>8014</v>
      </c>
      <c r="B3685" s="2" t="s">
        <v>2921</v>
      </c>
      <c r="C3685" s="2" t="str">
        <f t="shared" si="57"/>
        <v>TX0138347_001</v>
      </c>
      <c r="D3685" s="2" t="s">
        <v>5126</v>
      </c>
    </row>
    <row r="3686" spans="1:4" x14ac:dyDescent="0.25">
      <c r="A3686" s="2" t="s">
        <v>8015</v>
      </c>
      <c r="B3686" s="2" t="s">
        <v>2921</v>
      </c>
      <c r="C3686" s="2" t="str">
        <f t="shared" si="57"/>
        <v>TX0138355_001</v>
      </c>
      <c r="D3686" s="2" t="s">
        <v>5126</v>
      </c>
    </row>
    <row r="3687" spans="1:4" x14ac:dyDescent="0.25">
      <c r="A3687" s="2" t="s">
        <v>8016</v>
      </c>
      <c r="B3687" s="2" t="s">
        <v>2921</v>
      </c>
      <c r="C3687" s="2" t="str">
        <f t="shared" si="57"/>
        <v>TX0138363_001</v>
      </c>
      <c r="D3687" s="2" t="s">
        <v>5127</v>
      </c>
    </row>
    <row r="3688" spans="1:4" x14ac:dyDescent="0.25">
      <c r="A3688" s="2" t="s">
        <v>8017</v>
      </c>
      <c r="B3688" s="2" t="s">
        <v>2921</v>
      </c>
      <c r="C3688" s="2" t="str">
        <f t="shared" si="57"/>
        <v>TX0138371_001</v>
      </c>
      <c r="D3688" s="2" t="s">
        <v>5128</v>
      </c>
    </row>
    <row r="3689" spans="1:4" x14ac:dyDescent="0.25">
      <c r="A3689" s="2" t="s">
        <v>8018</v>
      </c>
      <c r="B3689" s="2" t="s">
        <v>2921</v>
      </c>
      <c r="C3689" s="2" t="str">
        <f t="shared" si="57"/>
        <v>TX0138380_001</v>
      </c>
      <c r="D3689" s="2" t="s">
        <v>3564</v>
      </c>
    </row>
    <row r="3690" spans="1:4" x14ac:dyDescent="0.25">
      <c r="A3690" s="2" t="s">
        <v>8019</v>
      </c>
      <c r="B3690" s="2" t="s">
        <v>2921</v>
      </c>
      <c r="C3690" s="2" t="str">
        <f t="shared" si="57"/>
        <v>TX0138398_001</v>
      </c>
      <c r="D3690" s="2" t="s">
        <v>5129</v>
      </c>
    </row>
    <row r="3691" spans="1:4" x14ac:dyDescent="0.25">
      <c r="A3691" s="2" t="s">
        <v>8020</v>
      </c>
      <c r="B3691" s="2" t="s">
        <v>2921</v>
      </c>
      <c r="C3691" s="2" t="str">
        <f t="shared" si="57"/>
        <v>TX0138410_001</v>
      </c>
      <c r="D3691" s="2" t="s">
        <v>5130</v>
      </c>
    </row>
    <row r="3692" spans="1:4" x14ac:dyDescent="0.25">
      <c r="A3692" s="2" t="s">
        <v>8021</v>
      </c>
      <c r="B3692" s="2" t="s">
        <v>2921</v>
      </c>
      <c r="C3692" s="2" t="str">
        <f t="shared" si="57"/>
        <v>TX0138428_001</v>
      </c>
      <c r="D3692" s="2" t="s">
        <v>5130</v>
      </c>
    </row>
    <row r="3693" spans="1:4" x14ac:dyDescent="0.25">
      <c r="A3693" s="2" t="s">
        <v>8022</v>
      </c>
      <c r="B3693" s="2" t="s">
        <v>2921</v>
      </c>
      <c r="C3693" s="2" t="str">
        <f t="shared" si="57"/>
        <v>TX0138444_001</v>
      </c>
      <c r="D3693" s="2" t="s">
        <v>3522</v>
      </c>
    </row>
    <row r="3694" spans="1:4" x14ac:dyDescent="0.25">
      <c r="A3694" s="2" t="s">
        <v>8023</v>
      </c>
      <c r="B3694" s="2" t="s">
        <v>2921</v>
      </c>
      <c r="C3694" s="2" t="str">
        <f t="shared" si="57"/>
        <v>TX0138452_001</v>
      </c>
      <c r="D3694" s="2" t="s">
        <v>5131</v>
      </c>
    </row>
    <row r="3695" spans="1:4" x14ac:dyDescent="0.25">
      <c r="A3695" s="2" t="s">
        <v>8024</v>
      </c>
      <c r="B3695" s="2" t="s">
        <v>2921</v>
      </c>
      <c r="C3695" s="2" t="str">
        <f t="shared" si="57"/>
        <v>TX0138461_001</v>
      </c>
      <c r="D3695" s="2" t="s">
        <v>5132</v>
      </c>
    </row>
    <row r="3696" spans="1:4" x14ac:dyDescent="0.25">
      <c r="A3696" s="2" t="s">
        <v>8025</v>
      </c>
      <c r="B3696" s="2" t="s">
        <v>2921</v>
      </c>
      <c r="C3696" s="2" t="str">
        <f t="shared" si="57"/>
        <v>TX0138479_001</v>
      </c>
      <c r="D3696" s="2" t="s">
        <v>5133</v>
      </c>
    </row>
    <row r="3697" spans="1:4" x14ac:dyDescent="0.25">
      <c r="A3697" s="2" t="s">
        <v>8026</v>
      </c>
      <c r="B3697" s="2" t="s">
        <v>2921</v>
      </c>
      <c r="C3697" s="2" t="str">
        <f t="shared" si="57"/>
        <v>TX0138487_001</v>
      </c>
      <c r="D3697" s="2" t="s">
        <v>4103</v>
      </c>
    </row>
    <row r="3698" spans="1:4" x14ac:dyDescent="0.25">
      <c r="A3698" s="2" t="s">
        <v>8027</v>
      </c>
      <c r="B3698" s="2" t="s">
        <v>2921</v>
      </c>
      <c r="C3698" s="2" t="str">
        <f t="shared" si="57"/>
        <v>TX0138495_001</v>
      </c>
      <c r="D3698" s="2" t="s">
        <v>3343</v>
      </c>
    </row>
    <row r="3699" spans="1:4" x14ac:dyDescent="0.25">
      <c r="A3699" s="2" t="s">
        <v>8028</v>
      </c>
      <c r="B3699" s="2" t="s">
        <v>2921</v>
      </c>
      <c r="C3699" s="2" t="str">
        <f t="shared" si="57"/>
        <v>TX0138509_001</v>
      </c>
      <c r="D3699" s="2" t="s">
        <v>5134</v>
      </c>
    </row>
    <row r="3700" spans="1:4" x14ac:dyDescent="0.25">
      <c r="A3700" s="2" t="s">
        <v>8029</v>
      </c>
      <c r="B3700" s="2" t="s">
        <v>2921</v>
      </c>
      <c r="C3700" s="2" t="str">
        <f t="shared" si="57"/>
        <v>TX0138517_001</v>
      </c>
      <c r="D3700" s="2" t="s">
        <v>5135</v>
      </c>
    </row>
    <row r="3701" spans="1:4" x14ac:dyDescent="0.25">
      <c r="A3701" s="2" t="s">
        <v>8030</v>
      </c>
      <c r="B3701" s="2" t="s">
        <v>2921</v>
      </c>
      <c r="C3701" s="2" t="str">
        <f t="shared" si="57"/>
        <v>TX0138525_001</v>
      </c>
      <c r="D3701" s="2" t="s">
        <v>5136</v>
      </c>
    </row>
    <row r="3702" spans="1:4" x14ac:dyDescent="0.25">
      <c r="A3702" s="2" t="s">
        <v>8031</v>
      </c>
      <c r="B3702" s="2" t="s">
        <v>2921</v>
      </c>
      <c r="C3702" s="2" t="str">
        <f t="shared" si="57"/>
        <v>TX0138533_001</v>
      </c>
      <c r="D3702" s="2" t="s">
        <v>5137</v>
      </c>
    </row>
    <row r="3703" spans="1:4" x14ac:dyDescent="0.25">
      <c r="A3703" s="2" t="s">
        <v>8032</v>
      </c>
      <c r="B3703" s="2" t="s">
        <v>2921</v>
      </c>
      <c r="C3703" s="2" t="str">
        <f t="shared" si="57"/>
        <v>TX0138541_001</v>
      </c>
      <c r="D3703" s="2" t="s">
        <v>5138</v>
      </c>
    </row>
    <row r="3704" spans="1:4" x14ac:dyDescent="0.25">
      <c r="A3704" s="2" t="s">
        <v>8033</v>
      </c>
      <c r="B3704" s="2" t="s">
        <v>2921</v>
      </c>
      <c r="C3704" s="2" t="str">
        <f t="shared" si="57"/>
        <v>TX0138568_001</v>
      </c>
      <c r="D3704" s="2" t="s">
        <v>5139</v>
      </c>
    </row>
    <row r="3705" spans="1:4" x14ac:dyDescent="0.25">
      <c r="A3705" s="2" t="s">
        <v>8034</v>
      </c>
      <c r="B3705" s="2" t="s">
        <v>2921</v>
      </c>
      <c r="C3705" s="2" t="str">
        <f t="shared" si="57"/>
        <v>TX0138576_001</v>
      </c>
      <c r="D3705" s="2" t="s">
        <v>5140</v>
      </c>
    </row>
    <row r="3706" spans="1:4" x14ac:dyDescent="0.25">
      <c r="A3706" s="2" t="s">
        <v>8035</v>
      </c>
      <c r="B3706" s="2" t="s">
        <v>2921</v>
      </c>
      <c r="C3706" s="2" t="str">
        <f t="shared" si="57"/>
        <v>TX0138584_001</v>
      </c>
      <c r="D3706" s="2" t="s">
        <v>3155</v>
      </c>
    </row>
    <row r="3707" spans="1:4" x14ac:dyDescent="0.25">
      <c r="A3707" s="2" t="s">
        <v>8036</v>
      </c>
      <c r="B3707" s="2" t="s">
        <v>2921</v>
      </c>
      <c r="C3707" s="2" t="str">
        <f t="shared" si="57"/>
        <v>TX0138606_001</v>
      </c>
      <c r="D3707" s="2" t="s">
        <v>4348</v>
      </c>
    </row>
    <row r="3708" spans="1:4" x14ac:dyDescent="0.25">
      <c r="A3708" s="2" t="s">
        <v>8037</v>
      </c>
      <c r="B3708" s="2" t="s">
        <v>2921</v>
      </c>
      <c r="C3708" s="2" t="str">
        <f t="shared" si="57"/>
        <v>TX0138614_001</v>
      </c>
      <c r="D3708" s="2" t="s">
        <v>5141</v>
      </c>
    </row>
    <row r="3709" spans="1:4" x14ac:dyDescent="0.25">
      <c r="A3709" s="2" t="s">
        <v>8038</v>
      </c>
      <c r="B3709" s="2" t="s">
        <v>2921</v>
      </c>
      <c r="C3709" s="2" t="str">
        <f t="shared" si="57"/>
        <v>TX0138622_001</v>
      </c>
      <c r="D3709" s="2" t="s">
        <v>5142</v>
      </c>
    </row>
    <row r="3710" spans="1:4" x14ac:dyDescent="0.25">
      <c r="A3710" s="2" t="s">
        <v>8039</v>
      </c>
      <c r="B3710" s="2" t="s">
        <v>2921</v>
      </c>
      <c r="C3710" s="2" t="str">
        <f t="shared" si="57"/>
        <v>TX0138631_001</v>
      </c>
      <c r="D3710" s="2" t="s">
        <v>5143</v>
      </c>
    </row>
    <row r="3711" spans="1:4" x14ac:dyDescent="0.25">
      <c r="A3711" s="2" t="s">
        <v>8040</v>
      </c>
      <c r="B3711" s="2" t="s">
        <v>2921</v>
      </c>
      <c r="C3711" s="2" t="str">
        <f t="shared" si="57"/>
        <v>TX0138649_001</v>
      </c>
      <c r="D3711" s="2" t="s">
        <v>5144</v>
      </c>
    </row>
    <row r="3712" spans="1:4" x14ac:dyDescent="0.25">
      <c r="A3712" s="2" t="s">
        <v>8041</v>
      </c>
      <c r="B3712" s="2" t="s">
        <v>2921</v>
      </c>
      <c r="C3712" s="2" t="str">
        <f t="shared" si="57"/>
        <v>TX0138657_001</v>
      </c>
      <c r="D3712" s="2" t="s">
        <v>4847</v>
      </c>
    </row>
    <row r="3713" spans="1:4" x14ac:dyDescent="0.25">
      <c r="A3713" s="2" t="s">
        <v>8042</v>
      </c>
      <c r="B3713" s="2" t="s">
        <v>2921</v>
      </c>
      <c r="C3713" s="2" t="str">
        <f t="shared" si="57"/>
        <v>TX0138665_001</v>
      </c>
      <c r="D3713" s="2" t="s">
        <v>5145</v>
      </c>
    </row>
    <row r="3714" spans="1:4" x14ac:dyDescent="0.25">
      <c r="A3714" s="2" t="s">
        <v>8043</v>
      </c>
      <c r="B3714" s="2" t="s">
        <v>2921</v>
      </c>
      <c r="C3714" s="2" t="str">
        <f t="shared" si="57"/>
        <v>TX0138681_001</v>
      </c>
      <c r="D3714" s="2" t="s">
        <v>5146</v>
      </c>
    </row>
    <row r="3715" spans="1:4" x14ac:dyDescent="0.25">
      <c r="A3715" s="2" t="s">
        <v>8044</v>
      </c>
      <c r="B3715" s="2" t="s">
        <v>2921</v>
      </c>
      <c r="C3715" s="2" t="str">
        <f t="shared" ref="C3715:C3778" si="58">A3715 &amp; "_" &amp; B3715</f>
        <v>TX0138703_001</v>
      </c>
      <c r="D3715" s="2" t="s">
        <v>5147</v>
      </c>
    </row>
    <row r="3716" spans="1:4" x14ac:dyDescent="0.25">
      <c r="A3716" s="2" t="s">
        <v>8045</v>
      </c>
      <c r="B3716" s="2" t="s">
        <v>2921</v>
      </c>
      <c r="C3716" s="2" t="str">
        <f t="shared" si="58"/>
        <v>TX0138711_001</v>
      </c>
      <c r="D3716" s="2" t="s">
        <v>3713</v>
      </c>
    </row>
    <row r="3717" spans="1:4" x14ac:dyDescent="0.25">
      <c r="A3717" s="2" t="s">
        <v>8046</v>
      </c>
      <c r="B3717" s="2" t="s">
        <v>2921</v>
      </c>
      <c r="C3717" s="2" t="str">
        <f t="shared" si="58"/>
        <v>TX0138738_001</v>
      </c>
      <c r="D3717" s="2" t="s">
        <v>4834</v>
      </c>
    </row>
    <row r="3718" spans="1:4" x14ac:dyDescent="0.25">
      <c r="A3718" s="2" t="s">
        <v>8047</v>
      </c>
      <c r="B3718" s="2" t="s">
        <v>2921</v>
      </c>
      <c r="C3718" s="2" t="str">
        <f t="shared" si="58"/>
        <v>TX0138746_001</v>
      </c>
      <c r="D3718" s="2" t="s">
        <v>5148</v>
      </c>
    </row>
    <row r="3719" spans="1:4" x14ac:dyDescent="0.25">
      <c r="A3719" s="2" t="s">
        <v>8048</v>
      </c>
      <c r="B3719" s="2" t="s">
        <v>2921</v>
      </c>
      <c r="C3719" s="2" t="str">
        <f t="shared" si="58"/>
        <v>TX0138754_001</v>
      </c>
      <c r="D3719" s="2" t="s">
        <v>5149</v>
      </c>
    </row>
    <row r="3720" spans="1:4" x14ac:dyDescent="0.25">
      <c r="A3720" s="2" t="s">
        <v>8049</v>
      </c>
      <c r="B3720" s="2" t="s">
        <v>2921</v>
      </c>
      <c r="C3720" s="2" t="str">
        <f t="shared" si="58"/>
        <v>TX0138771_001</v>
      </c>
      <c r="D3720" s="2" t="s">
        <v>5033</v>
      </c>
    </row>
    <row r="3721" spans="1:4" x14ac:dyDescent="0.25">
      <c r="A3721" s="2" t="s">
        <v>8050</v>
      </c>
      <c r="B3721" s="2" t="s">
        <v>2921</v>
      </c>
      <c r="C3721" s="2" t="str">
        <f t="shared" si="58"/>
        <v>TX0138789_001</v>
      </c>
      <c r="D3721" s="2" t="s">
        <v>5150</v>
      </c>
    </row>
    <row r="3722" spans="1:4" x14ac:dyDescent="0.25">
      <c r="A3722" s="2" t="s">
        <v>8051</v>
      </c>
      <c r="B3722" s="2" t="s">
        <v>2921</v>
      </c>
      <c r="C3722" s="2" t="str">
        <f t="shared" si="58"/>
        <v>TX0138797_001</v>
      </c>
      <c r="D3722" s="2" t="s">
        <v>5151</v>
      </c>
    </row>
    <row r="3723" spans="1:4" x14ac:dyDescent="0.25">
      <c r="A3723" s="2" t="s">
        <v>8052</v>
      </c>
      <c r="B3723" s="2" t="s">
        <v>2921</v>
      </c>
      <c r="C3723" s="2" t="str">
        <f t="shared" si="58"/>
        <v>TX0138801_001</v>
      </c>
      <c r="D3723" s="2" t="s">
        <v>5152</v>
      </c>
    </row>
    <row r="3724" spans="1:4" x14ac:dyDescent="0.25">
      <c r="A3724" s="2" t="s">
        <v>8053</v>
      </c>
      <c r="B3724" s="2" t="s">
        <v>2921</v>
      </c>
      <c r="C3724" s="2" t="str">
        <f t="shared" si="58"/>
        <v>TX0138827_001</v>
      </c>
      <c r="D3724" s="2" t="s">
        <v>5153</v>
      </c>
    </row>
    <row r="3725" spans="1:4" x14ac:dyDescent="0.25">
      <c r="A3725" s="2" t="s">
        <v>8054</v>
      </c>
      <c r="B3725" s="2" t="s">
        <v>2921</v>
      </c>
      <c r="C3725" s="2" t="str">
        <f t="shared" si="58"/>
        <v>TX0138835_001</v>
      </c>
      <c r="D3725" s="2" t="s">
        <v>5154</v>
      </c>
    </row>
    <row r="3726" spans="1:4" x14ac:dyDescent="0.25">
      <c r="A3726" s="2" t="s">
        <v>8055</v>
      </c>
      <c r="B3726" s="2" t="s">
        <v>2921</v>
      </c>
      <c r="C3726" s="2" t="str">
        <f t="shared" si="58"/>
        <v>TX0138851_001</v>
      </c>
      <c r="D3726" s="2" t="s">
        <v>5155</v>
      </c>
    </row>
    <row r="3727" spans="1:4" x14ac:dyDescent="0.25">
      <c r="A3727" s="2" t="s">
        <v>8056</v>
      </c>
      <c r="B3727" s="2" t="s">
        <v>2921</v>
      </c>
      <c r="C3727" s="2" t="str">
        <f t="shared" si="58"/>
        <v>TX0138860_001</v>
      </c>
      <c r="D3727" s="2" t="s">
        <v>5156</v>
      </c>
    </row>
    <row r="3728" spans="1:4" x14ac:dyDescent="0.25">
      <c r="A3728" s="2" t="s">
        <v>8057</v>
      </c>
      <c r="B3728" s="2" t="s">
        <v>2921</v>
      </c>
      <c r="C3728" s="2" t="str">
        <f t="shared" si="58"/>
        <v>TX0138878_001</v>
      </c>
      <c r="D3728" s="2" t="s">
        <v>5157</v>
      </c>
    </row>
    <row r="3729" spans="1:4" x14ac:dyDescent="0.25">
      <c r="A3729" s="2" t="s">
        <v>8058</v>
      </c>
      <c r="B3729" s="2" t="s">
        <v>2921</v>
      </c>
      <c r="C3729" s="2" t="str">
        <f t="shared" si="58"/>
        <v>TX0138886_001</v>
      </c>
      <c r="D3729" s="2" t="s">
        <v>5158</v>
      </c>
    </row>
    <row r="3730" spans="1:4" x14ac:dyDescent="0.25">
      <c r="A3730" s="2" t="s">
        <v>8059</v>
      </c>
      <c r="B3730" s="2" t="s">
        <v>2921</v>
      </c>
      <c r="C3730" s="2" t="str">
        <f t="shared" si="58"/>
        <v>TX0138894_001</v>
      </c>
      <c r="D3730" s="2" t="s">
        <v>5159</v>
      </c>
    </row>
    <row r="3731" spans="1:4" x14ac:dyDescent="0.25">
      <c r="A3731" s="2" t="s">
        <v>8060</v>
      </c>
      <c r="B3731" s="2" t="s">
        <v>2921</v>
      </c>
      <c r="C3731" s="2" t="str">
        <f t="shared" si="58"/>
        <v>TX0138908_001</v>
      </c>
      <c r="D3731" s="2" t="s">
        <v>5160</v>
      </c>
    </row>
    <row r="3732" spans="1:4" x14ac:dyDescent="0.25">
      <c r="A3732" s="2" t="s">
        <v>8061</v>
      </c>
      <c r="B3732" s="2" t="s">
        <v>2921</v>
      </c>
      <c r="C3732" s="2" t="str">
        <f t="shared" si="58"/>
        <v>TX0138916_001</v>
      </c>
      <c r="D3732" s="2" t="s">
        <v>5161</v>
      </c>
    </row>
    <row r="3733" spans="1:4" x14ac:dyDescent="0.25">
      <c r="A3733" s="2" t="s">
        <v>8062</v>
      </c>
      <c r="B3733" s="2" t="s">
        <v>2921</v>
      </c>
      <c r="C3733" s="2" t="str">
        <f t="shared" si="58"/>
        <v>TX0138924_001</v>
      </c>
      <c r="D3733" s="2" t="s">
        <v>5162</v>
      </c>
    </row>
    <row r="3734" spans="1:4" x14ac:dyDescent="0.25">
      <c r="A3734" s="2" t="s">
        <v>8063</v>
      </c>
      <c r="B3734" s="2" t="s">
        <v>2921</v>
      </c>
      <c r="C3734" s="2" t="str">
        <f t="shared" si="58"/>
        <v>TX0138932_001</v>
      </c>
      <c r="D3734" s="2" t="s">
        <v>3961</v>
      </c>
    </row>
    <row r="3735" spans="1:4" x14ac:dyDescent="0.25">
      <c r="A3735" s="2" t="s">
        <v>8064</v>
      </c>
      <c r="B3735" s="2" t="s">
        <v>2921</v>
      </c>
      <c r="C3735" s="2" t="str">
        <f t="shared" si="58"/>
        <v>TX0138941_001</v>
      </c>
      <c r="D3735" s="2" t="s">
        <v>5163</v>
      </c>
    </row>
    <row r="3736" spans="1:4" x14ac:dyDescent="0.25">
      <c r="A3736" s="2" t="s">
        <v>8065</v>
      </c>
      <c r="B3736" s="2" t="s">
        <v>2921</v>
      </c>
      <c r="C3736" s="2" t="str">
        <f t="shared" si="58"/>
        <v>TX0138967_001</v>
      </c>
      <c r="D3736" s="2" t="s">
        <v>5164</v>
      </c>
    </row>
    <row r="3737" spans="1:4" x14ac:dyDescent="0.25">
      <c r="A3737" s="2" t="s">
        <v>8066</v>
      </c>
      <c r="B3737" s="2" t="s">
        <v>2921</v>
      </c>
      <c r="C3737" s="2" t="str">
        <f t="shared" si="58"/>
        <v>TX0138983_001</v>
      </c>
      <c r="D3737" s="2" t="s">
        <v>4847</v>
      </c>
    </row>
    <row r="3738" spans="1:4" x14ac:dyDescent="0.25">
      <c r="A3738" s="2" t="s">
        <v>8067</v>
      </c>
      <c r="B3738" s="2" t="s">
        <v>2921</v>
      </c>
      <c r="C3738" s="2" t="str">
        <f t="shared" si="58"/>
        <v>TX0138991_001</v>
      </c>
      <c r="D3738" s="2" t="s">
        <v>5165</v>
      </c>
    </row>
    <row r="3739" spans="1:4" x14ac:dyDescent="0.25">
      <c r="A3739" s="2" t="s">
        <v>8068</v>
      </c>
      <c r="B3739" s="2" t="s">
        <v>2921</v>
      </c>
      <c r="C3739" s="2" t="str">
        <f t="shared" si="58"/>
        <v>TX0139009_001</v>
      </c>
      <c r="D3739" s="2" t="s">
        <v>5166</v>
      </c>
    </row>
    <row r="3740" spans="1:4" x14ac:dyDescent="0.25">
      <c r="A3740" s="2" t="s">
        <v>8069</v>
      </c>
      <c r="B3740" s="2" t="s">
        <v>2921</v>
      </c>
      <c r="C3740" s="2" t="str">
        <f t="shared" si="58"/>
        <v>TX0139017_001</v>
      </c>
      <c r="D3740" s="2" t="s">
        <v>5167</v>
      </c>
    </row>
    <row r="3741" spans="1:4" x14ac:dyDescent="0.25">
      <c r="A3741" s="2" t="s">
        <v>8070</v>
      </c>
      <c r="B3741" s="2" t="s">
        <v>2921</v>
      </c>
      <c r="C3741" s="2" t="str">
        <f t="shared" si="58"/>
        <v>TX0139025_001</v>
      </c>
      <c r="D3741" s="2" t="s">
        <v>5168</v>
      </c>
    </row>
    <row r="3742" spans="1:4" x14ac:dyDescent="0.25">
      <c r="A3742" s="2" t="s">
        <v>8071</v>
      </c>
      <c r="B3742" s="2" t="s">
        <v>2921</v>
      </c>
      <c r="C3742" s="2" t="str">
        <f t="shared" si="58"/>
        <v>TX0139033_001</v>
      </c>
      <c r="D3742" s="2" t="s">
        <v>5169</v>
      </c>
    </row>
    <row r="3743" spans="1:4" x14ac:dyDescent="0.25">
      <c r="A3743" s="2" t="s">
        <v>8072</v>
      </c>
      <c r="B3743" s="2" t="s">
        <v>2921</v>
      </c>
      <c r="C3743" s="2" t="str">
        <f t="shared" si="58"/>
        <v>TX0139050_001</v>
      </c>
      <c r="D3743" s="2" t="s">
        <v>5170</v>
      </c>
    </row>
    <row r="3744" spans="1:4" x14ac:dyDescent="0.25">
      <c r="A3744" s="2" t="s">
        <v>8073</v>
      </c>
      <c r="B3744" s="2" t="s">
        <v>2921</v>
      </c>
      <c r="C3744" s="2" t="str">
        <f t="shared" si="58"/>
        <v>TX0139068_001</v>
      </c>
      <c r="D3744" s="2" t="s">
        <v>5171</v>
      </c>
    </row>
    <row r="3745" spans="1:4" x14ac:dyDescent="0.25">
      <c r="A3745" s="2" t="s">
        <v>8074</v>
      </c>
      <c r="B3745" s="2" t="s">
        <v>2959</v>
      </c>
      <c r="C3745" s="2" t="str">
        <f t="shared" si="58"/>
        <v>TX0139076_007</v>
      </c>
      <c r="D3745" s="2" t="s">
        <v>4233</v>
      </c>
    </row>
    <row r="3746" spans="1:4" x14ac:dyDescent="0.25">
      <c r="A3746" s="2" t="s">
        <v>8074</v>
      </c>
      <c r="B3746" s="2" t="s">
        <v>2946</v>
      </c>
      <c r="C3746" s="2" t="str">
        <f t="shared" si="58"/>
        <v>TX0139076_008</v>
      </c>
      <c r="D3746" s="2" t="s">
        <v>4233</v>
      </c>
    </row>
    <row r="3747" spans="1:4" x14ac:dyDescent="0.25">
      <c r="A3747" s="2" t="s">
        <v>8075</v>
      </c>
      <c r="B3747" s="2" t="s">
        <v>2921</v>
      </c>
      <c r="C3747" s="2" t="str">
        <f t="shared" si="58"/>
        <v>TX0139084_001</v>
      </c>
      <c r="D3747" s="2" t="s">
        <v>5172</v>
      </c>
    </row>
    <row r="3748" spans="1:4" x14ac:dyDescent="0.25">
      <c r="A3748" s="2" t="s">
        <v>8076</v>
      </c>
      <c r="B3748" s="2" t="s">
        <v>2921</v>
      </c>
      <c r="C3748" s="2" t="str">
        <f t="shared" si="58"/>
        <v>TX0139092_001</v>
      </c>
      <c r="D3748" s="2" t="s">
        <v>4067</v>
      </c>
    </row>
    <row r="3749" spans="1:4" x14ac:dyDescent="0.25">
      <c r="A3749" s="2" t="s">
        <v>8077</v>
      </c>
      <c r="B3749" s="2" t="s">
        <v>2921</v>
      </c>
      <c r="C3749" s="2" t="str">
        <f t="shared" si="58"/>
        <v>TX0139114_001</v>
      </c>
      <c r="D3749" s="2" t="s">
        <v>5173</v>
      </c>
    </row>
    <row r="3750" spans="1:4" x14ac:dyDescent="0.25">
      <c r="A3750" s="2" t="s">
        <v>8078</v>
      </c>
      <c r="B3750" s="2" t="s">
        <v>2921</v>
      </c>
      <c r="C3750" s="2" t="str">
        <f t="shared" si="58"/>
        <v>TX0139122_001</v>
      </c>
      <c r="D3750" s="2" t="s">
        <v>5174</v>
      </c>
    </row>
    <row r="3751" spans="1:4" x14ac:dyDescent="0.25">
      <c r="A3751" s="2" t="s">
        <v>8079</v>
      </c>
      <c r="B3751" s="2" t="s">
        <v>2921</v>
      </c>
      <c r="C3751" s="2" t="str">
        <f t="shared" si="58"/>
        <v>TX0139131_001</v>
      </c>
      <c r="D3751" s="2" t="s">
        <v>5175</v>
      </c>
    </row>
    <row r="3752" spans="1:4" x14ac:dyDescent="0.25">
      <c r="A3752" s="2" t="s">
        <v>8080</v>
      </c>
      <c r="B3752" s="2" t="s">
        <v>2921</v>
      </c>
      <c r="C3752" s="2" t="str">
        <f t="shared" si="58"/>
        <v>TX0139149_001</v>
      </c>
      <c r="D3752" s="2" t="s">
        <v>5176</v>
      </c>
    </row>
    <row r="3753" spans="1:4" x14ac:dyDescent="0.25">
      <c r="A3753" s="2" t="s">
        <v>8081</v>
      </c>
      <c r="B3753" s="2" t="s">
        <v>2921</v>
      </c>
      <c r="C3753" s="2" t="str">
        <f t="shared" si="58"/>
        <v>TX0139165_001</v>
      </c>
      <c r="D3753" s="2" t="s">
        <v>5177</v>
      </c>
    </row>
    <row r="3754" spans="1:4" x14ac:dyDescent="0.25">
      <c r="A3754" s="2" t="s">
        <v>8082</v>
      </c>
      <c r="B3754" s="2" t="s">
        <v>2921</v>
      </c>
      <c r="C3754" s="2" t="str">
        <f t="shared" si="58"/>
        <v>TX0139173_001</v>
      </c>
      <c r="D3754" s="2" t="s">
        <v>5178</v>
      </c>
    </row>
    <row r="3755" spans="1:4" x14ac:dyDescent="0.25">
      <c r="A3755" s="2" t="s">
        <v>8083</v>
      </c>
      <c r="B3755" s="2" t="s">
        <v>2921</v>
      </c>
      <c r="C3755" s="2" t="str">
        <f t="shared" si="58"/>
        <v>TX0139181_001</v>
      </c>
      <c r="D3755" s="2" t="s">
        <v>5179</v>
      </c>
    </row>
    <row r="3756" spans="1:4" x14ac:dyDescent="0.25">
      <c r="A3756" s="2" t="s">
        <v>8084</v>
      </c>
      <c r="B3756" s="2" t="s">
        <v>2921</v>
      </c>
      <c r="C3756" s="2" t="str">
        <f t="shared" si="58"/>
        <v>TX0139190_001</v>
      </c>
      <c r="D3756" s="2" t="s">
        <v>5180</v>
      </c>
    </row>
    <row r="3757" spans="1:4" x14ac:dyDescent="0.25">
      <c r="A3757" s="2" t="s">
        <v>8084</v>
      </c>
      <c r="B3757" s="2" t="s">
        <v>2923</v>
      </c>
      <c r="C3757" s="2" t="str">
        <f t="shared" si="58"/>
        <v>TX0139190_002</v>
      </c>
      <c r="D3757" s="2" t="s">
        <v>5180</v>
      </c>
    </row>
    <row r="3758" spans="1:4" x14ac:dyDescent="0.25">
      <c r="A3758" s="2" t="s">
        <v>8084</v>
      </c>
      <c r="B3758" s="2" t="s">
        <v>2924</v>
      </c>
      <c r="C3758" s="2" t="str">
        <f t="shared" si="58"/>
        <v>TX0139190_003</v>
      </c>
      <c r="D3758" s="2" t="s">
        <v>5180</v>
      </c>
    </row>
    <row r="3759" spans="1:4" x14ac:dyDescent="0.25">
      <c r="A3759" s="2" t="s">
        <v>8084</v>
      </c>
      <c r="B3759" s="2" t="s">
        <v>2936</v>
      </c>
      <c r="C3759" s="2" t="str">
        <f t="shared" si="58"/>
        <v>TX0139190_004</v>
      </c>
      <c r="D3759" s="2" t="s">
        <v>5180</v>
      </c>
    </row>
    <row r="3760" spans="1:4" x14ac:dyDescent="0.25">
      <c r="A3760" s="2" t="s">
        <v>8084</v>
      </c>
      <c r="B3760" s="2" t="s">
        <v>2934</v>
      </c>
      <c r="C3760" s="2" t="str">
        <f t="shared" si="58"/>
        <v>TX0139190_005</v>
      </c>
      <c r="D3760" s="2" t="s">
        <v>5180</v>
      </c>
    </row>
    <row r="3761" spans="1:4" x14ac:dyDescent="0.25">
      <c r="A3761" s="2" t="s">
        <v>8085</v>
      </c>
      <c r="B3761" s="2" t="s">
        <v>2921</v>
      </c>
      <c r="C3761" s="2" t="str">
        <f t="shared" si="58"/>
        <v>TX0139203_001</v>
      </c>
      <c r="D3761" s="2" t="s">
        <v>5181</v>
      </c>
    </row>
    <row r="3762" spans="1:4" x14ac:dyDescent="0.25">
      <c r="A3762" s="2" t="s">
        <v>8086</v>
      </c>
      <c r="B3762" s="2" t="s">
        <v>2921</v>
      </c>
      <c r="C3762" s="2" t="str">
        <f t="shared" si="58"/>
        <v>TX0139211_001</v>
      </c>
      <c r="D3762" s="2" t="s">
        <v>4548</v>
      </c>
    </row>
    <row r="3763" spans="1:4" x14ac:dyDescent="0.25">
      <c r="A3763" s="2" t="s">
        <v>8087</v>
      </c>
      <c r="B3763" s="2" t="s">
        <v>2921</v>
      </c>
      <c r="C3763" s="2" t="str">
        <f t="shared" si="58"/>
        <v>TX0139220_001</v>
      </c>
      <c r="D3763" s="2" t="s">
        <v>5182</v>
      </c>
    </row>
    <row r="3764" spans="1:4" x14ac:dyDescent="0.25">
      <c r="A3764" s="2" t="s">
        <v>8088</v>
      </c>
      <c r="B3764" s="2" t="s">
        <v>2921</v>
      </c>
      <c r="C3764" s="2" t="str">
        <f t="shared" si="58"/>
        <v>TX0139238_001</v>
      </c>
      <c r="D3764" s="2" t="s">
        <v>5183</v>
      </c>
    </row>
    <row r="3765" spans="1:4" x14ac:dyDescent="0.25">
      <c r="A3765" s="2" t="s">
        <v>8089</v>
      </c>
      <c r="B3765" s="2" t="s">
        <v>2921</v>
      </c>
      <c r="C3765" s="2" t="str">
        <f t="shared" si="58"/>
        <v>TX0139246_001</v>
      </c>
      <c r="D3765" s="2" t="s">
        <v>5184</v>
      </c>
    </row>
    <row r="3766" spans="1:4" x14ac:dyDescent="0.25">
      <c r="A3766" s="2" t="s">
        <v>8089</v>
      </c>
      <c r="B3766" s="2" t="s">
        <v>2923</v>
      </c>
      <c r="C3766" s="2" t="str">
        <f t="shared" si="58"/>
        <v>TX0139246_002</v>
      </c>
      <c r="D3766" s="2" t="s">
        <v>5184</v>
      </c>
    </row>
    <row r="3767" spans="1:4" x14ac:dyDescent="0.25">
      <c r="A3767" s="2" t="s">
        <v>8090</v>
      </c>
      <c r="B3767" s="2" t="s">
        <v>2921</v>
      </c>
      <c r="C3767" s="2" t="str">
        <f t="shared" si="58"/>
        <v>TX0139262_001</v>
      </c>
      <c r="D3767" s="2" t="s">
        <v>5185</v>
      </c>
    </row>
    <row r="3768" spans="1:4" x14ac:dyDescent="0.25">
      <c r="A3768" s="2" t="s">
        <v>8091</v>
      </c>
      <c r="B3768" s="2" t="s">
        <v>2921</v>
      </c>
      <c r="C3768" s="2" t="str">
        <f t="shared" si="58"/>
        <v>TX0139271_001</v>
      </c>
      <c r="D3768" s="2" t="s">
        <v>5186</v>
      </c>
    </row>
    <row r="3769" spans="1:4" x14ac:dyDescent="0.25">
      <c r="A3769" s="2" t="s">
        <v>8092</v>
      </c>
      <c r="B3769" s="2" t="s">
        <v>2921</v>
      </c>
      <c r="C3769" s="2" t="str">
        <f t="shared" si="58"/>
        <v>TX0139289_001</v>
      </c>
      <c r="D3769" s="2" t="s">
        <v>5187</v>
      </c>
    </row>
    <row r="3770" spans="1:4" x14ac:dyDescent="0.25">
      <c r="A3770" s="2" t="s">
        <v>8093</v>
      </c>
      <c r="B3770" s="2" t="s">
        <v>2921</v>
      </c>
      <c r="C3770" s="2" t="str">
        <f t="shared" si="58"/>
        <v>TX0139297_001</v>
      </c>
      <c r="D3770" s="2" t="s">
        <v>5188</v>
      </c>
    </row>
    <row r="3771" spans="1:4" x14ac:dyDescent="0.25">
      <c r="A3771" s="2" t="s">
        <v>8094</v>
      </c>
      <c r="B3771" s="2" t="s">
        <v>2921</v>
      </c>
      <c r="C3771" s="2" t="str">
        <f t="shared" si="58"/>
        <v>TX0139301_001</v>
      </c>
      <c r="D3771" s="2" t="s">
        <v>5189</v>
      </c>
    </row>
    <row r="3772" spans="1:4" x14ac:dyDescent="0.25">
      <c r="A3772" s="2" t="s">
        <v>8095</v>
      </c>
      <c r="B3772" s="2" t="s">
        <v>2921</v>
      </c>
      <c r="C3772" s="2" t="str">
        <f t="shared" si="58"/>
        <v>TX0139327_001</v>
      </c>
      <c r="D3772" s="2" t="s">
        <v>4103</v>
      </c>
    </row>
    <row r="3773" spans="1:4" x14ac:dyDescent="0.25">
      <c r="A3773" s="2" t="s">
        <v>8096</v>
      </c>
      <c r="B3773" s="2" t="s">
        <v>2921</v>
      </c>
      <c r="C3773" s="2" t="str">
        <f t="shared" si="58"/>
        <v>TX0139343_001</v>
      </c>
      <c r="D3773" s="2" t="s">
        <v>5181</v>
      </c>
    </row>
    <row r="3774" spans="1:4" x14ac:dyDescent="0.25">
      <c r="A3774" s="2" t="s">
        <v>8097</v>
      </c>
      <c r="B3774" s="2" t="s">
        <v>2921</v>
      </c>
      <c r="C3774" s="2" t="str">
        <f t="shared" si="58"/>
        <v>TX0139351_001</v>
      </c>
      <c r="D3774" s="2" t="s">
        <v>5190</v>
      </c>
    </row>
    <row r="3775" spans="1:4" x14ac:dyDescent="0.25">
      <c r="A3775" s="2" t="s">
        <v>8098</v>
      </c>
      <c r="B3775" s="2" t="s">
        <v>2921</v>
      </c>
      <c r="C3775" s="2" t="str">
        <f t="shared" si="58"/>
        <v>TX0139360_001</v>
      </c>
      <c r="D3775" s="2" t="s">
        <v>5191</v>
      </c>
    </row>
    <row r="3776" spans="1:4" x14ac:dyDescent="0.25">
      <c r="A3776" s="2" t="s">
        <v>8099</v>
      </c>
      <c r="B3776" s="2" t="s">
        <v>2921</v>
      </c>
      <c r="C3776" s="2" t="str">
        <f t="shared" si="58"/>
        <v>TX0139378_001</v>
      </c>
      <c r="D3776" s="2" t="s">
        <v>5192</v>
      </c>
    </row>
    <row r="3777" spans="1:4" x14ac:dyDescent="0.25">
      <c r="A3777" s="2" t="s">
        <v>8100</v>
      </c>
      <c r="B3777" s="2" t="s">
        <v>2921</v>
      </c>
      <c r="C3777" s="2" t="str">
        <f t="shared" si="58"/>
        <v>TX0139394_001</v>
      </c>
      <c r="D3777" s="2" t="s">
        <v>5193</v>
      </c>
    </row>
    <row r="3778" spans="1:4" x14ac:dyDescent="0.25">
      <c r="A3778" s="2" t="s">
        <v>8101</v>
      </c>
      <c r="B3778" s="2" t="s">
        <v>2921</v>
      </c>
      <c r="C3778" s="2" t="str">
        <f t="shared" si="58"/>
        <v>TX0139401_001</v>
      </c>
      <c r="D3778" s="2" t="s">
        <v>4758</v>
      </c>
    </row>
    <row r="3779" spans="1:4" x14ac:dyDescent="0.25">
      <c r="A3779" s="2" t="s">
        <v>8102</v>
      </c>
      <c r="B3779" s="2" t="s">
        <v>2921</v>
      </c>
      <c r="C3779" s="2" t="str">
        <f t="shared" ref="C3779:C3812" si="59">A3779 &amp; "_" &amp; B3779</f>
        <v>TX0139408_001</v>
      </c>
      <c r="D3779" s="2" t="s">
        <v>5194</v>
      </c>
    </row>
    <row r="3780" spans="1:4" x14ac:dyDescent="0.25">
      <c r="A3780" s="2" t="s">
        <v>8103</v>
      </c>
      <c r="B3780" s="2" t="s">
        <v>2921</v>
      </c>
      <c r="C3780" s="2" t="str">
        <f t="shared" si="59"/>
        <v>TX0139424_001</v>
      </c>
      <c r="D3780" s="2" t="s">
        <v>5195</v>
      </c>
    </row>
    <row r="3781" spans="1:4" x14ac:dyDescent="0.25">
      <c r="A3781" s="2" t="s">
        <v>8104</v>
      </c>
      <c r="B3781" s="2" t="s">
        <v>2921</v>
      </c>
      <c r="C3781" s="2" t="str">
        <f t="shared" si="59"/>
        <v>TX0139432_001</v>
      </c>
      <c r="D3781" s="2" t="s">
        <v>5196</v>
      </c>
    </row>
    <row r="3782" spans="1:4" x14ac:dyDescent="0.25">
      <c r="A3782" s="2" t="s">
        <v>8105</v>
      </c>
      <c r="B3782" s="2" t="s">
        <v>2921</v>
      </c>
      <c r="C3782" s="2" t="str">
        <f t="shared" si="59"/>
        <v>TX0139441_001</v>
      </c>
      <c r="D3782" s="2" t="s">
        <v>5197</v>
      </c>
    </row>
    <row r="3783" spans="1:4" x14ac:dyDescent="0.25">
      <c r="A3783" s="2" t="s">
        <v>8106</v>
      </c>
      <c r="B3783" s="2" t="s">
        <v>2921</v>
      </c>
      <c r="C3783" s="2" t="str">
        <f t="shared" si="59"/>
        <v>TX0139459_001</v>
      </c>
      <c r="D3783" s="2" t="s">
        <v>5198</v>
      </c>
    </row>
    <row r="3784" spans="1:4" x14ac:dyDescent="0.25">
      <c r="A3784" s="2" t="s">
        <v>8107</v>
      </c>
      <c r="B3784" s="2" t="s">
        <v>2921</v>
      </c>
      <c r="C3784" s="2" t="str">
        <f t="shared" si="59"/>
        <v>TX0139475_001</v>
      </c>
      <c r="D3784" s="2" t="s">
        <v>5199</v>
      </c>
    </row>
    <row r="3785" spans="1:4" x14ac:dyDescent="0.25">
      <c r="A3785" s="2" t="s">
        <v>8108</v>
      </c>
      <c r="B3785" s="2" t="s">
        <v>2921</v>
      </c>
      <c r="C3785" s="2" t="str">
        <f t="shared" si="59"/>
        <v>TX0139483_001</v>
      </c>
      <c r="D3785" s="2" t="s">
        <v>3713</v>
      </c>
    </row>
    <row r="3786" spans="1:4" x14ac:dyDescent="0.25">
      <c r="A3786" s="2" t="s">
        <v>8109</v>
      </c>
      <c r="B3786" s="2" t="s">
        <v>2921</v>
      </c>
      <c r="C3786" s="2" t="str">
        <f t="shared" si="59"/>
        <v>TX0139491_001</v>
      </c>
      <c r="D3786" s="2" t="s">
        <v>5200</v>
      </c>
    </row>
    <row r="3787" spans="1:4" x14ac:dyDescent="0.25">
      <c r="A3787" s="2" t="s">
        <v>8110</v>
      </c>
      <c r="B3787" s="2" t="s">
        <v>2921</v>
      </c>
      <c r="C3787" s="2" t="str">
        <f t="shared" si="59"/>
        <v>TX0139505_001</v>
      </c>
      <c r="D3787" s="2" t="s">
        <v>5201</v>
      </c>
    </row>
    <row r="3788" spans="1:4" x14ac:dyDescent="0.25">
      <c r="A3788" s="2" t="s">
        <v>8111</v>
      </c>
      <c r="B3788" s="2" t="s">
        <v>2921</v>
      </c>
      <c r="C3788" s="2" t="str">
        <f t="shared" si="59"/>
        <v>TX0139513_001</v>
      </c>
      <c r="D3788" s="2" t="s">
        <v>5202</v>
      </c>
    </row>
    <row r="3789" spans="1:4" x14ac:dyDescent="0.25">
      <c r="A3789" s="2" t="s">
        <v>8112</v>
      </c>
      <c r="B3789" s="2" t="s">
        <v>2921</v>
      </c>
      <c r="C3789" s="2" t="str">
        <f t="shared" si="59"/>
        <v>TX0139521_001</v>
      </c>
      <c r="D3789" s="2" t="s">
        <v>5203</v>
      </c>
    </row>
    <row r="3790" spans="1:4" x14ac:dyDescent="0.25">
      <c r="A3790" s="2" t="s">
        <v>8113</v>
      </c>
      <c r="B3790" s="2" t="s">
        <v>2921</v>
      </c>
      <c r="C3790" s="2" t="str">
        <f t="shared" si="59"/>
        <v>TX0139530_001</v>
      </c>
      <c r="D3790" s="2" t="s">
        <v>5204</v>
      </c>
    </row>
    <row r="3791" spans="1:4" x14ac:dyDescent="0.25">
      <c r="A3791" s="2" t="s">
        <v>8113</v>
      </c>
      <c r="B3791" s="2" t="s">
        <v>2923</v>
      </c>
      <c r="C3791" s="2" t="str">
        <f t="shared" si="59"/>
        <v>TX0139530_002</v>
      </c>
      <c r="D3791" s="2" t="s">
        <v>5204</v>
      </c>
    </row>
    <row r="3792" spans="1:4" x14ac:dyDescent="0.25">
      <c r="A3792" s="2" t="s">
        <v>8113</v>
      </c>
      <c r="B3792" s="2" t="s">
        <v>2924</v>
      </c>
      <c r="C3792" s="2" t="str">
        <f t="shared" si="59"/>
        <v>TX0139530_003</v>
      </c>
      <c r="D3792" s="2" t="s">
        <v>5204</v>
      </c>
    </row>
    <row r="3793" spans="1:4" x14ac:dyDescent="0.25">
      <c r="A3793" s="2" t="s">
        <v>8113</v>
      </c>
      <c r="B3793" s="2" t="s">
        <v>2936</v>
      </c>
      <c r="C3793" s="2" t="str">
        <f t="shared" si="59"/>
        <v>TX0139530_004</v>
      </c>
      <c r="D3793" s="2" t="s">
        <v>5204</v>
      </c>
    </row>
    <row r="3794" spans="1:4" x14ac:dyDescent="0.25">
      <c r="A3794" s="2" t="s">
        <v>8113</v>
      </c>
      <c r="B3794" s="2" t="s">
        <v>2934</v>
      </c>
      <c r="C3794" s="2" t="str">
        <f t="shared" si="59"/>
        <v>TX0139530_005</v>
      </c>
      <c r="D3794" s="2" t="s">
        <v>5204</v>
      </c>
    </row>
    <row r="3795" spans="1:4" x14ac:dyDescent="0.25">
      <c r="A3795" s="2" t="s">
        <v>8113</v>
      </c>
      <c r="B3795" s="2" t="s">
        <v>2940</v>
      </c>
      <c r="C3795" s="2" t="str">
        <f t="shared" si="59"/>
        <v>TX0139530_006</v>
      </c>
      <c r="D3795" s="2" t="s">
        <v>5204</v>
      </c>
    </row>
    <row r="3796" spans="1:4" x14ac:dyDescent="0.25">
      <c r="A3796" s="2" t="s">
        <v>8114</v>
      </c>
      <c r="B3796" s="2" t="s">
        <v>2921</v>
      </c>
      <c r="C3796" s="2" t="str">
        <f t="shared" si="59"/>
        <v>TX0139548_001</v>
      </c>
      <c r="D3796" s="2" t="s">
        <v>5205</v>
      </c>
    </row>
    <row r="3797" spans="1:4" x14ac:dyDescent="0.25">
      <c r="A3797" s="2" t="s">
        <v>8115</v>
      </c>
      <c r="B3797" s="2" t="s">
        <v>2921</v>
      </c>
      <c r="C3797" s="2" t="str">
        <f t="shared" si="59"/>
        <v>TX0139556_001</v>
      </c>
      <c r="D3797" s="2" t="s">
        <v>4286</v>
      </c>
    </row>
    <row r="3798" spans="1:4" x14ac:dyDescent="0.25">
      <c r="A3798" s="2" t="s">
        <v>8116</v>
      </c>
      <c r="B3798" s="2" t="s">
        <v>2921</v>
      </c>
      <c r="C3798" s="2" t="str">
        <f t="shared" si="59"/>
        <v>TX0139572_001</v>
      </c>
      <c r="D3798" s="2" t="s">
        <v>5199</v>
      </c>
    </row>
    <row r="3799" spans="1:4" x14ac:dyDescent="0.25">
      <c r="A3799" s="2" t="s">
        <v>8117</v>
      </c>
      <c r="B3799" s="2" t="s">
        <v>2921</v>
      </c>
      <c r="C3799" s="2" t="str">
        <f t="shared" si="59"/>
        <v>TX0139581_001</v>
      </c>
      <c r="D3799" s="2" t="s">
        <v>4103</v>
      </c>
    </row>
    <row r="3800" spans="1:4" x14ac:dyDescent="0.25">
      <c r="A3800" s="2" t="s">
        <v>8118</v>
      </c>
      <c r="B3800" s="2" t="s">
        <v>2921</v>
      </c>
      <c r="C3800" s="2" t="str">
        <f t="shared" si="59"/>
        <v>TX0139599_001</v>
      </c>
      <c r="D3800" s="2" t="s">
        <v>5206</v>
      </c>
    </row>
    <row r="3801" spans="1:4" x14ac:dyDescent="0.25">
      <c r="A3801" s="2" t="s">
        <v>8119</v>
      </c>
      <c r="B3801" s="2" t="s">
        <v>2921</v>
      </c>
      <c r="C3801" s="2" t="str">
        <f t="shared" si="59"/>
        <v>TX0139602_001</v>
      </c>
      <c r="D3801" s="2" t="s">
        <v>4160</v>
      </c>
    </row>
    <row r="3802" spans="1:4" x14ac:dyDescent="0.25">
      <c r="A3802" s="2" t="s">
        <v>8120</v>
      </c>
      <c r="B3802" s="2" t="s">
        <v>2921</v>
      </c>
      <c r="C3802" s="2" t="str">
        <f t="shared" si="59"/>
        <v>TX0139629_001</v>
      </c>
      <c r="D3802" s="2" t="s">
        <v>5207</v>
      </c>
    </row>
    <row r="3803" spans="1:4" x14ac:dyDescent="0.25">
      <c r="A3803" s="2" t="s">
        <v>8121</v>
      </c>
      <c r="B3803" s="2" t="s">
        <v>2921</v>
      </c>
      <c r="C3803" s="2" t="str">
        <f t="shared" si="59"/>
        <v>TX0139637_001</v>
      </c>
      <c r="D3803" s="2" t="s">
        <v>5208</v>
      </c>
    </row>
    <row r="3804" spans="1:4" x14ac:dyDescent="0.25">
      <c r="A3804" s="2" t="s">
        <v>8122</v>
      </c>
      <c r="B3804" s="2" t="s">
        <v>2921</v>
      </c>
      <c r="C3804" s="2" t="str">
        <f t="shared" si="59"/>
        <v>TX0139653_001</v>
      </c>
      <c r="D3804" s="2" t="s">
        <v>5209</v>
      </c>
    </row>
    <row r="3805" spans="1:4" x14ac:dyDescent="0.25">
      <c r="A3805" s="2" t="s">
        <v>8123</v>
      </c>
      <c r="B3805" s="2" t="s">
        <v>2921</v>
      </c>
      <c r="C3805" s="2" t="str">
        <f t="shared" si="59"/>
        <v>TX0139661_001</v>
      </c>
      <c r="D3805" s="2" t="s">
        <v>5210</v>
      </c>
    </row>
    <row r="3806" spans="1:4" x14ac:dyDescent="0.25">
      <c r="A3806" s="2" t="s">
        <v>8124</v>
      </c>
      <c r="B3806" s="2" t="s">
        <v>2921</v>
      </c>
      <c r="C3806" s="2" t="str">
        <f t="shared" si="59"/>
        <v>TX0139670_001</v>
      </c>
      <c r="D3806" s="2" t="s">
        <v>5211</v>
      </c>
    </row>
    <row r="3807" spans="1:4" x14ac:dyDescent="0.25">
      <c r="A3807" s="2" t="s">
        <v>8125</v>
      </c>
      <c r="B3807" s="2" t="s">
        <v>2921</v>
      </c>
      <c r="C3807" s="2" t="str">
        <f t="shared" si="59"/>
        <v>TX0139688_001</v>
      </c>
      <c r="D3807" s="2" t="s">
        <v>5203</v>
      </c>
    </row>
    <row r="3808" spans="1:4" x14ac:dyDescent="0.25">
      <c r="A3808" s="2" t="s">
        <v>8126</v>
      </c>
      <c r="B3808" s="2" t="s">
        <v>2921</v>
      </c>
      <c r="C3808" s="2" t="str">
        <f t="shared" si="59"/>
        <v>TX0139706_001</v>
      </c>
      <c r="D3808" s="2" t="s">
        <v>5212</v>
      </c>
    </row>
    <row r="3809" spans="1:4" x14ac:dyDescent="0.25">
      <c r="A3809" s="2" t="s">
        <v>8127</v>
      </c>
      <c r="B3809" s="2" t="s">
        <v>2921</v>
      </c>
      <c r="C3809" s="2" t="str">
        <f t="shared" si="59"/>
        <v>TX0139726_001</v>
      </c>
      <c r="D3809" s="2" t="s">
        <v>5213</v>
      </c>
    </row>
    <row r="3810" spans="1:4" x14ac:dyDescent="0.25">
      <c r="A3810" s="2" t="s">
        <v>8128</v>
      </c>
      <c r="B3810" s="2" t="s">
        <v>2921</v>
      </c>
      <c r="C3810" s="2" t="str">
        <f t="shared" si="59"/>
        <v>TX0139742_001</v>
      </c>
      <c r="D3810" s="2" t="s">
        <v>5214</v>
      </c>
    </row>
    <row r="3811" spans="1:4" x14ac:dyDescent="0.25">
      <c r="A3811" s="2" t="s">
        <v>8129</v>
      </c>
      <c r="B3811" s="2" t="s">
        <v>2921</v>
      </c>
      <c r="C3811" s="2" t="str">
        <f t="shared" si="59"/>
        <v>TX0139757_001</v>
      </c>
      <c r="D3811" s="2" t="s">
        <v>5215</v>
      </c>
    </row>
    <row r="3812" spans="1:4" x14ac:dyDescent="0.25">
      <c r="A3812" s="2" t="s">
        <v>8130</v>
      </c>
      <c r="B3812" s="2" t="s">
        <v>2921</v>
      </c>
      <c r="C3812" s="2" t="str">
        <f t="shared" si="59"/>
        <v>TX024112_001</v>
      </c>
      <c r="D3812" s="2" t="s">
        <v>3258</v>
      </c>
    </row>
  </sheetData>
  <autoFilter ref="A1:D3812" xr:uid="{00000000-0009-0000-0000-000003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</vt:lpstr>
      <vt:lpstr>Outfalls</vt:lpstr>
      <vt:lpstr>Outfalls_lookup</vt:lpstr>
      <vt:lpstr>TCEQ_Outfalls</vt:lpstr>
      <vt:lpstr>TCEQ_Outfalls!Database</vt:lpstr>
      <vt:lpstr>PERMITTEES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Bill</dc:creator>
  <cp:lastModifiedBy>Thaman, Bill</cp:lastModifiedBy>
  <dcterms:created xsi:type="dcterms:W3CDTF">2020-05-05T15:12:57Z</dcterms:created>
  <dcterms:modified xsi:type="dcterms:W3CDTF">2022-08-30T16:01:25Z</dcterms:modified>
</cp:coreProperties>
</file>